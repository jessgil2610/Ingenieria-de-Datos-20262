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ssi\OneDrive\Documents\GitHub\Ingenieria-de-Datos-20262\Primer Corte\EDA\"/>
    </mc:Choice>
  </mc:AlternateContent>
  <xr:revisionPtr revIDLastSave="0" documentId="8_{BE6E7F80-3B58-4F2C-B255-40BB14BA4B68}" xr6:coauthVersionLast="47" xr6:coauthVersionMax="47" xr10:uidLastSave="{00000000-0000-0000-0000-000000000000}"/>
  <bookViews>
    <workbookView xWindow="-108" yWindow="-108" windowWidth="23256" windowHeight="13896" tabRatio="500" activeTab="6" xr2:uid="{00000000-000D-0000-FFFF-FFFF00000000}"/>
  </bookViews>
  <sheets>
    <sheet name="Inicio" sheetId="1" r:id="rId1"/>
    <sheet name="Datos" sheetId="2" r:id="rId2"/>
    <sheet name="Calidad" sheetId="3" r:id="rId3"/>
    <sheet name="Univariado" sheetId="4" r:id="rId4"/>
    <sheet name="Bivariado" sheetId="5" r:id="rId5"/>
    <sheet name="Correlacion" sheetId="6" r:id="rId6"/>
    <sheet name="Conclusion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61" i="3" l="1"/>
  <c r="G961" i="3"/>
  <c r="F961" i="3"/>
  <c r="E961" i="3"/>
  <c r="I961" i="3" s="1"/>
  <c r="D961" i="3"/>
  <c r="C961" i="3"/>
  <c r="B961" i="3"/>
  <c r="A961" i="3"/>
  <c r="H960" i="3"/>
  <c r="G960" i="3"/>
  <c r="F960" i="3"/>
  <c r="E960" i="3"/>
  <c r="I960" i="3" s="1"/>
  <c r="D960" i="3"/>
  <c r="C960" i="3"/>
  <c r="B960" i="3"/>
  <c r="A960" i="3"/>
  <c r="H959" i="3"/>
  <c r="G959" i="3"/>
  <c r="F959" i="3"/>
  <c r="E959" i="3"/>
  <c r="I959" i="3" s="1"/>
  <c r="D959" i="3"/>
  <c r="C959" i="3"/>
  <c r="B959" i="3"/>
  <c r="A959" i="3"/>
  <c r="H958" i="3"/>
  <c r="G958" i="3"/>
  <c r="F958" i="3"/>
  <c r="E958" i="3"/>
  <c r="I958" i="3" s="1"/>
  <c r="D958" i="3"/>
  <c r="C958" i="3"/>
  <c r="B958" i="3"/>
  <c r="A958" i="3"/>
  <c r="H957" i="3"/>
  <c r="G957" i="3"/>
  <c r="F957" i="3"/>
  <c r="E957" i="3"/>
  <c r="I957" i="3" s="1"/>
  <c r="D957" i="3"/>
  <c r="C957" i="3"/>
  <c r="B957" i="3"/>
  <c r="A957" i="3"/>
  <c r="H956" i="3"/>
  <c r="G956" i="3"/>
  <c r="F956" i="3"/>
  <c r="E956" i="3"/>
  <c r="I956" i="3" s="1"/>
  <c r="D956" i="3"/>
  <c r="C956" i="3"/>
  <c r="B956" i="3"/>
  <c r="A956" i="3"/>
  <c r="H955" i="3"/>
  <c r="G955" i="3"/>
  <c r="F955" i="3"/>
  <c r="E955" i="3"/>
  <c r="I955" i="3" s="1"/>
  <c r="D955" i="3"/>
  <c r="C955" i="3"/>
  <c r="B955" i="3"/>
  <c r="A955" i="3"/>
  <c r="H954" i="3"/>
  <c r="G954" i="3"/>
  <c r="F954" i="3"/>
  <c r="E954" i="3"/>
  <c r="I954" i="3" s="1"/>
  <c r="D954" i="3"/>
  <c r="C954" i="3"/>
  <c r="B954" i="3"/>
  <c r="A954" i="3"/>
  <c r="H953" i="3"/>
  <c r="G953" i="3"/>
  <c r="F953" i="3"/>
  <c r="E953" i="3"/>
  <c r="I953" i="3" s="1"/>
  <c r="D953" i="3"/>
  <c r="C953" i="3"/>
  <c r="B953" i="3"/>
  <c r="A953" i="3"/>
  <c r="H952" i="3"/>
  <c r="G952" i="3"/>
  <c r="F952" i="3"/>
  <c r="E952" i="3"/>
  <c r="I952" i="3" s="1"/>
  <c r="D952" i="3"/>
  <c r="C952" i="3"/>
  <c r="B952" i="3"/>
  <c r="A952" i="3"/>
  <c r="H951" i="3"/>
  <c r="G951" i="3"/>
  <c r="F951" i="3"/>
  <c r="E951" i="3"/>
  <c r="I951" i="3" s="1"/>
  <c r="D951" i="3"/>
  <c r="C951" i="3"/>
  <c r="B951" i="3"/>
  <c r="A951" i="3"/>
  <c r="H950" i="3"/>
  <c r="G950" i="3"/>
  <c r="F950" i="3"/>
  <c r="E950" i="3"/>
  <c r="I950" i="3" s="1"/>
  <c r="D950" i="3"/>
  <c r="C950" i="3"/>
  <c r="B950" i="3"/>
  <c r="A950" i="3"/>
  <c r="H949" i="3"/>
  <c r="G949" i="3"/>
  <c r="F949" i="3"/>
  <c r="E949" i="3"/>
  <c r="I949" i="3" s="1"/>
  <c r="D949" i="3"/>
  <c r="C949" i="3"/>
  <c r="B949" i="3"/>
  <c r="A949" i="3"/>
  <c r="H948" i="3"/>
  <c r="G948" i="3"/>
  <c r="F948" i="3"/>
  <c r="E948" i="3"/>
  <c r="I948" i="3" s="1"/>
  <c r="D948" i="3"/>
  <c r="C948" i="3"/>
  <c r="B948" i="3"/>
  <c r="A948" i="3"/>
  <c r="H947" i="3"/>
  <c r="G947" i="3"/>
  <c r="F947" i="3"/>
  <c r="E947" i="3"/>
  <c r="I947" i="3" s="1"/>
  <c r="D947" i="3"/>
  <c r="C947" i="3"/>
  <c r="B947" i="3"/>
  <c r="A947" i="3"/>
  <c r="H946" i="3"/>
  <c r="G946" i="3"/>
  <c r="F946" i="3"/>
  <c r="E946" i="3"/>
  <c r="I946" i="3" s="1"/>
  <c r="D946" i="3"/>
  <c r="C946" i="3"/>
  <c r="B946" i="3"/>
  <c r="A946" i="3"/>
  <c r="H945" i="3"/>
  <c r="G945" i="3"/>
  <c r="F945" i="3"/>
  <c r="E945" i="3"/>
  <c r="I945" i="3" s="1"/>
  <c r="D945" i="3"/>
  <c r="C945" i="3"/>
  <c r="B945" i="3"/>
  <c r="A945" i="3"/>
  <c r="H944" i="3"/>
  <c r="G944" i="3"/>
  <c r="F944" i="3"/>
  <c r="E944" i="3"/>
  <c r="I944" i="3" s="1"/>
  <c r="D944" i="3"/>
  <c r="C944" i="3"/>
  <c r="B944" i="3"/>
  <c r="A944" i="3"/>
  <c r="H943" i="3"/>
  <c r="G943" i="3"/>
  <c r="F943" i="3"/>
  <c r="E943" i="3"/>
  <c r="I943" i="3" s="1"/>
  <c r="D943" i="3"/>
  <c r="C943" i="3"/>
  <c r="B943" i="3"/>
  <c r="A943" i="3"/>
  <c r="H942" i="3"/>
  <c r="G942" i="3"/>
  <c r="F942" i="3"/>
  <c r="E942" i="3"/>
  <c r="I942" i="3" s="1"/>
  <c r="D942" i="3"/>
  <c r="C942" i="3"/>
  <c r="B942" i="3"/>
  <c r="A942" i="3"/>
  <c r="H941" i="3"/>
  <c r="G941" i="3"/>
  <c r="F941" i="3"/>
  <c r="E941" i="3"/>
  <c r="I941" i="3" s="1"/>
  <c r="D941" i="3"/>
  <c r="C941" i="3"/>
  <c r="B941" i="3"/>
  <c r="A941" i="3"/>
  <c r="H940" i="3"/>
  <c r="G940" i="3"/>
  <c r="F940" i="3"/>
  <c r="E940" i="3"/>
  <c r="I940" i="3" s="1"/>
  <c r="D940" i="3"/>
  <c r="C940" i="3"/>
  <c r="B940" i="3"/>
  <c r="A940" i="3"/>
  <c r="H939" i="3"/>
  <c r="G939" i="3"/>
  <c r="F939" i="3"/>
  <c r="E939" i="3"/>
  <c r="I939" i="3" s="1"/>
  <c r="D939" i="3"/>
  <c r="C939" i="3"/>
  <c r="B939" i="3"/>
  <c r="A939" i="3"/>
  <c r="H938" i="3"/>
  <c r="G938" i="3"/>
  <c r="F938" i="3"/>
  <c r="E938" i="3"/>
  <c r="I938" i="3" s="1"/>
  <c r="D938" i="3"/>
  <c r="C938" i="3"/>
  <c r="B938" i="3"/>
  <c r="A938" i="3"/>
  <c r="H937" i="3"/>
  <c r="G937" i="3"/>
  <c r="F937" i="3"/>
  <c r="E937" i="3"/>
  <c r="I937" i="3" s="1"/>
  <c r="D937" i="3"/>
  <c r="C937" i="3"/>
  <c r="B937" i="3"/>
  <c r="A937" i="3"/>
  <c r="H936" i="3"/>
  <c r="G936" i="3"/>
  <c r="F936" i="3"/>
  <c r="E936" i="3"/>
  <c r="I936" i="3" s="1"/>
  <c r="D936" i="3"/>
  <c r="C936" i="3"/>
  <c r="B936" i="3"/>
  <c r="A936" i="3"/>
  <c r="H935" i="3"/>
  <c r="G935" i="3"/>
  <c r="F935" i="3"/>
  <c r="E935" i="3"/>
  <c r="I935" i="3" s="1"/>
  <c r="D935" i="3"/>
  <c r="C935" i="3"/>
  <c r="B935" i="3"/>
  <c r="A935" i="3"/>
  <c r="H934" i="3"/>
  <c r="G934" i="3"/>
  <c r="F934" i="3"/>
  <c r="E934" i="3"/>
  <c r="I934" i="3" s="1"/>
  <c r="D934" i="3"/>
  <c r="C934" i="3"/>
  <c r="B934" i="3"/>
  <c r="A934" i="3"/>
  <c r="H933" i="3"/>
  <c r="G933" i="3"/>
  <c r="F933" i="3"/>
  <c r="E933" i="3"/>
  <c r="I933" i="3" s="1"/>
  <c r="D933" i="3"/>
  <c r="C933" i="3"/>
  <c r="B933" i="3"/>
  <c r="A933" i="3"/>
  <c r="H932" i="3"/>
  <c r="G932" i="3"/>
  <c r="F932" i="3"/>
  <c r="E932" i="3"/>
  <c r="I932" i="3" s="1"/>
  <c r="D932" i="3"/>
  <c r="C932" i="3"/>
  <c r="B932" i="3"/>
  <c r="A932" i="3"/>
  <c r="H931" i="3"/>
  <c r="G931" i="3"/>
  <c r="F931" i="3"/>
  <c r="E931" i="3"/>
  <c r="I931" i="3" s="1"/>
  <c r="D931" i="3"/>
  <c r="C931" i="3"/>
  <c r="B931" i="3"/>
  <c r="A931" i="3"/>
  <c r="H930" i="3"/>
  <c r="G930" i="3"/>
  <c r="F930" i="3"/>
  <c r="E930" i="3"/>
  <c r="I930" i="3" s="1"/>
  <c r="D930" i="3"/>
  <c r="C930" i="3"/>
  <c r="B930" i="3"/>
  <c r="A930" i="3"/>
  <c r="H929" i="3"/>
  <c r="G929" i="3"/>
  <c r="F929" i="3"/>
  <c r="E929" i="3"/>
  <c r="I929" i="3" s="1"/>
  <c r="D929" i="3"/>
  <c r="C929" i="3"/>
  <c r="B929" i="3"/>
  <c r="A929" i="3"/>
  <c r="H928" i="3"/>
  <c r="G928" i="3"/>
  <c r="F928" i="3"/>
  <c r="E928" i="3"/>
  <c r="I928" i="3" s="1"/>
  <c r="D928" i="3"/>
  <c r="C928" i="3"/>
  <c r="B928" i="3"/>
  <c r="A928" i="3"/>
  <c r="H927" i="3"/>
  <c r="G927" i="3"/>
  <c r="F927" i="3"/>
  <c r="E927" i="3"/>
  <c r="I927" i="3" s="1"/>
  <c r="D927" i="3"/>
  <c r="C927" i="3"/>
  <c r="B927" i="3"/>
  <c r="A927" i="3"/>
  <c r="H926" i="3"/>
  <c r="G926" i="3"/>
  <c r="F926" i="3"/>
  <c r="E926" i="3"/>
  <c r="I926" i="3" s="1"/>
  <c r="D926" i="3"/>
  <c r="C926" i="3"/>
  <c r="B926" i="3"/>
  <c r="A926" i="3"/>
  <c r="H925" i="3"/>
  <c r="G925" i="3"/>
  <c r="F925" i="3"/>
  <c r="E925" i="3"/>
  <c r="I925" i="3" s="1"/>
  <c r="D925" i="3"/>
  <c r="C925" i="3"/>
  <c r="B925" i="3"/>
  <c r="A925" i="3"/>
  <c r="H924" i="3"/>
  <c r="G924" i="3"/>
  <c r="F924" i="3"/>
  <c r="E924" i="3"/>
  <c r="I924" i="3" s="1"/>
  <c r="D924" i="3"/>
  <c r="C924" i="3"/>
  <c r="B924" i="3"/>
  <c r="A924" i="3"/>
  <c r="H923" i="3"/>
  <c r="G923" i="3"/>
  <c r="F923" i="3"/>
  <c r="E923" i="3"/>
  <c r="I923" i="3" s="1"/>
  <c r="D923" i="3"/>
  <c r="C923" i="3"/>
  <c r="B923" i="3"/>
  <c r="A923" i="3"/>
  <c r="H922" i="3"/>
  <c r="G922" i="3"/>
  <c r="F922" i="3"/>
  <c r="E922" i="3"/>
  <c r="I922" i="3" s="1"/>
  <c r="D922" i="3"/>
  <c r="C922" i="3"/>
  <c r="B922" i="3"/>
  <c r="A922" i="3"/>
  <c r="H921" i="3"/>
  <c r="G921" i="3"/>
  <c r="F921" i="3"/>
  <c r="E921" i="3"/>
  <c r="I921" i="3" s="1"/>
  <c r="D921" i="3"/>
  <c r="C921" i="3"/>
  <c r="B921" i="3"/>
  <c r="A921" i="3"/>
  <c r="H920" i="3"/>
  <c r="G920" i="3"/>
  <c r="F920" i="3"/>
  <c r="E920" i="3"/>
  <c r="I920" i="3" s="1"/>
  <c r="D920" i="3"/>
  <c r="C920" i="3"/>
  <c r="B920" i="3"/>
  <c r="A920" i="3"/>
  <c r="H919" i="3"/>
  <c r="G919" i="3"/>
  <c r="F919" i="3"/>
  <c r="E919" i="3"/>
  <c r="I919" i="3" s="1"/>
  <c r="D919" i="3"/>
  <c r="C919" i="3"/>
  <c r="B919" i="3"/>
  <c r="A919" i="3"/>
  <c r="H918" i="3"/>
  <c r="G918" i="3"/>
  <c r="F918" i="3"/>
  <c r="E918" i="3"/>
  <c r="I918" i="3" s="1"/>
  <c r="D918" i="3"/>
  <c r="C918" i="3"/>
  <c r="B918" i="3"/>
  <c r="A918" i="3"/>
  <c r="H917" i="3"/>
  <c r="G917" i="3"/>
  <c r="F917" i="3"/>
  <c r="E917" i="3"/>
  <c r="I917" i="3" s="1"/>
  <c r="D917" i="3"/>
  <c r="C917" i="3"/>
  <c r="B917" i="3"/>
  <c r="A917" i="3"/>
  <c r="H916" i="3"/>
  <c r="G916" i="3"/>
  <c r="F916" i="3"/>
  <c r="E916" i="3"/>
  <c r="I916" i="3" s="1"/>
  <c r="D916" i="3"/>
  <c r="C916" i="3"/>
  <c r="B916" i="3"/>
  <c r="A916" i="3"/>
  <c r="H915" i="3"/>
  <c r="G915" i="3"/>
  <c r="F915" i="3"/>
  <c r="E915" i="3"/>
  <c r="I915" i="3" s="1"/>
  <c r="D915" i="3"/>
  <c r="C915" i="3"/>
  <c r="B915" i="3"/>
  <c r="A915" i="3"/>
  <c r="H914" i="3"/>
  <c r="G914" i="3"/>
  <c r="F914" i="3"/>
  <c r="E914" i="3"/>
  <c r="I914" i="3" s="1"/>
  <c r="D914" i="3"/>
  <c r="C914" i="3"/>
  <c r="B914" i="3"/>
  <c r="A914" i="3"/>
  <c r="H913" i="3"/>
  <c r="G913" i="3"/>
  <c r="F913" i="3"/>
  <c r="E913" i="3"/>
  <c r="I913" i="3" s="1"/>
  <c r="D913" i="3"/>
  <c r="C913" i="3"/>
  <c r="B913" i="3"/>
  <c r="A913" i="3"/>
  <c r="H912" i="3"/>
  <c r="G912" i="3"/>
  <c r="F912" i="3"/>
  <c r="E912" i="3"/>
  <c r="I912" i="3" s="1"/>
  <c r="D912" i="3"/>
  <c r="C912" i="3"/>
  <c r="B912" i="3"/>
  <c r="A912" i="3"/>
  <c r="H911" i="3"/>
  <c r="G911" i="3"/>
  <c r="F911" i="3"/>
  <c r="E911" i="3"/>
  <c r="I911" i="3" s="1"/>
  <c r="D911" i="3"/>
  <c r="C911" i="3"/>
  <c r="B911" i="3"/>
  <c r="A911" i="3"/>
  <c r="H910" i="3"/>
  <c r="G910" i="3"/>
  <c r="F910" i="3"/>
  <c r="E910" i="3"/>
  <c r="I910" i="3" s="1"/>
  <c r="D910" i="3"/>
  <c r="C910" i="3"/>
  <c r="B910" i="3"/>
  <c r="A910" i="3"/>
  <c r="H909" i="3"/>
  <c r="G909" i="3"/>
  <c r="F909" i="3"/>
  <c r="E909" i="3"/>
  <c r="I909" i="3" s="1"/>
  <c r="D909" i="3"/>
  <c r="C909" i="3"/>
  <c r="B909" i="3"/>
  <c r="A909" i="3"/>
  <c r="H908" i="3"/>
  <c r="G908" i="3"/>
  <c r="F908" i="3"/>
  <c r="E908" i="3"/>
  <c r="I908" i="3" s="1"/>
  <c r="D908" i="3"/>
  <c r="C908" i="3"/>
  <c r="B908" i="3"/>
  <c r="A908" i="3"/>
  <c r="H907" i="3"/>
  <c r="G907" i="3"/>
  <c r="F907" i="3"/>
  <c r="E907" i="3"/>
  <c r="I907" i="3" s="1"/>
  <c r="D907" i="3"/>
  <c r="C907" i="3"/>
  <c r="B907" i="3"/>
  <c r="A907" i="3"/>
  <c r="H906" i="3"/>
  <c r="G906" i="3"/>
  <c r="F906" i="3"/>
  <c r="E906" i="3"/>
  <c r="I906" i="3" s="1"/>
  <c r="D906" i="3"/>
  <c r="C906" i="3"/>
  <c r="B906" i="3"/>
  <c r="A906" i="3"/>
  <c r="H905" i="3"/>
  <c r="G905" i="3"/>
  <c r="F905" i="3"/>
  <c r="E905" i="3"/>
  <c r="I905" i="3" s="1"/>
  <c r="D905" i="3"/>
  <c r="C905" i="3"/>
  <c r="B905" i="3"/>
  <c r="A905" i="3"/>
  <c r="H904" i="3"/>
  <c r="G904" i="3"/>
  <c r="F904" i="3"/>
  <c r="E904" i="3"/>
  <c r="I904" i="3" s="1"/>
  <c r="D904" i="3"/>
  <c r="C904" i="3"/>
  <c r="B904" i="3"/>
  <c r="A904" i="3"/>
  <c r="H903" i="3"/>
  <c r="G903" i="3"/>
  <c r="F903" i="3"/>
  <c r="E903" i="3"/>
  <c r="I903" i="3" s="1"/>
  <c r="D903" i="3"/>
  <c r="C903" i="3"/>
  <c r="B903" i="3"/>
  <c r="A903" i="3"/>
  <c r="H902" i="3"/>
  <c r="G902" i="3"/>
  <c r="F902" i="3"/>
  <c r="E902" i="3"/>
  <c r="I902" i="3" s="1"/>
  <c r="D902" i="3"/>
  <c r="C902" i="3"/>
  <c r="B902" i="3"/>
  <c r="A902" i="3"/>
  <c r="H901" i="3"/>
  <c r="G901" i="3"/>
  <c r="F901" i="3"/>
  <c r="E901" i="3"/>
  <c r="I901" i="3" s="1"/>
  <c r="D901" i="3"/>
  <c r="C901" i="3"/>
  <c r="B901" i="3"/>
  <c r="A901" i="3"/>
  <c r="H900" i="3"/>
  <c r="G900" i="3"/>
  <c r="F900" i="3"/>
  <c r="E900" i="3"/>
  <c r="I900" i="3" s="1"/>
  <c r="D900" i="3"/>
  <c r="C900" i="3"/>
  <c r="B900" i="3"/>
  <c r="A900" i="3"/>
  <c r="P2" i="3" s="1"/>
  <c r="H899" i="3"/>
  <c r="G899" i="3"/>
  <c r="I899" i="3" s="1"/>
  <c r="F899" i="3"/>
  <c r="E899" i="3"/>
  <c r="D899" i="3"/>
  <c r="C899" i="3"/>
  <c r="B899" i="3"/>
  <c r="A899" i="3"/>
  <c r="H898" i="3"/>
  <c r="G898" i="3"/>
  <c r="F898" i="3"/>
  <c r="E898" i="3"/>
  <c r="I898" i="3" s="1"/>
  <c r="D898" i="3"/>
  <c r="C898" i="3"/>
  <c r="B898" i="3"/>
  <c r="A898" i="3"/>
  <c r="H897" i="3"/>
  <c r="G897" i="3"/>
  <c r="F897" i="3"/>
  <c r="E897" i="3"/>
  <c r="I897" i="3" s="1"/>
  <c r="D897" i="3"/>
  <c r="C897" i="3"/>
  <c r="B897" i="3"/>
  <c r="A897" i="3"/>
  <c r="H896" i="3"/>
  <c r="G896" i="3"/>
  <c r="F896" i="3"/>
  <c r="E896" i="3"/>
  <c r="I896" i="3" s="1"/>
  <c r="D896" i="3"/>
  <c r="C896" i="3"/>
  <c r="B896" i="3"/>
  <c r="A896" i="3"/>
  <c r="H895" i="3"/>
  <c r="G895" i="3"/>
  <c r="F895" i="3"/>
  <c r="E895" i="3"/>
  <c r="I895" i="3" s="1"/>
  <c r="D895" i="3"/>
  <c r="C895" i="3"/>
  <c r="B895" i="3"/>
  <c r="A895" i="3"/>
  <c r="H894" i="3"/>
  <c r="G894" i="3"/>
  <c r="F894" i="3"/>
  <c r="E894" i="3"/>
  <c r="I894" i="3" s="1"/>
  <c r="D894" i="3"/>
  <c r="C894" i="3"/>
  <c r="B894" i="3"/>
  <c r="A894" i="3"/>
  <c r="H893" i="3"/>
  <c r="G893" i="3"/>
  <c r="F893" i="3"/>
  <c r="E893" i="3"/>
  <c r="I893" i="3" s="1"/>
  <c r="D893" i="3"/>
  <c r="C893" i="3"/>
  <c r="B893" i="3"/>
  <c r="A893" i="3"/>
  <c r="H892" i="3"/>
  <c r="G892" i="3"/>
  <c r="F892" i="3"/>
  <c r="E892" i="3"/>
  <c r="I892" i="3" s="1"/>
  <c r="D892" i="3"/>
  <c r="C892" i="3"/>
  <c r="B892" i="3"/>
  <c r="A892" i="3"/>
  <c r="H891" i="3"/>
  <c r="G891" i="3"/>
  <c r="F891" i="3"/>
  <c r="E891" i="3"/>
  <c r="I891" i="3" s="1"/>
  <c r="D891" i="3"/>
  <c r="C891" i="3"/>
  <c r="B891" i="3"/>
  <c r="A891" i="3"/>
  <c r="H890" i="3"/>
  <c r="G890" i="3"/>
  <c r="F890" i="3"/>
  <c r="E890" i="3"/>
  <c r="I890" i="3" s="1"/>
  <c r="D890" i="3"/>
  <c r="C890" i="3"/>
  <c r="B890" i="3"/>
  <c r="A890" i="3"/>
  <c r="H889" i="3"/>
  <c r="G889" i="3"/>
  <c r="F889" i="3"/>
  <c r="E889" i="3"/>
  <c r="I889" i="3" s="1"/>
  <c r="D889" i="3"/>
  <c r="C889" i="3"/>
  <c r="B889" i="3"/>
  <c r="A889" i="3"/>
  <c r="H888" i="3"/>
  <c r="G888" i="3"/>
  <c r="F888" i="3"/>
  <c r="E888" i="3"/>
  <c r="I888" i="3" s="1"/>
  <c r="D888" i="3"/>
  <c r="C888" i="3"/>
  <c r="B888" i="3"/>
  <c r="A888" i="3"/>
  <c r="H887" i="3"/>
  <c r="G887" i="3"/>
  <c r="F887" i="3"/>
  <c r="E887" i="3"/>
  <c r="I887" i="3" s="1"/>
  <c r="D887" i="3"/>
  <c r="C887" i="3"/>
  <c r="B887" i="3"/>
  <c r="A887" i="3"/>
  <c r="H886" i="3"/>
  <c r="G886" i="3"/>
  <c r="F886" i="3"/>
  <c r="E886" i="3"/>
  <c r="I886" i="3" s="1"/>
  <c r="D886" i="3"/>
  <c r="C886" i="3"/>
  <c r="B886" i="3"/>
  <c r="A886" i="3"/>
  <c r="H885" i="3"/>
  <c r="G885" i="3"/>
  <c r="F885" i="3"/>
  <c r="E885" i="3"/>
  <c r="I885" i="3" s="1"/>
  <c r="D885" i="3"/>
  <c r="C885" i="3"/>
  <c r="B885" i="3"/>
  <c r="A885" i="3"/>
  <c r="H884" i="3"/>
  <c r="G884" i="3"/>
  <c r="F884" i="3"/>
  <c r="E884" i="3"/>
  <c r="I884" i="3" s="1"/>
  <c r="D884" i="3"/>
  <c r="C884" i="3"/>
  <c r="B884" i="3"/>
  <c r="A884" i="3"/>
  <c r="H883" i="3"/>
  <c r="G883" i="3"/>
  <c r="F883" i="3"/>
  <c r="E883" i="3"/>
  <c r="I883" i="3" s="1"/>
  <c r="D883" i="3"/>
  <c r="C883" i="3"/>
  <c r="B883" i="3"/>
  <c r="A883" i="3"/>
  <c r="H882" i="3"/>
  <c r="G882" i="3"/>
  <c r="F882" i="3"/>
  <c r="E882" i="3"/>
  <c r="I882" i="3" s="1"/>
  <c r="D882" i="3"/>
  <c r="C882" i="3"/>
  <c r="B882" i="3"/>
  <c r="A882" i="3"/>
  <c r="H881" i="3"/>
  <c r="G881" i="3"/>
  <c r="F881" i="3"/>
  <c r="E881" i="3"/>
  <c r="I881" i="3" s="1"/>
  <c r="D881" i="3"/>
  <c r="C881" i="3"/>
  <c r="B881" i="3"/>
  <c r="A881" i="3"/>
  <c r="H880" i="3"/>
  <c r="G880" i="3"/>
  <c r="F880" i="3"/>
  <c r="E880" i="3"/>
  <c r="I880" i="3" s="1"/>
  <c r="D880" i="3"/>
  <c r="C880" i="3"/>
  <c r="B880" i="3"/>
  <c r="A880" i="3"/>
  <c r="H879" i="3"/>
  <c r="G879" i="3"/>
  <c r="F879" i="3"/>
  <c r="E879" i="3"/>
  <c r="I879" i="3" s="1"/>
  <c r="D879" i="3"/>
  <c r="C879" i="3"/>
  <c r="B879" i="3"/>
  <c r="A879" i="3"/>
  <c r="H878" i="3"/>
  <c r="G878" i="3"/>
  <c r="F878" i="3"/>
  <c r="E878" i="3"/>
  <c r="I878" i="3" s="1"/>
  <c r="D878" i="3"/>
  <c r="C878" i="3"/>
  <c r="B878" i="3"/>
  <c r="A878" i="3"/>
  <c r="H877" i="3"/>
  <c r="G877" i="3"/>
  <c r="F877" i="3"/>
  <c r="E877" i="3"/>
  <c r="I877" i="3" s="1"/>
  <c r="D877" i="3"/>
  <c r="C877" i="3"/>
  <c r="B877" i="3"/>
  <c r="A877" i="3"/>
  <c r="H876" i="3"/>
  <c r="G876" i="3"/>
  <c r="F876" i="3"/>
  <c r="E876" i="3"/>
  <c r="I876" i="3" s="1"/>
  <c r="D876" i="3"/>
  <c r="C876" i="3"/>
  <c r="B876" i="3"/>
  <c r="A876" i="3"/>
  <c r="H875" i="3"/>
  <c r="G875" i="3"/>
  <c r="F875" i="3"/>
  <c r="E875" i="3"/>
  <c r="I875" i="3" s="1"/>
  <c r="D875" i="3"/>
  <c r="C875" i="3"/>
  <c r="B875" i="3"/>
  <c r="A875" i="3"/>
  <c r="H874" i="3"/>
  <c r="G874" i="3"/>
  <c r="F874" i="3"/>
  <c r="E874" i="3"/>
  <c r="I874" i="3" s="1"/>
  <c r="D874" i="3"/>
  <c r="C874" i="3"/>
  <c r="B874" i="3"/>
  <c r="A874" i="3"/>
  <c r="H873" i="3"/>
  <c r="G873" i="3"/>
  <c r="F873" i="3"/>
  <c r="E873" i="3"/>
  <c r="I873" i="3" s="1"/>
  <c r="D873" i="3"/>
  <c r="C873" i="3"/>
  <c r="B873" i="3"/>
  <c r="A873" i="3"/>
  <c r="H872" i="3"/>
  <c r="G872" i="3"/>
  <c r="F872" i="3"/>
  <c r="E872" i="3"/>
  <c r="I872" i="3" s="1"/>
  <c r="D872" i="3"/>
  <c r="C872" i="3"/>
  <c r="B872" i="3"/>
  <c r="A872" i="3"/>
  <c r="H871" i="3"/>
  <c r="G871" i="3"/>
  <c r="F871" i="3"/>
  <c r="E871" i="3"/>
  <c r="I871" i="3" s="1"/>
  <c r="D871" i="3"/>
  <c r="C871" i="3"/>
  <c r="B871" i="3"/>
  <c r="A871" i="3"/>
  <c r="H870" i="3"/>
  <c r="G870" i="3"/>
  <c r="F870" i="3"/>
  <c r="E870" i="3"/>
  <c r="I870" i="3" s="1"/>
  <c r="D870" i="3"/>
  <c r="C870" i="3"/>
  <c r="B870" i="3"/>
  <c r="A870" i="3"/>
  <c r="H869" i="3"/>
  <c r="G869" i="3"/>
  <c r="F869" i="3"/>
  <c r="E869" i="3"/>
  <c r="I869" i="3" s="1"/>
  <c r="D869" i="3"/>
  <c r="C869" i="3"/>
  <c r="B869" i="3"/>
  <c r="A869" i="3"/>
  <c r="H868" i="3"/>
  <c r="G868" i="3"/>
  <c r="F868" i="3"/>
  <c r="E868" i="3"/>
  <c r="I868" i="3" s="1"/>
  <c r="D868" i="3"/>
  <c r="C868" i="3"/>
  <c r="B868" i="3"/>
  <c r="A868" i="3"/>
  <c r="H867" i="3"/>
  <c r="G867" i="3"/>
  <c r="F867" i="3"/>
  <c r="E867" i="3"/>
  <c r="I867" i="3" s="1"/>
  <c r="D867" i="3"/>
  <c r="C867" i="3"/>
  <c r="B867" i="3"/>
  <c r="A867" i="3"/>
  <c r="H866" i="3"/>
  <c r="G866" i="3"/>
  <c r="F866" i="3"/>
  <c r="E866" i="3"/>
  <c r="I866" i="3" s="1"/>
  <c r="D866" i="3"/>
  <c r="C866" i="3"/>
  <c r="B866" i="3"/>
  <c r="A866" i="3"/>
  <c r="H865" i="3"/>
  <c r="G865" i="3"/>
  <c r="F865" i="3"/>
  <c r="E865" i="3"/>
  <c r="I865" i="3" s="1"/>
  <c r="D865" i="3"/>
  <c r="C865" i="3"/>
  <c r="B865" i="3"/>
  <c r="A865" i="3"/>
  <c r="H864" i="3"/>
  <c r="G864" i="3"/>
  <c r="F864" i="3"/>
  <c r="E864" i="3"/>
  <c r="I864" i="3" s="1"/>
  <c r="D864" i="3"/>
  <c r="C864" i="3"/>
  <c r="B864" i="3"/>
  <c r="A864" i="3"/>
  <c r="H863" i="3"/>
  <c r="G863" i="3"/>
  <c r="F863" i="3"/>
  <c r="E863" i="3"/>
  <c r="I863" i="3" s="1"/>
  <c r="D863" i="3"/>
  <c r="C863" i="3"/>
  <c r="B863" i="3"/>
  <c r="A863" i="3"/>
  <c r="H862" i="3"/>
  <c r="G862" i="3"/>
  <c r="F862" i="3"/>
  <c r="E862" i="3"/>
  <c r="I862" i="3" s="1"/>
  <c r="D862" i="3"/>
  <c r="C862" i="3"/>
  <c r="B862" i="3"/>
  <c r="A862" i="3"/>
  <c r="H861" i="3"/>
  <c r="G861" i="3"/>
  <c r="F861" i="3"/>
  <c r="E861" i="3"/>
  <c r="I861" i="3" s="1"/>
  <c r="D861" i="3"/>
  <c r="C861" i="3"/>
  <c r="B861" i="3"/>
  <c r="A861" i="3"/>
  <c r="H860" i="3"/>
  <c r="G860" i="3"/>
  <c r="F860" i="3"/>
  <c r="E860" i="3"/>
  <c r="I860" i="3" s="1"/>
  <c r="D860" i="3"/>
  <c r="C860" i="3"/>
  <c r="B860" i="3"/>
  <c r="A860" i="3"/>
  <c r="H859" i="3"/>
  <c r="G859" i="3"/>
  <c r="F859" i="3"/>
  <c r="E859" i="3"/>
  <c r="I859" i="3" s="1"/>
  <c r="D859" i="3"/>
  <c r="C859" i="3"/>
  <c r="B859" i="3"/>
  <c r="A859" i="3"/>
  <c r="H858" i="3"/>
  <c r="G858" i="3"/>
  <c r="F858" i="3"/>
  <c r="E858" i="3"/>
  <c r="I858" i="3" s="1"/>
  <c r="D858" i="3"/>
  <c r="C858" i="3"/>
  <c r="B858" i="3"/>
  <c r="A858" i="3"/>
  <c r="H857" i="3"/>
  <c r="G857" i="3"/>
  <c r="F857" i="3"/>
  <c r="E857" i="3"/>
  <c r="I857" i="3" s="1"/>
  <c r="D857" i="3"/>
  <c r="C857" i="3"/>
  <c r="B857" i="3"/>
  <c r="A857" i="3"/>
  <c r="H856" i="3"/>
  <c r="G856" i="3"/>
  <c r="F856" i="3"/>
  <c r="E856" i="3"/>
  <c r="I856" i="3" s="1"/>
  <c r="D856" i="3"/>
  <c r="C856" i="3"/>
  <c r="B856" i="3"/>
  <c r="A856" i="3"/>
  <c r="H855" i="3"/>
  <c r="G855" i="3"/>
  <c r="F855" i="3"/>
  <c r="E855" i="3"/>
  <c r="I855" i="3" s="1"/>
  <c r="D855" i="3"/>
  <c r="C855" i="3"/>
  <c r="B855" i="3"/>
  <c r="A855" i="3"/>
  <c r="H854" i="3"/>
  <c r="G854" i="3"/>
  <c r="F854" i="3"/>
  <c r="E854" i="3"/>
  <c r="I854" i="3" s="1"/>
  <c r="D854" i="3"/>
  <c r="C854" i="3"/>
  <c r="B854" i="3"/>
  <c r="A854" i="3"/>
  <c r="H853" i="3"/>
  <c r="G853" i="3"/>
  <c r="F853" i="3"/>
  <c r="E853" i="3"/>
  <c r="I853" i="3" s="1"/>
  <c r="D853" i="3"/>
  <c r="C853" i="3"/>
  <c r="B853" i="3"/>
  <c r="A853" i="3"/>
  <c r="H852" i="3"/>
  <c r="G852" i="3"/>
  <c r="F852" i="3"/>
  <c r="E852" i="3"/>
  <c r="I852" i="3" s="1"/>
  <c r="D852" i="3"/>
  <c r="C852" i="3"/>
  <c r="B852" i="3"/>
  <c r="A852" i="3"/>
  <c r="H851" i="3"/>
  <c r="G851" i="3"/>
  <c r="F851" i="3"/>
  <c r="E851" i="3"/>
  <c r="I851" i="3" s="1"/>
  <c r="D851" i="3"/>
  <c r="C851" i="3"/>
  <c r="B851" i="3"/>
  <c r="A851" i="3"/>
  <c r="H850" i="3"/>
  <c r="G850" i="3"/>
  <c r="F850" i="3"/>
  <c r="E850" i="3"/>
  <c r="I850" i="3" s="1"/>
  <c r="D850" i="3"/>
  <c r="C850" i="3"/>
  <c r="B850" i="3"/>
  <c r="A850" i="3"/>
  <c r="H849" i="3"/>
  <c r="G849" i="3"/>
  <c r="F849" i="3"/>
  <c r="E849" i="3"/>
  <c r="I849" i="3" s="1"/>
  <c r="D849" i="3"/>
  <c r="C849" i="3"/>
  <c r="B849" i="3"/>
  <c r="A849" i="3"/>
  <c r="H848" i="3"/>
  <c r="G848" i="3"/>
  <c r="F848" i="3"/>
  <c r="E848" i="3"/>
  <c r="I848" i="3" s="1"/>
  <c r="D848" i="3"/>
  <c r="C848" i="3"/>
  <c r="B848" i="3"/>
  <c r="A848" i="3"/>
  <c r="H847" i="3"/>
  <c r="G847" i="3"/>
  <c r="F847" i="3"/>
  <c r="E847" i="3"/>
  <c r="I847" i="3" s="1"/>
  <c r="D847" i="3"/>
  <c r="C847" i="3"/>
  <c r="B847" i="3"/>
  <c r="A847" i="3"/>
  <c r="H846" i="3"/>
  <c r="G846" i="3"/>
  <c r="F846" i="3"/>
  <c r="E846" i="3"/>
  <c r="I846" i="3" s="1"/>
  <c r="D846" i="3"/>
  <c r="C846" i="3"/>
  <c r="B846" i="3"/>
  <c r="A846" i="3"/>
  <c r="H845" i="3"/>
  <c r="G845" i="3"/>
  <c r="F845" i="3"/>
  <c r="E845" i="3"/>
  <c r="I845" i="3" s="1"/>
  <c r="D845" i="3"/>
  <c r="C845" i="3"/>
  <c r="B845" i="3"/>
  <c r="A845" i="3"/>
  <c r="H844" i="3"/>
  <c r="G844" i="3"/>
  <c r="F844" i="3"/>
  <c r="E844" i="3"/>
  <c r="I844" i="3" s="1"/>
  <c r="D844" i="3"/>
  <c r="C844" i="3"/>
  <c r="B844" i="3"/>
  <c r="A844" i="3"/>
  <c r="H843" i="3"/>
  <c r="G843" i="3"/>
  <c r="F843" i="3"/>
  <c r="E843" i="3"/>
  <c r="I843" i="3" s="1"/>
  <c r="D843" i="3"/>
  <c r="C843" i="3"/>
  <c r="B843" i="3"/>
  <c r="A843" i="3"/>
  <c r="H842" i="3"/>
  <c r="G842" i="3"/>
  <c r="F842" i="3"/>
  <c r="E842" i="3"/>
  <c r="I842" i="3" s="1"/>
  <c r="D842" i="3"/>
  <c r="C842" i="3"/>
  <c r="B842" i="3"/>
  <c r="A842" i="3"/>
  <c r="H841" i="3"/>
  <c r="G841" i="3"/>
  <c r="F841" i="3"/>
  <c r="E841" i="3"/>
  <c r="I841" i="3" s="1"/>
  <c r="D841" i="3"/>
  <c r="C841" i="3"/>
  <c r="B841" i="3"/>
  <c r="A841" i="3"/>
  <c r="H840" i="3"/>
  <c r="G840" i="3"/>
  <c r="F840" i="3"/>
  <c r="E840" i="3"/>
  <c r="I840" i="3" s="1"/>
  <c r="D840" i="3"/>
  <c r="C840" i="3"/>
  <c r="B840" i="3"/>
  <c r="A840" i="3"/>
  <c r="H839" i="3"/>
  <c r="G839" i="3"/>
  <c r="F839" i="3"/>
  <c r="E839" i="3"/>
  <c r="I839" i="3" s="1"/>
  <c r="D839" i="3"/>
  <c r="C839" i="3"/>
  <c r="B839" i="3"/>
  <c r="A839" i="3"/>
  <c r="H838" i="3"/>
  <c r="G838" i="3"/>
  <c r="F838" i="3"/>
  <c r="E838" i="3"/>
  <c r="I838" i="3" s="1"/>
  <c r="D838" i="3"/>
  <c r="C838" i="3"/>
  <c r="B838" i="3"/>
  <c r="A838" i="3"/>
  <c r="H837" i="3"/>
  <c r="G837" i="3"/>
  <c r="F837" i="3"/>
  <c r="E837" i="3"/>
  <c r="I837" i="3" s="1"/>
  <c r="D837" i="3"/>
  <c r="C837" i="3"/>
  <c r="B837" i="3"/>
  <c r="A837" i="3"/>
  <c r="H836" i="3"/>
  <c r="G836" i="3"/>
  <c r="F836" i="3"/>
  <c r="E836" i="3"/>
  <c r="I836" i="3" s="1"/>
  <c r="D836" i="3"/>
  <c r="C836" i="3"/>
  <c r="B836" i="3"/>
  <c r="A836" i="3"/>
  <c r="H835" i="3"/>
  <c r="G835" i="3"/>
  <c r="F835" i="3"/>
  <c r="E835" i="3"/>
  <c r="I835" i="3" s="1"/>
  <c r="D835" i="3"/>
  <c r="C835" i="3"/>
  <c r="B835" i="3"/>
  <c r="A835" i="3"/>
  <c r="H834" i="3"/>
  <c r="G834" i="3"/>
  <c r="F834" i="3"/>
  <c r="E834" i="3"/>
  <c r="I834" i="3" s="1"/>
  <c r="D834" i="3"/>
  <c r="C834" i="3"/>
  <c r="B834" i="3"/>
  <c r="A834" i="3"/>
  <c r="H833" i="3"/>
  <c r="G833" i="3"/>
  <c r="F833" i="3"/>
  <c r="E833" i="3"/>
  <c r="I833" i="3" s="1"/>
  <c r="D833" i="3"/>
  <c r="C833" i="3"/>
  <c r="B833" i="3"/>
  <c r="A833" i="3"/>
  <c r="H832" i="3"/>
  <c r="G832" i="3"/>
  <c r="F832" i="3"/>
  <c r="E832" i="3"/>
  <c r="I832" i="3" s="1"/>
  <c r="D832" i="3"/>
  <c r="C832" i="3"/>
  <c r="B832" i="3"/>
  <c r="A832" i="3"/>
  <c r="H831" i="3"/>
  <c r="G831" i="3"/>
  <c r="F831" i="3"/>
  <c r="E831" i="3"/>
  <c r="I831" i="3" s="1"/>
  <c r="D831" i="3"/>
  <c r="C831" i="3"/>
  <c r="B831" i="3"/>
  <c r="A831" i="3"/>
  <c r="H830" i="3"/>
  <c r="G830" i="3"/>
  <c r="F830" i="3"/>
  <c r="E830" i="3"/>
  <c r="I830" i="3" s="1"/>
  <c r="D830" i="3"/>
  <c r="C830" i="3"/>
  <c r="B830" i="3"/>
  <c r="A830" i="3"/>
  <c r="H829" i="3"/>
  <c r="G829" i="3"/>
  <c r="F829" i="3"/>
  <c r="E829" i="3"/>
  <c r="I829" i="3" s="1"/>
  <c r="D829" i="3"/>
  <c r="C829" i="3"/>
  <c r="B829" i="3"/>
  <c r="A829" i="3"/>
  <c r="H828" i="3"/>
  <c r="G828" i="3"/>
  <c r="F828" i="3"/>
  <c r="E828" i="3"/>
  <c r="I828" i="3" s="1"/>
  <c r="D828" i="3"/>
  <c r="C828" i="3"/>
  <c r="B828" i="3"/>
  <c r="A828" i="3"/>
  <c r="H827" i="3"/>
  <c r="G827" i="3"/>
  <c r="F827" i="3"/>
  <c r="E827" i="3"/>
  <c r="I827" i="3" s="1"/>
  <c r="D827" i="3"/>
  <c r="C827" i="3"/>
  <c r="B827" i="3"/>
  <c r="A827" i="3"/>
  <c r="H826" i="3"/>
  <c r="G826" i="3"/>
  <c r="F826" i="3"/>
  <c r="E826" i="3"/>
  <c r="I826" i="3" s="1"/>
  <c r="D826" i="3"/>
  <c r="C826" i="3"/>
  <c r="B826" i="3"/>
  <c r="A826" i="3"/>
  <c r="H825" i="3"/>
  <c r="G825" i="3"/>
  <c r="F825" i="3"/>
  <c r="E825" i="3"/>
  <c r="I825" i="3" s="1"/>
  <c r="D825" i="3"/>
  <c r="C825" i="3"/>
  <c r="B825" i="3"/>
  <c r="A825" i="3"/>
  <c r="H824" i="3"/>
  <c r="G824" i="3"/>
  <c r="F824" i="3"/>
  <c r="E824" i="3"/>
  <c r="I824" i="3" s="1"/>
  <c r="D824" i="3"/>
  <c r="C824" i="3"/>
  <c r="B824" i="3"/>
  <c r="A824" i="3"/>
  <c r="H823" i="3"/>
  <c r="G823" i="3"/>
  <c r="F823" i="3"/>
  <c r="E823" i="3"/>
  <c r="I823" i="3" s="1"/>
  <c r="D823" i="3"/>
  <c r="C823" i="3"/>
  <c r="B823" i="3"/>
  <c r="A823" i="3"/>
  <c r="H822" i="3"/>
  <c r="G822" i="3"/>
  <c r="F822" i="3"/>
  <c r="E822" i="3"/>
  <c r="I822" i="3" s="1"/>
  <c r="D822" i="3"/>
  <c r="C822" i="3"/>
  <c r="B822" i="3"/>
  <c r="A822" i="3"/>
  <c r="H821" i="3"/>
  <c r="G821" i="3"/>
  <c r="F821" i="3"/>
  <c r="E821" i="3"/>
  <c r="I821" i="3" s="1"/>
  <c r="D821" i="3"/>
  <c r="C821" i="3"/>
  <c r="B821" i="3"/>
  <c r="A821" i="3"/>
  <c r="H820" i="3"/>
  <c r="G820" i="3"/>
  <c r="F820" i="3"/>
  <c r="E820" i="3"/>
  <c r="I820" i="3" s="1"/>
  <c r="D820" i="3"/>
  <c r="C820" i="3"/>
  <c r="B820" i="3"/>
  <c r="A820" i="3"/>
  <c r="H819" i="3"/>
  <c r="G819" i="3"/>
  <c r="F819" i="3"/>
  <c r="E819" i="3"/>
  <c r="I819" i="3" s="1"/>
  <c r="D819" i="3"/>
  <c r="C819" i="3"/>
  <c r="B819" i="3"/>
  <c r="A819" i="3"/>
  <c r="H818" i="3"/>
  <c r="G818" i="3"/>
  <c r="F818" i="3"/>
  <c r="E818" i="3"/>
  <c r="I818" i="3" s="1"/>
  <c r="D818" i="3"/>
  <c r="C818" i="3"/>
  <c r="B818" i="3"/>
  <c r="A818" i="3"/>
  <c r="H817" i="3"/>
  <c r="G817" i="3"/>
  <c r="F817" i="3"/>
  <c r="E817" i="3"/>
  <c r="I817" i="3" s="1"/>
  <c r="D817" i="3"/>
  <c r="C817" i="3"/>
  <c r="B817" i="3"/>
  <c r="A817" i="3"/>
  <c r="H816" i="3"/>
  <c r="G816" i="3"/>
  <c r="F816" i="3"/>
  <c r="E816" i="3"/>
  <c r="I816" i="3" s="1"/>
  <c r="D816" i="3"/>
  <c r="C816" i="3"/>
  <c r="B816" i="3"/>
  <c r="A816" i="3"/>
  <c r="H815" i="3"/>
  <c r="G815" i="3"/>
  <c r="F815" i="3"/>
  <c r="E815" i="3"/>
  <c r="I815" i="3" s="1"/>
  <c r="D815" i="3"/>
  <c r="C815" i="3"/>
  <c r="B815" i="3"/>
  <c r="A815" i="3"/>
  <c r="H814" i="3"/>
  <c r="G814" i="3"/>
  <c r="F814" i="3"/>
  <c r="E814" i="3"/>
  <c r="I814" i="3" s="1"/>
  <c r="D814" i="3"/>
  <c r="C814" i="3"/>
  <c r="B814" i="3"/>
  <c r="A814" i="3"/>
  <c r="H813" i="3"/>
  <c r="G813" i="3"/>
  <c r="F813" i="3"/>
  <c r="E813" i="3"/>
  <c r="I813" i="3" s="1"/>
  <c r="D813" i="3"/>
  <c r="C813" i="3"/>
  <c r="B813" i="3"/>
  <c r="A813" i="3"/>
  <c r="H812" i="3"/>
  <c r="G812" i="3"/>
  <c r="F812" i="3"/>
  <c r="E812" i="3"/>
  <c r="I812" i="3" s="1"/>
  <c r="D812" i="3"/>
  <c r="C812" i="3"/>
  <c r="B812" i="3"/>
  <c r="A812" i="3"/>
  <c r="H811" i="3"/>
  <c r="G811" i="3"/>
  <c r="F811" i="3"/>
  <c r="E811" i="3"/>
  <c r="I811" i="3" s="1"/>
  <c r="D811" i="3"/>
  <c r="C811" i="3"/>
  <c r="B811" i="3"/>
  <c r="A811" i="3"/>
  <c r="H810" i="3"/>
  <c r="G810" i="3"/>
  <c r="F810" i="3"/>
  <c r="E810" i="3"/>
  <c r="I810" i="3" s="1"/>
  <c r="D810" i="3"/>
  <c r="C810" i="3"/>
  <c r="B810" i="3"/>
  <c r="A810" i="3"/>
  <c r="H809" i="3"/>
  <c r="G809" i="3"/>
  <c r="F809" i="3"/>
  <c r="E809" i="3"/>
  <c r="I809" i="3" s="1"/>
  <c r="D809" i="3"/>
  <c r="C809" i="3"/>
  <c r="B809" i="3"/>
  <c r="A809" i="3"/>
  <c r="H808" i="3"/>
  <c r="G808" i="3"/>
  <c r="F808" i="3"/>
  <c r="E808" i="3"/>
  <c r="I808" i="3" s="1"/>
  <c r="D808" i="3"/>
  <c r="C808" i="3"/>
  <c r="B808" i="3"/>
  <c r="A808" i="3"/>
  <c r="H807" i="3"/>
  <c r="G807" i="3"/>
  <c r="F807" i="3"/>
  <c r="E807" i="3"/>
  <c r="I807" i="3" s="1"/>
  <c r="D807" i="3"/>
  <c r="C807" i="3"/>
  <c r="B807" i="3"/>
  <c r="A807" i="3"/>
  <c r="H806" i="3"/>
  <c r="G806" i="3"/>
  <c r="F806" i="3"/>
  <c r="E806" i="3"/>
  <c r="I806" i="3" s="1"/>
  <c r="D806" i="3"/>
  <c r="C806" i="3"/>
  <c r="B806" i="3"/>
  <c r="A806" i="3"/>
  <c r="H805" i="3"/>
  <c r="G805" i="3"/>
  <c r="F805" i="3"/>
  <c r="E805" i="3"/>
  <c r="I805" i="3" s="1"/>
  <c r="D805" i="3"/>
  <c r="C805" i="3"/>
  <c r="B805" i="3"/>
  <c r="A805" i="3"/>
  <c r="H804" i="3"/>
  <c r="G804" i="3"/>
  <c r="F804" i="3"/>
  <c r="E804" i="3"/>
  <c r="I804" i="3" s="1"/>
  <c r="D804" i="3"/>
  <c r="C804" i="3"/>
  <c r="B804" i="3"/>
  <c r="A804" i="3"/>
  <c r="H803" i="3"/>
  <c r="G803" i="3"/>
  <c r="F803" i="3"/>
  <c r="E803" i="3"/>
  <c r="I803" i="3" s="1"/>
  <c r="D803" i="3"/>
  <c r="C803" i="3"/>
  <c r="B803" i="3"/>
  <c r="A803" i="3"/>
  <c r="H802" i="3"/>
  <c r="G802" i="3"/>
  <c r="F802" i="3"/>
  <c r="E802" i="3"/>
  <c r="I802" i="3" s="1"/>
  <c r="D802" i="3"/>
  <c r="C802" i="3"/>
  <c r="B802" i="3"/>
  <c r="A802" i="3"/>
  <c r="H801" i="3"/>
  <c r="G801" i="3"/>
  <c r="F801" i="3"/>
  <c r="E801" i="3"/>
  <c r="I801" i="3" s="1"/>
  <c r="D801" i="3"/>
  <c r="C801" i="3"/>
  <c r="B801" i="3"/>
  <c r="A801" i="3"/>
  <c r="H800" i="3"/>
  <c r="G800" i="3"/>
  <c r="F800" i="3"/>
  <c r="E800" i="3"/>
  <c r="I800" i="3" s="1"/>
  <c r="D800" i="3"/>
  <c r="C800" i="3"/>
  <c r="B800" i="3"/>
  <c r="A800" i="3"/>
  <c r="H799" i="3"/>
  <c r="G799" i="3"/>
  <c r="F799" i="3"/>
  <c r="E799" i="3"/>
  <c r="I799" i="3" s="1"/>
  <c r="D799" i="3"/>
  <c r="C799" i="3"/>
  <c r="B799" i="3"/>
  <c r="A799" i="3"/>
  <c r="H798" i="3"/>
  <c r="G798" i="3"/>
  <c r="F798" i="3"/>
  <c r="E798" i="3"/>
  <c r="I798" i="3" s="1"/>
  <c r="D798" i="3"/>
  <c r="C798" i="3"/>
  <c r="B798" i="3"/>
  <c r="A798" i="3"/>
  <c r="H797" i="3"/>
  <c r="G797" i="3"/>
  <c r="F797" i="3"/>
  <c r="E797" i="3"/>
  <c r="I797" i="3" s="1"/>
  <c r="D797" i="3"/>
  <c r="C797" i="3"/>
  <c r="B797" i="3"/>
  <c r="A797" i="3"/>
  <c r="H796" i="3"/>
  <c r="G796" i="3"/>
  <c r="F796" i="3"/>
  <c r="E796" i="3"/>
  <c r="I796" i="3" s="1"/>
  <c r="D796" i="3"/>
  <c r="C796" i="3"/>
  <c r="B796" i="3"/>
  <c r="A796" i="3"/>
  <c r="H795" i="3"/>
  <c r="G795" i="3"/>
  <c r="F795" i="3"/>
  <c r="E795" i="3"/>
  <c r="I795" i="3" s="1"/>
  <c r="D795" i="3"/>
  <c r="C795" i="3"/>
  <c r="B795" i="3"/>
  <c r="A795" i="3"/>
  <c r="H794" i="3"/>
  <c r="G794" i="3"/>
  <c r="F794" i="3"/>
  <c r="E794" i="3"/>
  <c r="I794" i="3" s="1"/>
  <c r="D794" i="3"/>
  <c r="C794" i="3"/>
  <c r="B794" i="3"/>
  <c r="A794" i="3"/>
  <c r="H793" i="3"/>
  <c r="G793" i="3"/>
  <c r="F793" i="3"/>
  <c r="E793" i="3"/>
  <c r="I793" i="3" s="1"/>
  <c r="D793" i="3"/>
  <c r="C793" i="3"/>
  <c r="B793" i="3"/>
  <c r="A793" i="3"/>
  <c r="H792" i="3"/>
  <c r="G792" i="3"/>
  <c r="F792" i="3"/>
  <c r="E792" i="3"/>
  <c r="I792" i="3" s="1"/>
  <c r="D792" i="3"/>
  <c r="C792" i="3"/>
  <c r="B792" i="3"/>
  <c r="A792" i="3"/>
  <c r="H791" i="3"/>
  <c r="G791" i="3"/>
  <c r="F791" i="3"/>
  <c r="E791" i="3"/>
  <c r="I791" i="3" s="1"/>
  <c r="D791" i="3"/>
  <c r="C791" i="3"/>
  <c r="B791" i="3"/>
  <c r="A791" i="3"/>
  <c r="H790" i="3"/>
  <c r="G790" i="3"/>
  <c r="F790" i="3"/>
  <c r="E790" i="3"/>
  <c r="I790" i="3" s="1"/>
  <c r="D790" i="3"/>
  <c r="C790" i="3"/>
  <c r="B790" i="3"/>
  <c r="A790" i="3"/>
  <c r="H789" i="3"/>
  <c r="G789" i="3"/>
  <c r="F789" i="3"/>
  <c r="E789" i="3"/>
  <c r="I789" i="3" s="1"/>
  <c r="D789" i="3"/>
  <c r="C789" i="3"/>
  <c r="B789" i="3"/>
  <c r="A789" i="3"/>
  <c r="H788" i="3"/>
  <c r="G788" i="3"/>
  <c r="F788" i="3"/>
  <c r="E788" i="3"/>
  <c r="I788" i="3" s="1"/>
  <c r="D788" i="3"/>
  <c r="C788" i="3"/>
  <c r="B788" i="3"/>
  <c r="A788" i="3"/>
  <c r="H787" i="3"/>
  <c r="G787" i="3"/>
  <c r="F787" i="3"/>
  <c r="E787" i="3"/>
  <c r="I787" i="3" s="1"/>
  <c r="D787" i="3"/>
  <c r="C787" i="3"/>
  <c r="B787" i="3"/>
  <c r="A787" i="3"/>
  <c r="H786" i="3"/>
  <c r="G786" i="3"/>
  <c r="F786" i="3"/>
  <c r="E786" i="3"/>
  <c r="I786" i="3" s="1"/>
  <c r="D786" i="3"/>
  <c r="C786" i="3"/>
  <c r="B786" i="3"/>
  <c r="A786" i="3"/>
  <c r="H785" i="3"/>
  <c r="G785" i="3"/>
  <c r="F785" i="3"/>
  <c r="E785" i="3"/>
  <c r="I785" i="3" s="1"/>
  <c r="D785" i="3"/>
  <c r="C785" i="3"/>
  <c r="B785" i="3"/>
  <c r="A785" i="3"/>
  <c r="H784" i="3"/>
  <c r="G784" i="3"/>
  <c r="F784" i="3"/>
  <c r="E784" i="3"/>
  <c r="I784" i="3" s="1"/>
  <c r="D784" i="3"/>
  <c r="C784" i="3"/>
  <c r="B784" i="3"/>
  <c r="A784" i="3"/>
  <c r="H783" i="3"/>
  <c r="G783" i="3"/>
  <c r="F783" i="3"/>
  <c r="E783" i="3"/>
  <c r="I783" i="3" s="1"/>
  <c r="D783" i="3"/>
  <c r="C783" i="3"/>
  <c r="B783" i="3"/>
  <c r="A783" i="3"/>
  <c r="H782" i="3"/>
  <c r="G782" i="3"/>
  <c r="F782" i="3"/>
  <c r="E782" i="3"/>
  <c r="I782" i="3" s="1"/>
  <c r="D782" i="3"/>
  <c r="C782" i="3"/>
  <c r="B782" i="3"/>
  <c r="A782" i="3"/>
  <c r="H781" i="3"/>
  <c r="G781" i="3"/>
  <c r="F781" i="3"/>
  <c r="E781" i="3"/>
  <c r="I781" i="3" s="1"/>
  <c r="D781" i="3"/>
  <c r="C781" i="3"/>
  <c r="B781" i="3"/>
  <c r="A781" i="3"/>
  <c r="H780" i="3"/>
  <c r="G780" i="3"/>
  <c r="F780" i="3"/>
  <c r="E780" i="3"/>
  <c r="I780" i="3" s="1"/>
  <c r="D780" i="3"/>
  <c r="C780" i="3"/>
  <c r="B780" i="3"/>
  <c r="A780" i="3"/>
  <c r="H779" i="3"/>
  <c r="G779" i="3"/>
  <c r="F779" i="3"/>
  <c r="E779" i="3"/>
  <c r="I779" i="3" s="1"/>
  <c r="D779" i="3"/>
  <c r="C779" i="3"/>
  <c r="B779" i="3"/>
  <c r="A779" i="3"/>
  <c r="H778" i="3"/>
  <c r="G778" i="3"/>
  <c r="F778" i="3"/>
  <c r="E778" i="3"/>
  <c r="I778" i="3" s="1"/>
  <c r="D778" i="3"/>
  <c r="C778" i="3"/>
  <c r="B778" i="3"/>
  <c r="A778" i="3"/>
  <c r="H777" i="3"/>
  <c r="G777" i="3"/>
  <c r="F777" i="3"/>
  <c r="E777" i="3"/>
  <c r="I777" i="3" s="1"/>
  <c r="D777" i="3"/>
  <c r="C777" i="3"/>
  <c r="B777" i="3"/>
  <c r="A777" i="3"/>
  <c r="H776" i="3"/>
  <c r="G776" i="3"/>
  <c r="F776" i="3"/>
  <c r="E776" i="3"/>
  <c r="I776" i="3" s="1"/>
  <c r="D776" i="3"/>
  <c r="C776" i="3"/>
  <c r="B776" i="3"/>
  <c r="A776" i="3"/>
  <c r="H775" i="3"/>
  <c r="G775" i="3"/>
  <c r="F775" i="3"/>
  <c r="E775" i="3"/>
  <c r="I775" i="3" s="1"/>
  <c r="D775" i="3"/>
  <c r="C775" i="3"/>
  <c r="B775" i="3"/>
  <c r="A775" i="3"/>
  <c r="H774" i="3"/>
  <c r="G774" i="3"/>
  <c r="F774" i="3"/>
  <c r="E774" i="3"/>
  <c r="I774" i="3" s="1"/>
  <c r="D774" i="3"/>
  <c r="C774" i="3"/>
  <c r="B774" i="3"/>
  <c r="A774" i="3"/>
  <c r="H773" i="3"/>
  <c r="G773" i="3"/>
  <c r="F773" i="3"/>
  <c r="E773" i="3"/>
  <c r="I773" i="3" s="1"/>
  <c r="D773" i="3"/>
  <c r="C773" i="3"/>
  <c r="B773" i="3"/>
  <c r="A773" i="3"/>
  <c r="H772" i="3"/>
  <c r="G772" i="3"/>
  <c r="F772" i="3"/>
  <c r="E772" i="3"/>
  <c r="I772" i="3" s="1"/>
  <c r="D772" i="3"/>
  <c r="C772" i="3"/>
  <c r="B772" i="3"/>
  <c r="A772" i="3"/>
  <c r="H771" i="3"/>
  <c r="G771" i="3"/>
  <c r="F771" i="3"/>
  <c r="E771" i="3"/>
  <c r="I771" i="3" s="1"/>
  <c r="D771" i="3"/>
  <c r="C771" i="3"/>
  <c r="B771" i="3"/>
  <c r="A771" i="3"/>
  <c r="H770" i="3"/>
  <c r="G770" i="3"/>
  <c r="F770" i="3"/>
  <c r="I770" i="3" s="1"/>
  <c r="E770" i="3"/>
  <c r="D770" i="3"/>
  <c r="C770" i="3"/>
  <c r="B770" i="3"/>
  <c r="A770" i="3"/>
  <c r="H769" i="3"/>
  <c r="G769" i="3"/>
  <c r="F769" i="3"/>
  <c r="E769" i="3"/>
  <c r="I769" i="3" s="1"/>
  <c r="D769" i="3"/>
  <c r="C769" i="3"/>
  <c r="B769" i="3"/>
  <c r="A769" i="3"/>
  <c r="H768" i="3"/>
  <c r="G768" i="3"/>
  <c r="F768" i="3"/>
  <c r="E768" i="3"/>
  <c r="I768" i="3" s="1"/>
  <c r="D768" i="3"/>
  <c r="C768" i="3"/>
  <c r="B768" i="3"/>
  <c r="A768" i="3"/>
  <c r="H767" i="3"/>
  <c r="G767" i="3"/>
  <c r="F767" i="3"/>
  <c r="E767" i="3"/>
  <c r="I767" i="3" s="1"/>
  <c r="D767" i="3"/>
  <c r="C767" i="3"/>
  <c r="B767" i="3"/>
  <c r="A767" i="3"/>
  <c r="H766" i="3"/>
  <c r="G766" i="3"/>
  <c r="F766" i="3"/>
  <c r="E766" i="3"/>
  <c r="I766" i="3" s="1"/>
  <c r="D766" i="3"/>
  <c r="C766" i="3"/>
  <c r="B766" i="3"/>
  <c r="A766" i="3"/>
  <c r="H765" i="3"/>
  <c r="G765" i="3"/>
  <c r="F765" i="3"/>
  <c r="E765" i="3"/>
  <c r="I765" i="3" s="1"/>
  <c r="D765" i="3"/>
  <c r="C765" i="3"/>
  <c r="B765" i="3"/>
  <c r="A765" i="3"/>
  <c r="H764" i="3"/>
  <c r="G764" i="3"/>
  <c r="F764" i="3"/>
  <c r="E764" i="3"/>
  <c r="I764" i="3" s="1"/>
  <c r="D764" i="3"/>
  <c r="C764" i="3"/>
  <c r="B764" i="3"/>
  <c r="A764" i="3"/>
  <c r="H763" i="3"/>
  <c r="G763" i="3"/>
  <c r="F763" i="3"/>
  <c r="E763" i="3"/>
  <c r="I763" i="3" s="1"/>
  <c r="D763" i="3"/>
  <c r="C763" i="3"/>
  <c r="B763" i="3"/>
  <c r="A763" i="3"/>
  <c r="H762" i="3"/>
  <c r="G762" i="3"/>
  <c r="F762" i="3"/>
  <c r="E762" i="3"/>
  <c r="I762" i="3" s="1"/>
  <c r="D762" i="3"/>
  <c r="C762" i="3"/>
  <c r="B762" i="3"/>
  <c r="A762" i="3"/>
  <c r="H761" i="3"/>
  <c r="G761" i="3"/>
  <c r="F761" i="3"/>
  <c r="E761" i="3"/>
  <c r="I761" i="3" s="1"/>
  <c r="D761" i="3"/>
  <c r="C761" i="3"/>
  <c r="B761" i="3"/>
  <c r="A761" i="3"/>
  <c r="H760" i="3"/>
  <c r="G760" i="3"/>
  <c r="F760" i="3"/>
  <c r="E760" i="3"/>
  <c r="I760" i="3" s="1"/>
  <c r="D760" i="3"/>
  <c r="C760" i="3"/>
  <c r="B760" i="3"/>
  <c r="A760" i="3"/>
  <c r="H759" i="3"/>
  <c r="G759" i="3"/>
  <c r="F759" i="3"/>
  <c r="E759" i="3"/>
  <c r="I759" i="3" s="1"/>
  <c r="D759" i="3"/>
  <c r="C759" i="3"/>
  <c r="B759" i="3"/>
  <c r="A759" i="3"/>
  <c r="H758" i="3"/>
  <c r="G758" i="3"/>
  <c r="F758" i="3"/>
  <c r="E758" i="3"/>
  <c r="I758" i="3" s="1"/>
  <c r="D758" i="3"/>
  <c r="C758" i="3"/>
  <c r="B758" i="3"/>
  <c r="A758" i="3"/>
  <c r="H757" i="3"/>
  <c r="G757" i="3"/>
  <c r="F757" i="3"/>
  <c r="E757" i="3"/>
  <c r="I757" i="3" s="1"/>
  <c r="D757" i="3"/>
  <c r="C757" i="3"/>
  <c r="B757" i="3"/>
  <c r="A757" i="3"/>
  <c r="H756" i="3"/>
  <c r="G756" i="3"/>
  <c r="F756" i="3"/>
  <c r="E756" i="3"/>
  <c r="I756" i="3" s="1"/>
  <c r="D756" i="3"/>
  <c r="C756" i="3"/>
  <c r="B756" i="3"/>
  <c r="A756" i="3"/>
  <c r="H755" i="3"/>
  <c r="G755" i="3"/>
  <c r="F755" i="3"/>
  <c r="E755" i="3"/>
  <c r="I755" i="3" s="1"/>
  <c r="D755" i="3"/>
  <c r="C755" i="3"/>
  <c r="B755" i="3"/>
  <c r="A755" i="3"/>
  <c r="H754" i="3"/>
  <c r="G754" i="3"/>
  <c r="F754" i="3"/>
  <c r="E754" i="3"/>
  <c r="I754" i="3" s="1"/>
  <c r="D754" i="3"/>
  <c r="C754" i="3"/>
  <c r="B754" i="3"/>
  <c r="A754" i="3"/>
  <c r="H753" i="3"/>
  <c r="G753" i="3"/>
  <c r="F753" i="3"/>
  <c r="E753" i="3"/>
  <c r="I753" i="3" s="1"/>
  <c r="D753" i="3"/>
  <c r="C753" i="3"/>
  <c r="B753" i="3"/>
  <c r="A753" i="3"/>
  <c r="H752" i="3"/>
  <c r="G752" i="3"/>
  <c r="F752" i="3"/>
  <c r="E752" i="3"/>
  <c r="I752" i="3" s="1"/>
  <c r="D752" i="3"/>
  <c r="C752" i="3"/>
  <c r="B752" i="3"/>
  <c r="A752" i="3"/>
  <c r="H751" i="3"/>
  <c r="G751" i="3"/>
  <c r="F751" i="3"/>
  <c r="E751" i="3"/>
  <c r="I751" i="3" s="1"/>
  <c r="D751" i="3"/>
  <c r="C751" i="3"/>
  <c r="B751" i="3"/>
  <c r="A751" i="3"/>
  <c r="H750" i="3"/>
  <c r="G750" i="3"/>
  <c r="F750" i="3"/>
  <c r="E750" i="3"/>
  <c r="I750" i="3" s="1"/>
  <c r="D750" i="3"/>
  <c r="C750" i="3"/>
  <c r="B750" i="3"/>
  <c r="A750" i="3"/>
  <c r="H749" i="3"/>
  <c r="G749" i="3"/>
  <c r="F749" i="3"/>
  <c r="E749" i="3"/>
  <c r="I749" i="3" s="1"/>
  <c r="D749" i="3"/>
  <c r="C749" i="3"/>
  <c r="B749" i="3"/>
  <c r="A749" i="3"/>
  <c r="H748" i="3"/>
  <c r="G748" i="3"/>
  <c r="F748" i="3"/>
  <c r="E748" i="3"/>
  <c r="I748" i="3" s="1"/>
  <c r="D748" i="3"/>
  <c r="C748" i="3"/>
  <c r="B748" i="3"/>
  <c r="A748" i="3"/>
  <c r="H747" i="3"/>
  <c r="G747" i="3"/>
  <c r="F747" i="3"/>
  <c r="E747" i="3"/>
  <c r="I747" i="3" s="1"/>
  <c r="D747" i="3"/>
  <c r="C747" i="3"/>
  <c r="B747" i="3"/>
  <c r="A747" i="3"/>
  <c r="H746" i="3"/>
  <c r="G746" i="3"/>
  <c r="F746" i="3"/>
  <c r="E746" i="3"/>
  <c r="I746" i="3" s="1"/>
  <c r="D746" i="3"/>
  <c r="C746" i="3"/>
  <c r="B746" i="3"/>
  <c r="A746" i="3"/>
  <c r="H745" i="3"/>
  <c r="G745" i="3"/>
  <c r="F745" i="3"/>
  <c r="E745" i="3"/>
  <c r="I745" i="3" s="1"/>
  <c r="D745" i="3"/>
  <c r="C745" i="3"/>
  <c r="B745" i="3"/>
  <c r="A745" i="3"/>
  <c r="H744" i="3"/>
  <c r="G744" i="3"/>
  <c r="F744" i="3"/>
  <c r="E744" i="3"/>
  <c r="I744" i="3" s="1"/>
  <c r="D744" i="3"/>
  <c r="C744" i="3"/>
  <c r="B744" i="3"/>
  <c r="A744" i="3"/>
  <c r="H743" i="3"/>
  <c r="G743" i="3"/>
  <c r="F743" i="3"/>
  <c r="E743" i="3"/>
  <c r="I743" i="3" s="1"/>
  <c r="D743" i="3"/>
  <c r="C743" i="3"/>
  <c r="B743" i="3"/>
  <c r="A743" i="3"/>
  <c r="H742" i="3"/>
  <c r="G742" i="3"/>
  <c r="F742" i="3"/>
  <c r="E742" i="3"/>
  <c r="I742" i="3" s="1"/>
  <c r="D742" i="3"/>
  <c r="C742" i="3"/>
  <c r="B742" i="3"/>
  <c r="A742" i="3"/>
  <c r="H741" i="3"/>
  <c r="G741" i="3"/>
  <c r="F741" i="3"/>
  <c r="E741" i="3"/>
  <c r="I741" i="3" s="1"/>
  <c r="D741" i="3"/>
  <c r="C741" i="3"/>
  <c r="B741" i="3"/>
  <c r="A741" i="3"/>
  <c r="H740" i="3"/>
  <c r="G740" i="3"/>
  <c r="F740" i="3"/>
  <c r="E740" i="3"/>
  <c r="I740" i="3" s="1"/>
  <c r="D740" i="3"/>
  <c r="C740" i="3"/>
  <c r="B740" i="3"/>
  <c r="A740" i="3"/>
  <c r="H739" i="3"/>
  <c r="G739" i="3"/>
  <c r="F739" i="3"/>
  <c r="E739" i="3"/>
  <c r="I739" i="3" s="1"/>
  <c r="D739" i="3"/>
  <c r="C739" i="3"/>
  <c r="B739" i="3"/>
  <c r="A739" i="3"/>
  <c r="H738" i="3"/>
  <c r="G738" i="3"/>
  <c r="F738" i="3"/>
  <c r="E738" i="3"/>
  <c r="I738" i="3" s="1"/>
  <c r="D738" i="3"/>
  <c r="C738" i="3"/>
  <c r="B738" i="3"/>
  <c r="A738" i="3"/>
  <c r="H737" i="3"/>
  <c r="G737" i="3"/>
  <c r="F737" i="3"/>
  <c r="E737" i="3"/>
  <c r="I737" i="3" s="1"/>
  <c r="D737" i="3"/>
  <c r="C737" i="3"/>
  <c r="B737" i="3"/>
  <c r="A737" i="3"/>
  <c r="H736" i="3"/>
  <c r="G736" i="3"/>
  <c r="F736" i="3"/>
  <c r="E736" i="3"/>
  <c r="I736" i="3" s="1"/>
  <c r="D736" i="3"/>
  <c r="C736" i="3"/>
  <c r="B736" i="3"/>
  <c r="A736" i="3"/>
  <c r="H735" i="3"/>
  <c r="G735" i="3"/>
  <c r="F735" i="3"/>
  <c r="E735" i="3"/>
  <c r="I735" i="3" s="1"/>
  <c r="D735" i="3"/>
  <c r="C735" i="3"/>
  <c r="B735" i="3"/>
  <c r="A735" i="3"/>
  <c r="H734" i="3"/>
  <c r="G734" i="3"/>
  <c r="F734" i="3"/>
  <c r="E734" i="3"/>
  <c r="I734" i="3" s="1"/>
  <c r="D734" i="3"/>
  <c r="C734" i="3"/>
  <c r="B734" i="3"/>
  <c r="A734" i="3"/>
  <c r="H733" i="3"/>
  <c r="G733" i="3"/>
  <c r="F733" i="3"/>
  <c r="E733" i="3"/>
  <c r="I733" i="3" s="1"/>
  <c r="D733" i="3"/>
  <c r="C733" i="3"/>
  <c r="B733" i="3"/>
  <c r="A733" i="3"/>
  <c r="H732" i="3"/>
  <c r="G732" i="3"/>
  <c r="F732" i="3"/>
  <c r="E732" i="3"/>
  <c r="I732" i="3" s="1"/>
  <c r="D732" i="3"/>
  <c r="C732" i="3"/>
  <c r="B732" i="3"/>
  <c r="A732" i="3"/>
  <c r="H731" i="3"/>
  <c r="G731" i="3"/>
  <c r="F731" i="3"/>
  <c r="E731" i="3"/>
  <c r="I731" i="3" s="1"/>
  <c r="D731" i="3"/>
  <c r="C731" i="3"/>
  <c r="B731" i="3"/>
  <c r="A731" i="3"/>
  <c r="H730" i="3"/>
  <c r="G730" i="3"/>
  <c r="F730" i="3"/>
  <c r="E730" i="3"/>
  <c r="I730" i="3" s="1"/>
  <c r="D730" i="3"/>
  <c r="C730" i="3"/>
  <c r="B730" i="3"/>
  <c r="A730" i="3"/>
  <c r="H729" i="3"/>
  <c r="G729" i="3"/>
  <c r="F729" i="3"/>
  <c r="E729" i="3"/>
  <c r="I729" i="3" s="1"/>
  <c r="D729" i="3"/>
  <c r="C729" i="3"/>
  <c r="B729" i="3"/>
  <c r="A729" i="3"/>
  <c r="H728" i="3"/>
  <c r="G728" i="3"/>
  <c r="F728" i="3"/>
  <c r="E728" i="3"/>
  <c r="I728" i="3" s="1"/>
  <c r="D728" i="3"/>
  <c r="C728" i="3"/>
  <c r="B728" i="3"/>
  <c r="A728" i="3"/>
  <c r="H727" i="3"/>
  <c r="G727" i="3"/>
  <c r="F727" i="3"/>
  <c r="E727" i="3"/>
  <c r="I727" i="3" s="1"/>
  <c r="D727" i="3"/>
  <c r="C727" i="3"/>
  <c r="B727" i="3"/>
  <c r="A727" i="3"/>
  <c r="H726" i="3"/>
  <c r="G726" i="3"/>
  <c r="F726" i="3"/>
  <c r="E726" i="3"/>
  <c r="I726" i="3" s="1"/>
  <c r="D726" i="3"/>
  <c r="C726" i="3"/>
  <c r="B726" i="3"/>
  <c r="A726" i="3"/>
  <c r="H725" i="3"/>
  <c r="G725" i="3"/>
  <c r="F725" i="3"/>
  <c r="E725" i="3"/>
  <c r="I725" i="3" s="1"/>
  <c r="D725" i="3"/>
  <c r="C725" i="3"/>
  <c r="B725" i="3"/>
  <c r="A725" i="3"/>
  <c r="H724" i="3"/>
  <c r="G724" i="3"/>
  <c r="F724" i="3"/>
  <c r="E724" i="3"/>
  <c r="I724" i="3" s="1"/>
  <c r="D724" i="3"/>
  <c r="C724" i="3"/>
  <c r="B724" i="3"/>
  <c r="A724" i="3"/>
  <c r="H723" i="3"/>
  <c r="G723" i="3"/>
  <c r="F723" i="3"/>
  <c r="E723" i="3"/>
  <c r="I723" i="3" s="1"/>
  <c r="D723" i="3"/>
  <c r="C723" i="3"/>
  <c r="B723" i="3"/>
  <c r="A723" i="3"/>
  <c r="H722" i="3"/>
  <c r="G722" i="3"/>
  <c r="F722" i="3"/>
  <c r="E722" i="3"/>
  <c r="I722" i="3" s="1"/>
  <c r="D722" i="3"/>
  <c r="C722" i="3"/>
  <c r="B722" i="3"/>
  <c r="A722" i="3"/>
  <c r="H721" i="3"/>
  <c r="G721" i="3"/>
  <c r="F721" i="3"/>
  <c r="E721" i="3"/>
  <c r="I721" i="3" s="1"/>
  <c r="D721" i="3"/>
  <c r="C721" i="3"/>
  <c r="B721" i="3"/>
  <c r="A721" i="3"/>
  <c r="H720" i="3"/>
  <c r="G720" i="3"/>
  <c r="F720" i="3"/>
  <c r="E720" i="3"/>
  <c r="I720" i="3" s="1"/>
  <c r="D720" i="3"/>
  <c r="C720" i="3"/>
  <c r="B720" i="3"/>
  <c r="A720" i="3"/>
  <c r="H719" i="3"/>
  <c r="G719" i="3"/>
  <c r="F719" i="3"/>
  <c r="E719" i="3"/>
  <c r="I719" i="3" s="1"/>
  <c r="D719" i="3"/>
  <c r="C719" i="3"/>
  <c r="B719" i="3"/>
  <c r="A719" i="3"/>
  <c r="H718" i="3"/>
  <c r="G718" i="3"/>
  <c r="F718" i="3"/>
  <c r="E718" i="3"/>
  <c r="I718" i="3" s="1"/>
  <c r="D718" i="3"/>
  <c r="C718" i="3"/>
  <c r="B718" i="3"/>
  <c r="A718" i="3"/>
  <c r="H717" i="3"/>
  <c r="G717" i="3"/>
  <c r="F717" i="3"/>
  <c r="E717" i="3"/>
  <c r="I717" i="3" s="1"/>
  <c r="D717" i="3"/>
  <c r="C717" i="3"/>
  <c r="B717" i="3"/>
  <c r="A717" i="3"/>
  <c r="H716" i="3"/>
  <c r="G716" i="3"/>
  <c r="F716" i="3"/>
  <c r="E716" i="3"/>
  <c r="I716" i="3" s="1"/>
  <c r="D716" i="3"/>
  <c r="C716" i="3"/>
  <c r="B716" i="3"/>
  <c r="A716" i="3"/>
  <c r="H715" i="3"/>
  <c r="G715" i="3"/>
  <c r="F715" i="3"/>
  <c r="E715" i="3"/>
  <c r="I715" i="3" s="1"/>
  <c r="D715" i="3"/>
  <c r="C715" i="3"/>
  <c r="B715" i="3"/>
  <c r="A715" i="3"/>
  <c r="H714" i="3"/>
  <c r="G714" i="3"/>
  <c r="F714" i="3"/>
  <c r="E714" i="3"/>
  <c r="I714" i="3" s="1"/>
  <c r="D714" i="3"/>
  <c r="C714" i="3"/>
  <c r="B714" i="3"/>
  <c r="A714" i="3"/>
  <c r="H713" i="3"/>
  <c r="G713" i="3"/>
  <c r="F713" i="3"/>
  <c r="E713" i="3"/>
  <c r="I713" i="3" s="1"/>
  <c r="D713" i="3"/>
  <c r="C713" i="3"/>
  <c r="B713" i="3"/>
  <c r="A713" i="3"/>
  <c r="H712" i="3"/>
  <c r="G712" i="3"/>
  <c r="F712" i="3"/>
  <c r="E712" i="3"/>
  <c r="I712" i="3" s="1"/>
  <c r="D712" i="3"/>
  <c r="C712" i="3"/>
  <c r="B712" i="3"/>
  <c r="A712" i="3"/>
  <c r="H711" i="3"/>
  <c r="G711" i="3"/>
  <c r="F711" i="3"/>
  <c r="E711" i="3"/>
  <c r="I711" i="3" s="1"/>
  <c r="D711" i="3"/>
  <c r="C711" i="3"/>
  <c r="B711" i="3"/>
  <c r="A711" i="3"/>
  <c r="H710" i="3"/>
  <c r="G710" i="3"/>
  <c r="F710" i="3"/>
  <c r="E710" i="3"/>
  <c r="I710" i="3" s="1"/>
  <c r="D710" i="3"/>
  <c r="C710" i="3"/>
  <c r="B710" i="3"/>
  <c r="A710" i="3"/>
  <c r="H709" i="3"/>
  <c r="G709" i="3"/>
  <c r="F709" i="3"/>
  <c r="E709" i="3"/>
  <c r="I709" i="3" s="1"/>
  <c r="D709" i="3"/>
  <c r="C709" i="3"/>
  <c r="B709" i="3"/>
  <c r="A709" i="3"/>
  <c r="H708" i="3"/>
  <c r="G708" i="3"/>
  <c r="F708" i="3"/>
  <c r="E708" i="3"/>
  <c r="I708" i="3" s="1"/>
  <c r="D708" i="3"/>
  <c r="C708" i="3"/>
  <c r="B708" i="3"/>
  <c r="A708" i="3"/>
  <c r="H707" i="3"/>
  <c r="G707" i="3"/>
  <c r="F707" i="3"/>
  <c r="E707" i="3"/>
  <c r="I707" i="3" s="1"/>
  <c r="D707" i="3"/>
  <c r="C707" i="3"/>
  <c r="B707" i="3"/>
  <c r="A707" i="3"/>
  <c r="H706" i="3"/>
  <c r="G706" i="3"/>
  <c r="F706" i="3"/>
  <c r="E706" i="3"/>
  <c r="I706" i="3" s="1"/>
  <c r="D706" i="3"/>
  <c r="C706" i="3"/>
  <c r="B706" i="3"/>
  <c r="A706" i="3"/>
  <c r="H705" i="3"/>
  <c r="G705" i="3"/>
  <c r="F705" i="3"/>
  <c r="E705" i="3"/>
  <c r="I705" i="3" s="1"/>
  <c r="D705" i="3"/>
  <c r="C705" i="3"/>
  <c r="B705" i="3"/>
  <c r="A705" i="3"/>
  <c r="H704" i="3"/>
  <c r="G704" i="3"/>
  <c r="F704" i="3"/>
  <c r="E704" i="3"/>
  <c r="I704" i="3" s="1"/>
  <c r="D704" i="3"/>
  <c r="C704" i="3"/>
  <c r="B704" i="3"/>
  <c r="A704" i="3"/>
  <c r="H703" i="3"/>
  <c r="G703" i="3"/>
  <c r="F703" i="3"/>
  <c r="E703" i="3"/>
  <c r="I703" i="3" s="1"/>
  <c r="D703" i="3"/>
  <c r="C703" i="3"/>
  <c r="B703" i="3"/>
  <c r="A703" i="3"/>
  <c r="H702" i="3"/>
  <c r="G702" i="3"/>
  <c r="F702" i="3"/>
  <c r="E702" i="3"/>
  <c r="I702" i="3" s="1"/>
  <c r="D702" i="3"/>
  <c r="C702" i="3"/>
  <c r="B702" i="3"/>
  <c r="A702" i="3"/>
  <c r="H701" i="3"/>
  <c r="G701" i="3"/>
  <c r="F701" i="3"/>
  <c r="E701" i="3"/>
  <c r="I701" i="3" s="1"/>
  <c r="D701" i="3"/>
  <c r="C701" i="3"/>
  <c r="B701" i="3"/>
  <c r="A701" i="3"/>
  <c r="H700" i="3"/>
  <c r="G700" i="3"/>
  <c r="F700" i="3"/>
  <c r="E700" i="3"/>
  <c r="I700" i="3" s="1"/>
  <c r="D700" i="3"/>
  <c r="C700" i="3"/>
  <c r="B700" i="3"/>
  <c r="A700" i="3"/>
  <c r="H699" i="3"/>
  <c r="G699" i="3"/>
  <c r="F699" i="3"/>
  <c r="E699" i="3"/>
  <c r="I699" i="3" s="1"/>
  <c r="D699" i="3"/>
  <c r="C699" i="3"/>
  <c r="B699" i="3"/>
  <c r="A699" i="3"/>
  <c r="H698" i="3"/>
  <c r="G698" i="3"/>
  <c r="F698" i="3"/>
  <c r="E698" i="3"/>
  <c r="I698" i="3" s="1"/>
  <c r="D698" i="3"/>
  <c r="C698" i="3"/>
  <c r="B698" i="3"/>
  <c r="A698" i="3"/>
  <c r="H697" i="3"/>
  <c r="G697" i="3"/>
  <c r="F697" i="3"/>
  <c r="E697" i="3"/>
  <c r="I697" i="3" s="1"/>
  <c r="D697" i="3"/>
  <c r="C697" i="3"/>
  <c r="B697" i="3"/>
  <c r="A697" i="3"/>
  <c r="H696" i="3"/>
  <c r="G696" i="3"/>
  <c r="F696" i="3"/>
  <c r="E696" i="3"/>
  <c r="I696" i="3" s="1"/>
  <c r="D696" i="3"/>
  <c r="C696" i="3"/>
  <c r="B696" i="3"/>
  <c r="A696" i="3"/>
  <c r="H695" i="3"/>
  <c r="G695" i="3"/>
  <c r="F695" i="3"/>
  <c r="E695" i="3"/>
  <c r="I695" i="3" s="1"/>
  <c r="D695" i="3"/>
  <c r="C695" i="3"/>
  <c r="B695" i="3"/>
  <c r="A695" i="3"/>
  <c r="H694" i="3"/>
  <c r="G694" i="3"/>
  <c r="F694" i="3"/>
  <c r="E694" i="3"/>
  <c r="I694" i="3" s="1"/>
  <c r="D694" i="3"/>
  <c r="C694" i="3"/>
  <c r="B694" i="3"/>
  <c r="A694" i="3"/>
  <c r="H693" i="3"/>
  <c r="G693" i="3"/>
  <c r="F693" i="3"/>
  <c r="E693" i="3"/>
  <c r="I693" i="3" s="1"/>
  <c r="D693" i="3"/>
  <c r="C693" i="3"/>
  <c r="B693" i="3"/>
  <c r="A693" i="3"/>
  <c r="H692" i="3"/>
  <c r="G692" i="3"/>
  <c r="F692" i="3"/>
  <c r="E692" i="3"/>
  <c r="I692" i="3" s="1"/>
  <c r="D692" i="3"/>
  <c r="C692" i="3"/>
  <c r="B692" i="3"/>
  <c r="A692" i="3"/>
  <c r="H691" i="3"/>
  <c r="G691" i="3"/>
  <c r="F691" i="3"/>
  <c r="E691" i="3"/>
  <c r="I691" i="3" s="1"/>
  <c r="D691" i="3"/>
  <c r="C691" i="3"/>
  <c r="B691" i="3"/>
  <c r="A691" i="3"/>
  <c r="H690" i="3"/>
  <c r="G690" i="3"/>
  <c r="F690" i="3"/>
  <c r="E690" i="3"/>
  <c r="I690" i="3" s="1"/>
  <c r="D690" i="3"/>
  <c r="C690" i="3"/>
  <c r="B690" i="3"/>
  <c r="A690" i="3"/>
  <c r="H689" i="3"/>
  <c r="G689" i="3"/>
  <c r="F689" i="3"/>
  <c r="E689" i="3"/>
  <c r="I689" i="3" s="1"/>
  <c r="D689" i="3"/>
  <c r="C689" i="3"/>
  <c r="B689" i="3"/>
  <c r="A689" i="3"/>
  <c r="H688" i="3"/>
  <c r="G688" i="3"/>
  <c r="F688" i="3"/>
  <c r="E688" i="3"/>
  <c r="I688" i="3" s="1"/>
  <c r="D688" i="3"/>
  <c r="C688" i="3"/>
  <c r="B688" i="3"/>
  <c r="A688" i="3"/>
  <c r="H687" i="3"/>
  <c r="G687" i="3"/>
  <c r="F687" i="3"/>
  <c r="E687" i="3"/>
  <c r="I687" i="3" s="1"/>
  <c r="D687" i="3"/>
  <c r="C687" i="3"/>
  <c r="B687" i="3"/>
  <c r="A687" i="3"/>
  <c r="H686" i="3"/>
  <c r="G686" i="3"/>
  <c r="F686" i="3"/>
  <c r="E686" i="3"/>
  <c r="I686" i="3" s="1"/>
  <c r="D686" i="3"/>
  <c r="C686" i="3"/>
  <c r="B686" i="3"/>
  <c r="A686" i="3"/>
  <c r="H685" i="3"/>
  <c r="G685" i="3"/>
  <c r="F685" i="3"/>
  <c r="E685" i="3"/>
  <c r="I685" i="3" s="1"/>
  <c r="D685" i="3"/>
  <c r="C685" i="3"/>
  <c r="B685" i="3"/>
  <c r="A685" i="3"/>
  <c r="H684" i="3"/>
  <c r="G684" i="3"/>
  <c r="F684" i="3"/>
  <c r="E684" i="3"/>
  <c r="I684" i="3" s="1"/>
  <c r="D684" i="3"/>
  <c r="C684" i="3"/>
  <c r="B684" i="3"/>
  <c r="A684" i="3"/>
  <c r="H683" i="3"/>
  <c r="G683" i="3"/>
  <c r="F683" i="3"/>
  <c r="E683" i="3"/>
  <c r="I683" i="3" s="1"/>
  <c r="D683" i="3"/>
  <c r="C683" i="3"/>
  <c r="B683" i="3"/>
  <c r="A683" i="3"/>
  <c r="H682" i="3"/>
  <c r="G682" i="3"/>
  <c r="F682" i="3"/>
  <c r="E682" i="3"/>
  <c r="I682" i="3" s="1"/>
  <c r="D682" i="3"/>
  <c r="C682" i="3"/>
  <c r="B682" i="3"/>
  <c r="A682" i="3"/>
  <c r="H681" i="3"/>
  <c r="G681" i="3"/>
  <c r="F681" i="3"/>
  <c r="E681" i="3"/>
  <c r="I681" i="3" s="1"/>
  <c r="D681" i="3"/>
  <c r="C681" i="3"/>
  <c r="B681" i="3"/>
  <c r="A681" i="3"/>
  <c r="H680" i="3"/>
  <c r="G680" i="3"/>
  <c r="F680" i="3"/>
  <c r="E680" i="3"/>
  <c r="I680" i="3" s="1"/>
  <c r="D680" i="3"/>
  <c r="C680" i="3"/>
  <c r="B680" i="3"/>
  <c r="A680" i="3"/>
  <c r="H679" i="3"/>
  <c r="G679" i="3"/>
  <c r="F679" i="3"/>
  <c r="E679" i="3"/>
  <c r="I679" i="3" s="1"/>
  <c r="D679" i="3"/>
  <c r="C679" i="3"/>
  <c r="B679" i="3"/>
  <c r="A679" i="3"/>
  <c r="H678" i="3"/>
  <c r="G678" i="3"/>
  <c r="F678" i="3"/>
  <c r="E678" i="3"/>
  <c r="I678" i="3" s="1"/>
  <c r="D678" i="3"/>
  <c r="C678" i="3"/>
  <c r="B678" i="3"/>
  <c r="A678" i="3"/>
  <c r="H677" i="3"/>
  <c r="G677" i="3"/>
  <c r="F677" i="3"/>
  <c r="E677" i="3"/>
  <c r="I677" i="3" s="1"/>
  <c r="D677" i="3"/>
  <c r="C677" i="3"/>
  <c r="B677" i="3"/>
  <c r="A677" i="3"/>
  <c r="H676" i="3"/>
  <c r="G676" i="3"/>
  <c r="F676" i="3"/>
  <c r="E676" i="3"/>
  <c r="I676" i="3" s="1"/>
  <c r="D676" i="3"/>
  <c r="C676" i="3"/>
  <c r="B676" i="3"/>
  <c r="A676" i="3"/>
  <c r="H675" i="3"/>
  <c r="G675" i="3"/>
  <c r="F675" i="3"/>
  <c r="E675" i="3"/>
  <c r="I675" i="3" s="1"/>
  <c r="D675" i="3"/>
  <c r="C675" i="3"/>
  <c r="B675" i="3"/>
  <c r="A675" i="3"/>
  <c r="H674" i="3"/>
  <c r="G674" i="3"/>
  <c r="F674" i="3"/>
  <c r="E674" i="3"/>
  <c r="I674" i="3" s="1"/>
  <c r="D674" i="3"/>
  <c r="C674" i="3"/>
  <c r="B674" i="3"/>
  <c r="A674" i="3"/>
  <c r="H673" i="3"/>
  <c r="G673" i="3"/>
  <c r="F673" i="3"/>
  <c r="E673" i="3"/>
  <c r="I673" i="3" s="1"/>
  <c r="D673" i="3"/>
  <c r="C673" i="3"/>
  <c r="B673" i="3"/>
  <c r="A673" i="3"/>
  <c r="H672" i="3"/>
  <c r="G672" i="3"/>
  <c r="F672" i="3"/>
  <c r="E672" i="3"/>
  <c r="I672" i="3" s="1"/>
  <c r="D672" i="3"/>
  <c r="C672" i="3"/>
  <c r="B672" i="3"/>
  <c r="A672" i="3"/>
  <c r="H671" i="3"/>
  <c r="G671" i="3"/>
  <c r="F671" i="3"/>
  <c r="E671" i="3"/>
  <c r="I671" i="3" s="1"/>
  <c r="D671" i="3"/>
  <c r="C671" i="3"/>
  <c r="B671" i="3"/>
  <c r="A671" i="3"/>
  <c r="H670" i="3"/>
  <c r="G670" i="3"/>
  <c r="F670" i="3"/>
  <c r="E670" i="3"/>
  <c r="I670" i="3" s="1"/>
  <c r="D670" i="3"/>
  <c r="C670" i="3"/>
  <c r="B670" i="3"/>
  <c r="A670" i="3"/>
  <c r="H669" i="3"/>
  <c r="G669" i="3"/>
  <c r="F669" i="3"/>
  <c r="E669" i="3"/>
  <c r="I669" i="3" s="1"/>
  <c r="D669" i="3"/>
  <c r="C669" i="3"/>
  <c r="B669" i="3"/>
  <c r="A669" i="3"/>
  <c r="H668" i="3"/>
  <c r="G668" i="3"/>
  <c r="F668" i="3"/>
  <c r="E668" i="3"/>
  <c r="I668" i="3" s="1"/>
  <c r="D668" i="3"/>
  <c r="C668" i="3"/>
  <c r="B668" i="3"/>
  <c r="A668" i="3"/>
  <c r="H667" i="3"/>
  <c r="G667" i="3"/>
  <c r="F667" i="3"/>
  <c r="E667" i="3"/>
  <c r="I667" i="3" s="1"/>
  <c r="D667" i="3"/>
  <c r="C667" i="3"/>
  <c r="B667" i="3"/>
  <c r="A667" i="3"/>
  <c r="H666" i="3"/>
  <c r="G666" i="3"/>
  <c r="F666" i="3"/>
  <c r="E666" i="3"/>
  <c r="I666" i="3" s="1"/>
  <c r="D666" i="3"/>
  <c r="C666" i="3"/>
  <c r="B666" i="3"/>
  <c r="A666" i="3"/>
  <c r="H665" i="3"/>
  <c r="G665" i="3"/>
  <c r="F665" i="3"/>
  <c r="E665" i="3"/>
  <c r="I665" i="3" s="1"/>
  <c r="D665" i="3"/>
  <c r="C665" i="3"/>
  <c r="B665" i="3"/>
  <c r="A665" i="3"/>
  <c r="H664" i="3"/>
  <c r="G664" i="3"/>
  <c r="F664" i="3"/>
  <c r="E664" i="3"/>
  <c r="I664" i="3" s="1"/>
  <c r="D664" i="3"/>
  <c r="C664" i="3"/>
  <c r="B664" i="3"/>
  <c r="A664" i="3"/>
  <c r="H663" i="3"/>
  <c r="G663" i="3"/>
  <c r="F663" i="3"/>
  <c r="E663" i="3"/>
  <c r="I663" i="3" s="1"/>
  <c r="D663" i="3"/>
  <c r="C663" i="3"/>
  <c r="B663" i="3"/>
  <c r="A663" i="3"/>
  <c r="H662" i="3"/>
  <c r="G662" i="3"/>
  <c r="F662" i="3"/>
  <c r="E662" i="3"/>
  <c r="I662" i="3" s="1"/>
  <c r="D662" i="3"/>
  <c r="C662" i="3"/>
  <c r="B662" i="3"/>
  <c r="A662" i="3"/>
  <c r="H661" i="3"/>
  <c r="G661" i="3"/>
  <c r="F661" i="3"/>
  <c r="E661" i="3"/>
  <c r="I661" i="3" s="1"/>
  <c r="D661" i="3"/>
  <c r="C661" i="3"/>
  <c r="B661" i="3"/>
  <c r="A661" i="3"/>
  <c r="H660" i="3"/>
  <c r="G660" i="3"/>
  <c r="F660" i="3"/>
  <c r="E660" i="3"/>
  <c r="I660" i="3" s="1"/>
  <c r="D660" i="3"/>
  <c r="C660" i="3"/>
  <c r="B660" i="3"/>
  <c r="A660" i="3"/>
  <c r="H659" i="3"/>
  <c r="G659" i="3"/>
  <c r="F659" i="3"/>
  <c r="E659" i="3"/>
  <c r="I659" i="3" s="1"/>
  <c r="D659" i="3"/>
  <c r="C659" i="3"/>
  <c r="B659" i="3"/>
  <c r="A659" i="3"/>
  <c r="H658" i="3"/>
  <c r="G658" i="3"/>
  <c r="F658" i="3"/>
  <c r="E658" i="3"/>
  <c r="I658" i="3" s="1"/>
  <c r="D658" i="3"/>
  <c r="C658" i="3"/>
  <c r="B658" i="3"/>
  <c r="A658" i="3"/>
  <c r="H657" i="3"/>
  <c r="G657" i="3"/>
  <c r="F657" i="3"/>
  <c r="E657" i="3"/>
  <c r="I657" i="3" s="1"/>
  <c r="D657" i="3"/>
  <c r="C657" i="3"/>
  <c r="B657" i="3"/>
  <c r="A657" i="3"/>
  <c r="H656" i="3"/>
  <c r="G656" i="3"/>
  <c r="F656" i="3"/>
  <c r="E656" i="3"/>
  <c r="I656" i="3" s="1"/>
  <c r="D656" i="3"/>
  <c r="C656" i="3"/>
  <c r="B656" i="3"/>
  <c r="A656" i="3"/>
  <c r="H655" i="3"/>
  <c r="G655" i="3"/>
  <c r="F655" i="3"/>
  <c r="E655" i="3"/>
  <c r="I655" i="3" s="1"/>
  <c r="D655" i="3"/>
  <c r="C655" i="3"/>
  <c r="B655" i="3"/>
  <c r="A655" i="3"/>
  <c r="H654" i="3"/>
  <c r="G654" i="3"/>
  <c r="F654" i="3"/>
  <c r="E654" i="3"/>
  <c r="I654" i="3" s="1"/>
  <c r="D654" i="3"/>
  <c r="C654" i="3"/>
  <c r="B654" i="3"/>
  <c r="A654" i="3"/>
  <c r="H653" i="3"/>
  <c r="G653" i="3"/>
  <c r="F653" i="3"/>
  <c r="E653" i="3"/>
  <c r="I653" i="3" s="1"/>
  <c r="D653" i="3"/>
  <c r="C653" i="3"/>
  <c r="B653" i="3"/>
  <c r="A653" i="3"/>
  <c r="H652" i="3"/>
  <c r="G652" i="3"/>
  <c r="F652" i="3"/>
  <c r="E652" i="3"/>
  <c r="I652" i="3" s="1"/>
  <c r="D652" i="3"/>
  <c r="C652" i="3"/>
  <c r="B652" i="3"/>
  <c r="A652" i="3"/>
  <c r="H651" i="3"/>
  <c r="G651" i="3"/>
  <c r="F651" i="3"/>
  <c r="E651" i="3"/>
  <c r="I651" i="3" s="1"/>
  <c r="D651" i="3"/>
  <c r="C651" i="3"/>
  <c r="B651" i="3"/>
  <c r="A651" i="3"/>
  <c r="H650" i="3"/>
  <c r="G650" i="3"/>
  <c r="F650" i="3"/>
  <c r="E650" i="3"/>
  <c r="I650" i="3" s="1"/>
  <c r="D650" i="3"/>
  <c r="C650" i="3"/>
  <c r="B650" i="3"/>
  <c r="A650" i="3"/>
  <c r="H649" i="3"/>
  <c r="G649" i="3"/>
  <c r="F649" i="3"/>
  <c r="E649" i="3"/>
  <c r="I649" i="3" s="1"/>
  <c r="D649" i="3"/>
  <c r="C649" i="3"/>
  <c r="B649" i="3"/>
  <c r="A649" i="3"/>
  <c r="H648" i="3"/>
  <c r="G648" i="3"/>
  <c r="F648" i="3"/>
  <c r="E648" i="3"/>
  <c r="I648" i="3" s="1"/>
  <c r="D648" i="3"/>
  <c r="C648" i="3"/>
  <c r="B648" i="3"/>
  <c r="A648" i="3"/>
  <c r="H647" i="3"/>
  <c r="G647" i="3"/>
  <c r="F647" i="3"/>
  <c r="E647" i="3"/>
  <c r="I647" i="3" s="1"/>
  <c r="D647" i="3"/>
  <c r="C647" i="3"/>
  <c r="B647" i="3"/>
  <c r="A647" i="3"/>
  <c r="H646" i="3"/>
  <c r="G646" i="3"/>
  <c r="F646" i="3"/>
  <c r="E646" i="3"/>
  <c r="I646" i="3" s="1"/>
  <c r="D646" i="3"/>
  <c r="C646" i="3"/>
  <c r="B646" i="3"/>
  <c r="A646" i="3"/>
  <c r="H645" i="3"/>
  <c r="G645" i="3"/>
  <c r="F645" i="3"/>
  <c r="E645" i="3"/>
  <c r="I645" i="3" s="1"/>
  <c r="D645" i="3"/>
  <c r="C645" i="3"/>
  <c r="B645" i="3"/>
  <c r="A645" i="3"/>
  <c r="H644" i="3"/>
  <c r="G644" i="3"/>
  <c r="F644" i="3"/>
  <c r="E644" i="3"/>
  <c r="I644" i="3" s="1"/>
  <c r="D644" i="3"/>
  <c r="C644" i="3"/>
  <c r="B644" i="3"/>
  <c r="A644" i="3"/>
  <c r="H643" i="3"/>
  <c r="G643" i="3"/>
  <c r="F643" i="3"/>
  <c r="E643" i="3"/>
  <c r="I643" i="3" s="1"/>
  <c r="D643" i="3"/>
  <c r="C643" i="3"/>
  <c r="B643" i="3"/>
  <c r="A643" i="3"/>
  <c r="H642" i="3"/>
  <c r="G642" i="3"/>
  <c r="F642" i="3"/>
  <c r="E642" i="3"/>
  <c r="I642" i="3" s="1"/>
  <c r="D642" i="3"/>
  <c r="C642" i="3"/>
  <c r="B642" i="3"/>
  <c r="A642" i="3"/>
  <c r="H641" i="3"/>
  <c r="G641" i="3"/>
  <c r="F641" i="3"/>
  <c r="E641" i="3"/>
  <c r="I641" i="3" s="1"/>
  <c r="D641" i="3"/>
  <c r="C641" i="3"/>
  <c r="B641" i="3"/>
  <c r="A641" i="3"/>
  <c r="H640" i="3"/>
  <c r="G640" i="3"/>
  <c r="F640" i="3"/>
  <c r="E640" i="3"/>
  <c r="I640" i="3" s="1"/>
  <c r="D640" i="3"/>
  <c r="C640" i="3"/>
  <c r="B640" i="3"/>
  <c r="A640" i="3"/>
  <c r="H639" i="3"/>
  <c r="G639" i="3"/>
  <c r="F639" i="3"/>
  <c r="E639" i="3"/>
  <c r="I639" i="3" s="1"/>
  <c r="D639" i="3"/>
  <c r="C639" i="3"/>
  <c r="B639" i="3"/>
  <c r="A639" i="3"/>
  <c r="H638" i="3"/>
  <c r="G638" i="3"/>
  <c r="F638" i="3"/>
  <c r="E638" i="3"/>
  <c r="I638" i="3" s="1"/>
  <c r="D638" i="3"/>
  <c r="C638" i="3"/>
  <c r="B638" i="3"/>
  <c r="A638" i="3"/>
  <c r="H637" i="3"/>
  <c r="G637" i="3"/>
  <c r="F637" i="3"/>
  <c r="E637" i="3"/>
  <c r="I637" i="3" s="1"/>
  <c r="D637" i="3"/>
  <c r="C637" i="3"/>
  <c r="B637" i="3"/>
  <c r="A637" i="3"/>
  <c r="H636" i="3"/>
  <c r="G636" i="3"/>
  <c r="F636" i="3"/>
  <c r="E636" i="3"/>
  <c r="I636" i="3" s="1"/>
  <c r="D636" i="3"/>
  <c r="C636" i="3"/>
  <c r="B636" i="3"/>
  <c r="A636" i="3"/>
  <c r="H635" i="3"/>
  <c r="G635" i="3"/>
  <c r="F635" i="3"/>
  <c r="E635" i="3"/>
  <c r="I635" i="3" s="1"/>
  <c r="D635" i="3"/>
  <c r="C635" i="3"/>
  <c r="B635" i="3"/>
  <c r="A635" i="3"/>
  <c r="H634" i="3"/>
  <c r="G634" i="3"/>
  <c r="F634" i="3"/>
  <c r="E634" i="3"/>
  <c r="I634" i="3" s="1"/>
  <c r="D634" i="3"/>
  <c r="C634" i="3"/>
  <c r="B634" i="3"/>
  <c r="A634" i="3"/>
  <c r="H633" i="3"/>
  <c r="G633" i="3"/>
  <c r="F633" i="3"/>
  <c r="E633" i="3"/>
  <c r="I633" i="3" s="1"/>
  <c r="D633" i="3"/>
  <c r="C633" i="3"/>
  <c r="B633" i="3"/>
  <c r="A633" i="3"/>
  <c r="H632" i="3"/>
  <c r="G632" i="3"/>
  <c r="F632" i="3"/>
  <c r="E632" i="3"/>
  <c r="I632" i="3" s="1"/>
  <c r="D632" i="3"/>
  <c r="C632" i="3"/>
  <c r="B632" i="3"/>
  <c r="A632" i="3"/>
  <c r="H631" i="3"/>
  <c r="G631" i="3"/>
  <c r="F631" i="3"/>
  <c r="E631" i="3"/>
  <c r="I631" i="3" s="1"/>
  <c r="D631" i="3"/>
  <c r="C631" i="3"/>
  <c r="B631" i="3"/>
  <c r="A631" i="3"/>
  <c r="H630" i="3"/>
  <c r="G630" i="3"/>
  <c r="F630" i="3"/>
  <c r="E630" i="3"/>
  <c r="I630" i="3" s="1"/>
  <c r="D630" i="3"/>
  <c r="C630" i="3"/>
  <c r="B630" i="3"/>
  <c r="A630" i="3"/>
  <c r="H629" i="3"/>
  <c r="G629" i="3"/>
  <c r="F629" i="3"/>
  <c r="E629" i="3"/>
  <c r="I629" i="3" s="1"/>
  <c r="D629" i="3"/>
  <c r="C629" i="3"/>
  <c r="B629" i="3"/>
  <c r="A629" i="3"/>
  <c r="H628" i="3"/>
  <c r="G628" i="3"/>
  <c r="F628" i="3"/>
  <c r="E628" i="3"/>
  <c r="I628" i="3" s="1"/>
  <c r="D628" i="3"/>
  <c r="C628" i="3"/>
  <c r="B628" i="3"/>
  <c r="A628" i="3"/>
  <c r="H627" i="3"/>
  <c r="G627" i="3"/>
  <c r="F627" i="3"/>
  <c r="E627" i="3"/>
  <c r="I627" i="3" s="1"/>
  <c r="D627" i="3"/>
  <c r="C627" i="3"/>
  <c r="B627" i="3"/>
  <c r="A627" i="3"/>
  <c r="H626" i="3"/>
  <c r="G626" i="3"/>
  <c r="F626" i="3"/>
  <c r="E626" i="3"/>
  <c r="I626" i="3" s="1"/>
  <c r="D626" i="3"/>
  <c r="C626" i="3"/>
  <c r="B626" i="3"/>
  <c r="A626" i="3"/>
  <c r="H625" i="3"/>
  <c r="G625" i="3"/>
  <c r="F625" i="3"/>
  <c r="E625" i="3"/>
  <c r="I625" i="3" s="1"/>
  <c r="D625" i="3"/>
  <c r="C625" i="3"/>
  <c r="B625" i="3"/>
  <c r="A625" i="3"/>
  <c r="H624" i="3"/>
  <c r="G624" i="3"/>
  <c r="F624" i="3"/>
  <c r="E624" i="3"/>
  <c r="I624" i="3" s="1"/>
  <c r="D624" i="3"/>
  <c r="C624" i="3"/>
  <c r="B624" i="3"/>
  <c r="A624" i="3"/>
  <c r="H623" i="3"/>
  <c r="G623" i="3"/>
  <c r="F623" i="3"/>
  <c r="E623" i="3"/>
  <c r="I623" i="3" s="1"/>
  <c r="D623" i="3"/>
  <c r="C623" i="3"/>
  <c r="B623" i="3"/>
  <c r="A623" i="3"/>
  <c r="H622" i="3"/>
  <c r="G622" i="3"/>
  <c r="F622" i="3"/>
  <c r="E622" i="3"/>
  <c r="I622" i="3" s="1"/>
  <c r="D622" i="3"/>
  <c r="C622" i="3"/>
  <c r="B622" i="3"/>
  <c r="A622" i="3"/>
  <c r="H621" i="3"/>
  <c r="G621" i="3"/>
  <c r="F621" i="3"/>
  <c r="E621" i="3"/>
  <c r="I621" i="3" s="1"/>
  <c r="D621" i="3"/>
  <c r="C621" i="3"/>
  <c r="B621" i="3"/>
  <c r="A621" i="3"/>
  <c r="H620" i="3"/>
  <c r="G620" i="3"/>
  <c r="F620" i="3"/>
  <c r="E620" i="3"/>
  <c r="I620" i="3" s="1"/>
  <c r="D620" i="3"/>
  <c r="C620" i="3"/>
  <c r="B620" i="3"/>
  <c r="A620" i="3"/>
  <c r="H619" i="3"/>
  <c r="G619" i="3"/>
  <c r="F619" i="3"/>
  <c r="E619" i="3"/>
  <c r="I619" i="3" s="1"/>
  <c r="D619" i="3"/>
  <c r="C619" i="3"/>
  <c r="B619" i="3"/>
  <c r="A619" i="3"/>
  <c r="H618" i="3"/>
  <c r="G618" i="3"/>
  <c r="F618" i="3"/>
  <c r="E618" i="3"/>
  <c r="I618" i="3" s="1"/>
  <c r="D618" i="3"/>
  <c r="C618" i="3"/>
  <c r="B618" i="3"/>
  <c r="A618" i="3"/>
  <c r="H617" i="3"/>
  <c r="G617" i="3"/>
  <c r="F617" i="3"/>
  <c r="E617" i="3"/>
  <c r="I617" i="3" s="1"/>
  <c r="D617" i="3"/>
  <c r="C617" i="3"/>
  <c r="B617" i="3"/>
  <c r="A617" i="3"/>
  <c r="H616" i="3"/>
  <c r="G616" i="3"/>
  <c r="F616" i="3"/>
  <c r="E616" i="3"/>
  <c r="I616" i="3" s="1"/>
  <c r="D616" i="3"/>
  <c r="C616" i="3"/>
  <c r="B616" i="3"/>
  <c r="A616" i="3"/>
  <c r="H615" i="3"/>
  <c r="G615" i="3"/>
  <c r="F615" i="3"/>
  <c r="E615" i="3"/>
  <c r="I615" i="3" s="1"/>
  <c r="D615" i="3"/>
  <c r="C615" i="3"/>
  <c r="B615" i="3"/>
  <c r="A615" i="3"/>
  <c r="H614" i="3"/>
  <c r="G614" i="3"/>
  <c r="F614" i="3"/>
  <c r="E614" i="3"/>
  <c r="I614" i="3" s="1"/>
  <c r="D614" i="3"/>
  <c r="C614" i="3"/>
  <c r="B614" i="3"/>
  <c r="A614" i="3"/>
  <c r="H613" i="3"/>
  <c r="G613" i="3"/>
  <c r="F613" i="3"/>
  <c r="E613" i="3"/>
  <c r="I613" i="3" s="1"/>
  <c r="D613" i="3"/>
  <c r="C613" i="3"/>
  <c r="B613" i="3"/>
  <c r="A613" i="3"/>
  <c r="H612" i="3"/>
  <c r="G612" i="3"/>
  <c r="F612" i="3"/>
  <c r="E612" i="3"/>
  <c r="I612" i="3" s="1"/>
  <c r="D612" i="3"/>
  <c r="C612" i="3"/>
  <c r="B612" i="3"/>
  <c r="A612" i="3"/>
  <c r="H611" i="3"/>
  <c r="G611" i="3"/>
  <c r="F611" i="3"/>
  <c r="E611" i="3"/>
  <c r="I611" i="3" s="1"/>
  <c r="D611" i="3"/>
  <c r="C611" i="3"/>
  <c r="B611" i="3"/>
  <c r="A611" i="3"/>
  <c r="H610" i="3"/>
  <c r="G610" i="3"/>
  <c r="F610" i="3"/>
  <c r="E610" i="3"/>
  <c r="I610" i="3" s="1"/>
  <c r="D610" i="3"/>
  <c r="C610" i="3"/>
  <c r="B610" i="3"/>
  <c r="A610" i="3"/>
  <c r="H609" i="3"/>
  <c r="G609" i="3"/>
  <c r="F609" i="3"/>
  <c r="E609" i="3"/>
  <c r="I609" i="3" s="1"/>
  <c r="D609" i="3"/>
  <c r="C609" i="3"/>
  <c r="B609" i="3"/>
  <c r="A609" i="3"/>
  <c r="H608" i="3"/>
  <c r="G608" i="3"/>
  <c r="F608" i="3"/>
  <c r="E608" i="3"/>
  <c r="I608" i="3" s="1"/>
  <c r="D608" i="3"/>
  <c r="C608" i="3"/>
  <c r="B608" i="3"/>
  <c r="A608" i="3"/>
  <c r="H607" i="3"/>
  <c r="G607" i="3"/>
  <c r="F607" i="3"/>
  <c r="E607" i="3"/>
  <c r="I607" i="3" s="1"/>
  <c r="D607" i="3"/>
  <c r="C607" i="3"/>
  <c r="B607" i="3"/>
  <c r="A607" i="3"/>
  <c r="H606" i="3"/>
  <c r="G606" i="3"/>
  <c r="F606" i="3"/>
  <c r="E606" i="3"/>
  <c r="I606" i="3" s="1"/>
  <c r="D606" i="3"/>
  <c r="C606" i="3"/>
  <c r="B606" i="3"/>
  <c r="A606" i="3"/>
  <c r="H605" i="3"/>
  <c r="G605" i="3"/>
  <c r="F605" i="3"/>
  <c r="E605" i="3"/>
  <c r="I605" i="3" s="1"/>
  <c r="D605" i="3"/>
  <c r="C605" i="3"/>
  <c r="B605" i="3"/>
  <c r="A605" i="3"/>
  <c r="H604" i="3"/>
  <c r="G604" i="3"/>
  <c r="F604" i="3"/>
  <c r="E604" i="3"/>
  <c r="I604" i="3" s="1"/>
  <c r="D604" i="3"/>
  <c r="C604" i="3"/>
  <c r="B604" i="3"/>
  <c r="A604" i="3"/>
  <c r="H603" i="3"/>
  <c r="G603" i="3"/>
  <c r="F603" i="3"/>
  <c r="E603" i="3"/>
  <c r="I603" i="3" s="1"/>
  <c r="D603" i="3"/>
  <c r="C603" i="3"/>
  <c r="B603" i="3"/>
  <c r="A603" i="3"/>
  <c r="H602" i="3"/>
  <c r="G602" i="3"/>
  <c r="F602" i="3"/>
  <c r="E602" i="3"/>
  <c r="I602" i="3" s="1"/>
  <c r="D602" i="3"/>
  <c r="C602" i="3"/>
  <c r="B602" i="3"/>
  <c r="A602" i="3"/>
  <c r="H601" i="3"/>
  <c r="G601" i="3"/>
  <c r="F601" i="3"/>
  <c r="E601" i="3"/>
  <c r="I601" i="3" s="1"/>
  <c r="D601" i="3"/>
  <c r="C601" i="3"/>
  <c r="B601" i="3"/>
  <c r="A601" i="3"/>
  <c r="H600" i="3"/>
  <c r="G600" i="3"/>
  <c r="F600" i="3"/>
  <c r="E600" i="3"/>
  <c r="I600" i="3" s="1"/>
  <c r="D600" i="3"/>
  <c r="C600" i="3"/>
  <c r="B600" i="3"/>
  <c r="A600" i="3"/>
  <c r="H599" i="3"/>
  <c r="G599" i="3"/>
  <c r="F599" i="3"/>
  <c r="E599" i="3"/>
  <c r="I599" i="3" s="1"/>
  <c r="D599" i="3"/>
  <c r="C599" i="3"/>
  <c r="B599" i="3"/>
  <c r="A599" i="3"/>
  <c r="H598" i="3"/>
  <c r="G598" i="3"/>
  <c r="F598" i="3"/>
  <c r="E598" i="3"/>
  <c r="I598" i="3" s="1"/>
  <c r="D598" i="3"/>
  <c r="C598" i="3"/>
  <c r="B598" i="3"/>
  <c r="A598" i="3"/>
  <c r="H597" i="3"/>
  <c r="G597" i="3"/>
  <c r="F597" i="3"/>
  <c r="E597" i="3"/>
  <c r="I597" i="3" s="1"/>
  <c r="D597" i="3"/>
  <c r="C597" i="3"/>
  <c r="B597" i="3"/>
  <c r="A597" i="3"/>
  <c r="H596" i="3"/>
  <c r="G596" i="3"/>
  <c r="F596" i="3"/>
  <c r="E596" i="3"/>
  <c r="I596" i="3" s="1"/>
  <c r="D596" i="3"/>
  <c r="C596" i="3"/>
  <c r="B596" i="3"/>
  <c r="A596" i="3"/>
  <c r="H595" i="3"/>
  <c r="G595" i="3"/>
  <c r="F595" i="3"/>
  <c r="E595" i="3"/>
  <c r="I595" i="3" s="1"/>
  <c r="D595" i="3"/>
  <c r="C595" i="3"/>
  <c r="B595" i="3"/>
  <c r="A595" i="3"/>
  <c r="H594" i="3"/>
  <c r="G594" i="3"/>
  <c r="F594" i="3"/>
  <c r="E594" i="3"/>
  <c r="I594" i="3" s="1"/>
  <c r="D594" i="3"/>
  <c r="C594" i="3"/>
  <c r="B594" i="3"/>
  <c r="A594" i="3"/>
  <c r="H593" i="3"/>
  <c r="G593" i="3"/>
  <c r="F593" i="3"/>
  <c r="E593" i="3"/>
  <c r="I593" i="3" s="1"/>
  <c r="D593" i="3"/>
  <c r="C593" i="3"/>
  <c r="B593" i="3"/>
  <c r="A593" i="3"/>
  <c r="H592" i="3"/>
  <c r="G592" i="3"/>
  <c r="F592" i="3"/>
  <c r="E592" i="3"/>
  <c r="I592" i="3" s="1"/>
  <c r="D592" i="3"/>
  <c r="C592" i="3"/>
  <c r="B592" i="3"/>
  <c r="A592" i="3"/>
  <c r="H591" i="3"/>
  <c r="G591" i="3"/>
  <c r="F591" i="3"/>
  <c r="E591" i="3"/>
  <c r="I591" i="3" s="1"/>
  <c r="D591" i="3"/>
  <c r="C591" i="3"/>
  <c r="B591" i="3"/>
  <c r="A591" i="3"/>
  <c r="H590" i="3"/>
  <c r="G590" i="3"/>
  <c r="F590" i="3"/>
  <c r="E590" i="3"/>
  <c r="I590" i="3" s="1"/>
  <c r="D590" i="3"/>
  <c r="C590" i="3"/>
  <c r="B590" i="3"/>
  <c r="A590" i="3"/>
  <c r="H589" i="3"/>
  <c r="G589" i="3"/>
  <c r="F589" i="3"/>
  <c r="E589" i="3"/>
  <c r="I589" i="3" s="1"/>
  <c r="D589" i="3"/>
  <c r="C589" i="3"/>
  <c r="B589" i="3"/>
  <c r="A589" i="3"/>
  <c r="H588" i="3"/>
  <c r="G588" i="3"/>
  <c r="F588" i="3"/>
  <c r="E588" i="3"/>
  <c r="I588" i="3" s="1"/>
  <c r="D588" i="3"/>
  <c r="C588" i="3"/>
  <c r="B588" i="3"/>
  <c r="A588" i="3"/>
  <c r="H587" i="3"/>
  <c r="G587" i="3"/>
  <c r="F587" i="3"/>
  <c r="E587" i="3"/>
  <c r="I587" i="3" s="1"/>
  <c r="D587" i="3"/>
  <c r="C587" i="3"/>
  <c r="B587" i="3"/>
  <c r="A587" i="3"/>
  <c r="H586" i="3"/>
  <c r="G586" i="3"/>
  <c r="F586" i="3"/>
  <c r="E586" i="3"/>
  <c r="I586" i="3" s="1"/>
  <c r="D586" i="3"/>
  <c r="C586" i="3"/>
  <c r="B586" i="3"/>
  <c r="A586" i="3"/>
  <c r="H585" i="3"/>
  <c r="G585" i="3"/>
  <c r="F585" i="3"/>
  <c r="E585" i="3"/>
  <c r="I585" i="3" s="1"/>
  <c r="D585" i="3"/>
  <c r="C585" i="3"/>
  <c r="B585" i="3"/>
  <c r="A585" i="3"/>
  <c r="H584" i="3"/>
  <c r="G584" i="3"/>
  <c r="F584" i="3"/>
  <c r="E584" i="3"/>
  <c r="I584" i="3" s="1"/>
  <c r="D584" i="3"/>
  <c r="C584" i="3"/>
  <c r="B584" i="3"/>
  <c r="A584" i="3"/>
  <c r="H583" i="3"/>
  <c r="G583" i="3"/>
  <c r="F583" i="3"/>
  <c r="E583" i="3"/>
  <c r="I583" i="3" s="1"/>
  <c r="D583" i="3"/>
  <c r="C583" i="3"/>
  <c r="B583" i="3"/>
  <c r="A583" i="3"/>
  <c r="H582" i="3"/>
  <c r="G582" i="3"/>
  <c r="F582" i="3"/>
  <c r="E582" i="3"/>
  <c r="I582" i="3" s="1"/>
  <c r="D582" i="3"/>
  <c r="C582" i="3"/>
  <c r="B582" i="3"/>
  <c r="A582" i="3"/>
  <c r="H581" i="3"/>
  <c r="G581" i="3"/>
  <c r="F581" i="3"/>
  <c r="E581" i="3"/>
  <c r="I581" i="3" s="1"/>
  <c r="D581" i="3"/>
  <c r="C581" i="3"/>
  <c r="B581" i="3"/>
  <c r="A581" i="3"/>
  <c r="H580" i="3"/>
  <c r="G580" i="3"/>
  <c r="F580" i="3"/>
  <c r="E580" i="3"/>
  <c r="I580" i="3" s="1"/>
  <c r="D580" i="3"/>
  <c r="C580" i="3"/>
  <c r="B580" i="3"/>
  <c r="A580" i="3"/>
  <c r="H579" i="3"/>
  <c r="G579" i="3"/>
  <c r="F579" i="3"/>
  <c r="E579" i="3"/>
  <c r="I579" i="3" s="1"/>
  <c r="D579" i="3"/>
  <c r="C579" i="3"/>
  <c r="B579" i="3"/>
  <c r="A579" i="3"/>
  <c r="H578" i="3"/>
  <c r="G578" i="3"/>
  <c r="F578" i="3"/>
  <c r="E578" i="3"/>
  <c r="I578" i="3" s="1"/>
  <c r="D578" i="3"/>
  <c r="C578" i="3"/>
  <c r="B578" i="3"/>
  <c r="A578" i="3"/>
  <c r="H577" i="3"/>
  <c r="G577" i="3"/>
  <c r="F577" i="3"/>
  <c r="E577" i="3"/>
  <c r="I577" i="3" s="1"/>
  <c r="D577" i="3"/>
  <c r="C577" i="3"/>
  <c r="B577" i="3"/>
  <c r="A577" i="3"/>
  <c r="H576" i="3"/>
  <c r="G576" i="3"/>
  <c r="F576" i="3"/>
  <c r="E576" i="3"/>
  <c r="I576" i="3" s="1"/>
  <c r="D576" i="3"/>
  <c r="C576" i="3"/>
  <c r="B576" i="3"/>
  <c r="A576" i="3"/>
  <c r="H575" i="3"/>
  <c r="G575" i="3"/>
  <c r="F575" i="3"/>
  <c r="E575" i="3"/>
  <c r="I575" i="3" s="1"/>
  <c r="D575" i="3"/>
  <c r="C575" i="3"/>
  <c r="B575" i="3"/>
  <c r="A575" i="3"/>
  <c r="H574" i="3"/>
  <c r="G574" i="3"/>
  <c r="F574" i="3"/>
  <c r="E574" i="3"/>
  <c r="I574" i="3" s="1"/>
  <c r="D574" i="3"/>
  <c r="C574" i="3"/>
  <c r="B574" i="3"/>
  <c r="A574" i="3"/>
  <c r="H573" i="3"/>
  <c r="G573" i="3"/>
  <c r="F573" i="3"/>
  <c r="E573" i="3"/>
  <c r="I573" i="3" s="1"/>
  <c r="D573" i="3"/>
  <c r="C573" i="3"/>
  <c r="B573" i="3"/>
  <c r="A573" i="3"/>
  <c r="H572" i="3"/>
  <c r="G572" i="3"/>
  <c r="F572" i="3"/>
  <c r="E572" i="3"/>
  <c r="I572" i="3" s="1"/>
  <c r="D572" i="3"/>
  <c r="C572" i="3"/>
  <c r="B572" i="3"/>
  <c r="A572" i="3"/>
  <c r="H571" i="3"/>
  <c r="G571" i="3"/>
  <c r="F571" i="3"/>
  <c r="E571" i="3"/>
  <c r="I571" i="3" s="1"/>
  <c r="D571" i="3"/>
  <c r="C571" i="3"/>
  <c r="B571" i="3"/>
  <c r="A571" i="3"/>
  <c r="H570" i="3"/>
  <c r="G570" i="3"/>
  <c r="F570" i="3"/>
  <c r="E570" i="3"/>
  <c r="I570" i="3" s="1"/>
  <c r="D570" i="3"/>
  <c r="C570" i="3"/>
  <c r="B570" i="3"/>
  <c r="A570" i="3"/>
  <c r="H569" i="3"/>
  <c r="G569" i="3"/>
  <c r="F569" i="3"/>
  <c r="E569" i="3"/>
  <c r="I569" i="3" s="1"/>
  <c r="D569" i="3"/>
  <c r="C569" i="3"/>
  <c r="B569" i="3"/>
  <c r="A569" i="3"/>
  <c r="H568" i="3"/>
  <c r="G568" i="3"/>
  <c r="F568" i="3"/>
  <c r="E568" i="3"/>
  <c r="I568" i="3" s="1"/>
  <c r="D568" i="3"/>
  <c r="C568" i="3"/>
  <c r="B568" i="3"/>
  <c r="A568" i="3"/>
  <c r="H567" i="3"/>
  <c r="G567" i="3"/>
  <c r="F567" i="3"/>
  <c r="E567" i="3"/>
  <c r="I567" i="3" s="1"/>
  <c r="D567" i="3"/>
  <c r="C567" i="3"/>
  <c r="B567" i="3"/>
  <c r="A567" i="3"/>
  <c r="H566" i="3"/>
  <c r="G566" i="3"/>
  <c r="F566" i="3"/>
  <c r="E566" i="3"/>
  <c r="I566" i="3" s="1"/>
  <c r="D566" i="3"/>
  <c r="C566" i="3"/>
  <c r="B566" i="3"/>
  <c r="A566" i="3"/>
  <c r="H565" i="3"/>
  <c r="G565" i="3"/>
  <c r="F565" i="3"/>
  <c r="E565" i="3"/>
  <c r="I565" i="3" s="1"/>
  <c r="D565" i="3"/>
  <c r="C565" i="3"/>
  <c r="B565" i="3"/>
  <c r="A565" i="3"/>
  <c r="H564" i="3"/>
  <c r="G564" i="3"/>
  <c r="F564" i="3"/>
  <c r="E564" i="3"/>
  <c r="I564" i="3" s="1"/>
  <c r="D564" i="3"/>
  <c r="C564" i="3"/>
  <c r="B564" i="3"/>
  <c r="A564" i="3"/>
  <c r="H563" i="3"/>
  <c r="G563" i="3"/>
  <c r="F563" i="3"/>
  <c r="E563" i="3"/>
  <c r="I563" i="3" s="1"/>
  <c r="D563" i="3"/>
  <c r="C563" i="3"/>
  <c r="B563" i="3"/>
  <c r="A563" i="3"/>
  <c r="H562" i="3"/>
  <c r="G562" i="3"/>
  <c r="F562" i="3"/>
  <c r="E562" i="3"/>
  <c r="I562" i="3" s="1"/>
  <c r="D562" i="3"/>
  <c r="C562" i="3"/>
  <c r="B562" i="3"/>
  <c r="A562" i="3"/>
  <c r="H561" i="3"/>
  <c r="G561" i="3"/>
  <c r="F561" i="3"/>
  <c r="E561" i="3"/>
  <c r="I561" i="3" s="1"/>
  <c r="D561" i="3"/>
  <c r="C561" i="3"/>
  <c r="B561" i="3"/>
  <c r="A561" i="3"/>
  <c r="H560" i="3"/>
  <c r="G560" i="3"/>
  <c r="F560" i="3"/>
  <c r="E560" i="3"/>
  <c r="I560" i="3" s="1"/>
  <c r="D560" i="3"/>
  <c r="C560" i="3"/>
  <c r="B560" i="3"/>
  <c r="A560" i="3"/>
  <c r="H559" i="3"/>
  <c r="G559" i="3"/>
  <c r="F559" i="3"/>
  <c r="E559" i="3"/>
  <c r="I559" i="3" s="1"/>
  <c r="D559" i="3"/>
  <c r="C559" i="3"/>
  <c r="B559" i="3"/>
  <c r="A559" i="3"/>
  <c r="H558" i="3"/>
  <c r="G558" i="3"/>
  <c r="F558" i="3"/>
  <c r="E558" i="3"/>
  <c r="I558" i="3" s="1"/>
  <c r="D558" i="3"/>
  <c r="C558" i="3"/>
  <c r="B558" i="3"/>
  <c r="A558" i="3"/>
  <c r="H557" i="3"/>
  <c r="G557" i="3"/>
  <c r="F557" i="3"/>
  <c r="E557" i="3"/>
  <c r="I557" i="3" s="1"/>
  <c r="D557" i="3"/>
  <c r="C557" i="3"/>
  <c r="B557" i="3"/>
  <c r="A557" i="3"/>
  <c r="H556" i="3"/>
  <c r="G556" i="3"/>
  <c r="F556" i="3"/>
  <c r="E556" i="3"/>
  <c r="I556" i="3" s="1"/>
  <c r="D556" i="3"/>
  <c r="C556" i="3"/>
  <c r="B556" i="3"/>
  <c r="A556" i="3"/>
  <c r="H555" i="3"/>
  <c r="G555" i="3"/>
  <c r="F555" i="3"/>
  <c r="E555" i="3"/>
  <c r="I555" i="3" s="1"/>
  <c r="D555" i="3"/>
  <c r="C555" i="3"/>
  <c r="B555" i="3"/>
  <c r="A555" i="3"/>
  <c r="H554" i="3"/>
  <c r="G554" i="3"/>
  <c r="F554" i="3"/>
  <c r="E554" i="3"/>
  <c r="I554" i="3" s="1"/>
  <c r="D554" i="3"/>
  <c r="C554" i="3"/>
  <c r="B554" i="3"/>
  <c r="A554" i="3"/>
  <c r="H553" i="3"/>
  <c r="G553" i="3"/>
  <c r="F553" i="3"/>
  <c r="E553" i="3"/>
  <c r="I553" i="3" s="1"/>
  <c r="D553" i="3"/>
  <c r="C553" i="3"/>
  <c r="B553" i="3"/>
  <c r="A553" i="3"/>
  <c r="H552" i="3"/>
  <c r="G552" i="3"/>
  <c r="F552" i="3"/>
  <c r="E552" i="3"/>
  <c r="I552" i="3" s="1"/>
  <c r="D552" i="3"/>
  <c r="C552" i="3"/>
  <c r="B552" i="3"/>
  <c r="A552" i="3"/>
  <c r="H551" i="3"/>
  <c r="G551" i="3"/>
  <c r="F551" i="3"/>
  <c r="E551" i="3"/>
  <c r="I551" i="3" s="1"/>
  <c r="D551" i="3"/>
  <c r="C551" i="3"/>
  <c r="B551" i="3"/>
  <c r="A551" i="3"/>
  <c r="H550" i="3"/>
  <c r="G550" i="3"/>
  <c r="F550" i="3"/>
  <c r="E550" i="3"/>
  <c r="I550" i="3" s="1"/>
  <c r="D550" i="3"/>
  <c r="C550" i="3"/>
  <c r="B550" i="3"/>
  <c r="A550" i="3"/>
  <c r="H549" i="3"/>
  <c r="G549" i="3"/>
  <c r="F549" i="3"/>
  <c r="E549" i="3"/>
  <c r="I549" i="3" s="1"/>
  <c r="D549" i="3"/>
  <c r="C549" i="3"/>
  <c r="B549" i="3"/>
  <c r="A549" i="3"/>
  <c r="H548" i="3"/>
  <c r="G548" i="3"/>
  <c r="F548" i="3"/>
  <c r="E548" i="3"/>
  <c r="I548" i="3" s="1"/>
  <c r="D548" i="3"/>
  <c r="C548" i="3"/>
  <c r="B548" i="3"/>
  <c r="A548" i="3"/>
  <c r="H547" i="3"/>
  <c r="G547" i="3"/>
  <c r="F547" i="3"/>
  <c r="E547" i="3"/>
  <c r="I547" i="3" s="1"/>
  <c r="D547" i="3"/>
  <c r="C547" i="3"/>
  <c r="B547" i="3"/>
  <c r="A547" i="3"/>
  <c r="H546" i="3"/>
  <c r="G546" i="3"/>
  <c r="F546" i="3"/>
  <c r="E546" i="3"/>
  <c r="I546" i="3" s="1"/>
  <c r="D546" i="3"/>
  <c r="C546" i="3"/>
  <c r="B546" i="3"/>
  <c r="A546" i="3"/>
  <c r="H545" i="3"/>
  <c r="G545" i="3"/>
  <c r="F545" i="3"/>
  <c r="E545" i="3"/>
  <c r="I545" i="3" s="1"/>
  <c r="D545" i="3"/>
  <c r="C545" i="3"/>
  <c r="B545" i="3"/>
  <c r="A545" i="3"/>
  <c r="H544" i="3"/>
  <c r="G544" i="3"/>
  <c r="F544" i="3"/>
  <c r="E544" i="3"/>
  <c r="I544" i="3" s="1"/>
  <c r="D544" i="3"/>
  <c r="C544" i="3"/>
  <c r="B544" i="3"/>
  <c r="A544" i="3"/>
  <c r="H543" i="3"/>
  <c r="G543" i="3"/>
  <c r="F543" i="3"/>
  <c r="E543" i="3"/>
  <c r="I543" i="3" s="1"/>
  <c r="D543" i="3"/>
  <c r="C543" i="3"/>
  <c r="B543" i="3"/>
  <c r="A543" i="3"/>
  <c r="H542" i="3"/>
  <c r="G542" i="3"/>
  <c r="F542" i="3"/>
  <c r="E542" i="3"/>
  <c r="I542" i="3" s="1"/>
  <c r="D542" i="3"/>
  <c r="C542" i="3"/>
  <c r="B542" i="3"/>
  <c r="A542" i="3"/>
  <c r="H541" i="3"/>
  <c r="G541" i="3"/>
  <c r="F541" i="3"/>
  <c r="E541" i="3"/>
  <c r="I541" i="3" s="1"/>
  <c r="D541" i="3"/>
  <c r="C541" i="3"/>
  <c r="B541" i="3"/>
  <c r="A541" i="3"/>
  <c r="H540" i="3"/>
  <c r="G540" i="3"/>
  <c r="F540" i="3"/>
  <c r="E540" i="3"/>
  <c r="I540" i="3" s="1"/>
  <c r="D540" i="3"/>
  <c r="C540" i="3"/>
  <c r="B540" i="3"/>
  <c r="A540" i="3"/>
  <c r="H539" i="3"/>
  <c r="G539" i="3"/>
  <c r="F539" i="3"/>
  <c r="E539" i="3"/>
  <c r="I539" i="3" s="1"/>
  <c r="D539" i="3"/>
  <c r="C539" i="3"/>
  <c r="B539" i="3"/>
  <c r="A539" i="3"/>
  <c r="H538" i="3"/>
  <c r="G538" i="3"/>
  <c r="F538" i="3"/>
  <c r="E538" i="3"/>
  <c r="I538" i="3" s="1"/>
  <c r="D538" i="3"/>
  <c r="C538" i="3"/>
  <c r="B538" i="3"/>
  <c r="A538" i="3"/>
  <c r="H537" i="3"/>
  <c r="G537" i="3"/>
  <c r="F537" i="3"/>
  <c r="E537" i="3"/>
  <c r="I537" i="3" s="1"/>
  <c r="D537" i="3"/>
  <c r="C537" i="3"/>
  <c r="B537" i="3"/>
  <c r="A537" i="3"/>
  <c r="H536" i="3"/>
  <c r="G536" i="3"/>
  <c r="F536" i="3"/>
  <c r="E536" i="3"/>
  <c r="I536" i="3" s="1"/>
  <c r="D536" i="3"/>
  <c r="C536" i="3"/>
  <c r="B536" i="3"/>
  <c r="A536" i="3"/>
  <c r="H535" i="3"/>
  <c r="G535" i="3"/>
  <c r="F535" i="3"/>
  <c r="E535" i="3"/>
  <c r="I535" i="3" s="1"/>
  <c r="D535" i="3"/>
  <c r="C535" i="3"/>
  <c r="B535" i="3"/>
  <c r="A535" i="3"/>
  <c r="H534" i="3"/>
  <c r="G534" i="3"/>
  <c r="F534" i="3"/>
  <c r="E534" i="3"/>
  <c r="I534" i="3" s="1"/>
  <c r="D534" i="3"/>
  <c r="C534" i="3"/>
  <c r="B534" i="3"/>
  <c r="A534" i="3"/>
  <c r="H533" i="3"/>
  <c r="G533" i="3"/>
  <c r="F533" i="3"/>
  <c r="E533" i="3"/>
  <c r="I533" i="3" s="1"/>
  <c r="D533" i="3"/>
  <c r="C533" i="3"/>
  <c r="B533" i="3"/>
  <c r="A533" i="3"/>
  <c r="H532" i="3"/>
  <c r="G532" i="3"/>
  <c r="F532" i="3"/>
  <c r="E532" i="3"/>
  <c r="I532" i="3" s="1"/>
  <c r="D532" i="3"/>
  <c r="C532" i="3"/>
  <c r="B532" i="3"/>
  <c r="A532" i="3"/>
  <c r="H531" i="3"/>
  <c r="G531" i="3"/>
  <c r="F531" i="3"/>
  <c r="E531" i="3"/>
  <c r="I531" i="3" s="1"/>
  <c r="D531" i="3"/>
  <c r="C531" i="3"/>
  <c r="B531" i="3"/>
  <c r="A531" i="3"/>
  <c r="H530" i="3"/>
  <c r="G530" i="3"/>
  <c r="F530" i="3"/>
  <c r="E530" i="3"/>
  <c r="I530" i="3" s="1"/>
  <c r="D530" i="3"/>
  <c r="C530" i="3"/>
  <c r="B530" i="3"/>
  <c r="A530" i="3"/>
  <c r="H529" i="3"/>
  <c r="G529" i="3"/>
  <c r="F529" i="3"/>
  <c r="E529" i="3"/>
  <c r="I529" i="3" s="1"/>
  <c r="D529" i="3"/>
  <c r="C529" i="3"/>
  <c r="B529" i="3"/>
  <c r="A529" i="3"/>
  <c r="H528" i="3"/>
  <c r="G528" i="3"/>
  <c r="F528" i="3"/>
  <c r="E528" i="3"/>
  <c r="I528" i="3" s="1"/>
  <c r="D528" i="3"/>
  <c r="C528" i="3"/>
  <c r="B528" i="3"/>
  <c r="A528" i="3"/>
  <c r="H527" i="3"/>
  <c r="G527" i="3"/>
  <c r="F527" i="3"/>
  <c r="E527" i="3"/>
  <c r="I527" i="3" s="1"/>
  <c r="D527" i="3"/>
  <c r="C527" i="3"/>
  <c r="B527" i="3"/>
  <c r="A527" i="3"/>
  <c r="H526" i="3"/>
  <c r="G526" i="3"/>
  <c r="F526" i="3"/>
  <c r="E526" i="3"/>
  <c r="I526" i="3" s="1"/>
  <c r="D526" i="3"/>
  <c r="C526" i="3"/>
  <c r="B526" i="3"/>
  <c r="A526" i="3"/>
  <c r="H525" i="3"/>
  <c r="G525" i="3"/>
  <c r="F525" i="3"/>
  <c r="E525" i="3"/>
  <c r="I525" i="3" s="1"/>
  <c r="D525" i="3"/>
  <c r="C525" i="3"/>
  <c r="B525" i="3"/>
  <c r="A525" i="3"/>
  <c r="H524" i="3"/>
  <c r="G524" i="3"/>
  <c r="F524" i="3"/>
  <c r="E524" i="3"/>
  <c r="I524" i="3" s="1"/>
  <c r="D524" i="3"/>
  <c r="C524" i="3"/>
  <c r="B524" i="3"/>
  <c r="A524" i="3"/>
  <c r="H523" i="3"/>
  <c r="G523" i="3"/>
  <c r="F523" i="3"/>
  <c r="E523" i="3"/>
  <c r="I523" i="3" s="1"/>
  <c r="D523" i="3"/>
  <c r="C523" i="3"/>
  <c r="B523" i="3"/>
  <c r="A523" i="3"/>
  <c r="H522" i="3"/>
  <c r="G522" i="3"/>
  <c r="F522" i="3"/>
  <c r="E522" i="3"/>
  <c r="I522" i="3" s="1"/>
  <c r="D522" i="3"/>
  <c r="C522" i="3"/>
  <c r="B522" i="3"/>
  <c r="A522" i="3"/>
  <c r="H521" i="3"/>
  <c r="G521" i="3"/>
  <c r="F521" i="3"/>
  <c r="E521" i="3"/>
  <c r="I521" i="3" s="1"/>
  <c r="D521" i="3"/>
  <c r="C521" i="3"/>
  <c r="B521" i="3"/>
  <c r="A521" i="3"/>
  <c r="H520" i="3"/>
  <c r="G520" i="3"/>
  <c r="F520" i="3"/>
  <c r="E520" i="3"/>
  <c r="I520" i="3" s="1"/>
  <c r="D520" i="3"/>
  <c r="C520" i="3"/>
  <c r="B520" i="3"/>
  <c r="A520" i="3"/>
  <c r="H519" i="3"/>
  <c r="G519" i="3"/>
  <c r="F519" i="3"/>
  <c r="E519" i="3"/>
  <c r="I519" i="3" s="1"/>
  <c r="D519" i="3"/>
  <c r="C519" i="3"/>
  <c r="B519" i="3"/>
  <c r="A519" i="3"/>
  <c r="H518" i="3"/>
  <c r="G518" i="3"/>
  <c r="F518" i="3"/>
  <c r="E518" i="3"/>
  <c r="I518" i="3" s="1"/>
  <c r="D518" i="3"/>
  <c r="C518" i="3"/>
  <c r="B518" i="3"/>
  <c r="A518" i="3"/>
  <c r="H517" i="3"/>
  <c r="G517" i="3"/>
  <c r="F517" i="3"/>
  <c r="E517" i="3"/>
  <c r="I517" i="3" s="1"/>
  <c r="D517" i="3"/>
  <c r="C517" i="3"/>
  <c r="B517" i="3"/>
  <c r="A517" i="3"/>
  <c r="H516" i="3"/>
  <c r="G516" i="3"/>
  <c r="F516" i="3"/>
  <c r="E516" i="3"/>
  <c r="I516" i="3" s="1"/>
  <c r="D516" i="3"/>
  <c r="C516" i="3"/>
  <c r="B516" i="3"/>
  <c r="A516" i="3"/>
  <c r="H515" i="3"/>
  <c r="G515" i="3"/>
  <c r="F515" i="3"/>
  <c r="E515" i="3"/>
  <c r="I515" i="3" s="1"/>
  <c r="D515" i="3"/>
  <c r="C515" i="3"/>
  <c r="B515" i="3"/>
  <c r="A515" i="3"/>
  <c r="H514" i="3"/>
  <c r="G514" i="3"/>
  <c r="F514" i="3"/>
  <c r="E514" i="3"/>
  <c r="I514" i="3" s="1"/>
  <c r="D514" i="3"/>
  <c r="C514" i="3"/>
  <c r="B514" i="3"/>
  <c r="A514" i="3"/>
  <c r="H513" i="3"/>
  <c r="G513" i="3"/>
  <c r="F513" i="3"/>
  <c r="E513" i="3"/>
  <c r="I513" i="3" s="1"/>
  <c r="D513" i="3"/>
  <c r="C513" i="3"/>
  <c r="B513" i="3"/>
  <c r="A513" i="3"/>
  <c r="H512" i="3"/>
  <c r="G512" i="3"/>
  <c r="F512" i="3"/>
  <c r="E512" i="3"/>
  <c r="I512" i="3" s="1"/>
  <c r="D512" i="3"/>
  <c r="C512" i="3"/>
  <c r="B512" i="3"/>
  <c r="A512" i="3"/>
  <c r="H511" i="3"/>
  <c r="G511" i="3"/>
  <c r="F511" i="3"/>
  <c r="E511" i="3"/>
  <c r="I511" i="3" s="1"/>
  <c r="D511" i="3"/>
  <c r="C511" i="3"/>
  <c r="B511" i="3"/>
  <c r="A511" i="3"/>
  <c r="H510" i="3"/>
  <c r="G510" i="3"/>
  <c r="F510" i="3"/>
  <c r="E510" i="3"/>
  <c r="I510" i="3" s="1"/>
  <c r="D510" i="3"/>
  <c r="C510" i="3"/>
  <c r="B510" i="3"/>
  <c r="A510" i="3"/>
  <c r="H509" i="3"/>
  <c r="G509" i="3"/>
  <c r="F509" i="3"/>
  <c r="E509" i="3"/>
  <c r="I509" i="3" s="1"/>
  <c r="D509" i="3"/>
  <c r="C509" i="3"/>
  <c r="B509" i="3"/>
  <c r="A509" i="3"/>
  <c r="H508" i="3"/>
  <c r="G508" i="3"/>
  <c r="F508" i="3"/>
  <c r="E508" i="3"/>
  <c r="I508" i="3" s="1"/>
  <c r="D508" i="3"/>
  <c r="C508" i="3"/>
  <c r="B508" i="3"/>
  <c r="A508" i="3"/>
  <c r="H507" i="3"/>
  <c r="G507" i="3"/>
  <c r="F507" i="3"/>
  <c r="E507" i="3"/>
  <c r="I507" i="3" s="1"/>
  <c r="D507" i="3"/>
  <c r="C507" i="3"/>
  <c r="B507" i="3"/>
  <c r="A507" i="3"/>
  <c r="H506" i="3"/>
  <c r="G506" i="3"/>
  <c r="F506" i="3"/>
  <c r="E506" i="3"/>
  <c r="I506" i="3" s="1"/>
  <c r="D506" i="3"/>
  <c r="C506" i="3"/>
  <c r="B506" i="3"/>
  <c r="A506" i="3"/>
  <c r="H505" i="3"/>
  <c r="G505" i="3"/>
  <c r="F505" i="3"/>
  <c r="E505" i="3"/>
  <c r="I505" i="3" s="1"/>
  <c r="D505" i="3"/>
  <c r="C505" i="3"/>
  <c r="B505" i="3"/>
  <c r="A505" i="3"/>
  <c r="H504" i="3"/>
  <c r="G504" i="3"/>
  <c r="F504" i="3"/>
  <c r="E504" i="3"/>
  <c r="I504" i="3" s="1"/>
  <c r="D504" i="3"/>
  <c r="C504" i="3"/>
  <c r="B504" i="3"/>
  <c r="A504" i="3"/>
  <c r="H503" i="3"/>
  <c r="G503" i="3"/>
  <c r="F503" i="3"/>
  <c r="E503" i="3"/>
  <c r="I503" i="3" s="1"/>
  <c r="D503" i="3"/>
  <c r="C503" i="3"/>
  <c r="B503" i="3"/>
  <c r="A503" i="3"/>
  <c r="H502" i="3"/>
  <c r="G502" i="3"/>
  <c r="F502" i="3"/>
  <c r="E502" i="3"/>
  <c r="I502" i="3" s="1"/>
  <c r="D502" i="3"/>
  <c r="C502" i="3"/>
  <c r="B502" i="3"/>
  <c r="A502" i="3"/>
  <c r="H501" i="3"/>
  <c r="G501" i="3"/>
  <c r="F501" i="3"/>
  <c r="E501" i="3"/>
  <c r="I501" i="3" s="1"/>
  <c r="D501" i="3"/>
  <c r="C501" i="3"/>
  <c r="B501" i="3"/>
  <c r="A501" i="3"/>
  <c r="H500" i="3"/>
  <c r="G500" i="3"/>
  <c r="F500" i="3"/>
  <c r="E500" i="3"/>
  <c r="I500" i="3" s="1"/>
  <c r="D500" i="3"/>
  <c r="C500" i="3"/>
  <c r="B500" i="3"/>
  <c r="A500" i="3"/>
  <c r="H499" i="3"/>
  <c r="G499" i="3"/>
  <c r="F499" i="3"/>
  <c r="E499" i="3"/>
  <c r="I499" i="3" s="1"/>
  <c r="D499" i="3"/>
  <c r="C499" i="3"/>
  <c r="B499" i="3"/>
  <c r="A499" i="3"/>
  <c r="H498" i="3"/>
  <c r="G498" i="3"/>
  <c r="F498" i="3"/>
  <c r="E498" i="3"/>
  <c r="I498" i="3" s="1"/>
  <c r="D498" i="3"/>
  <c r="C498" i="3"/>
  <c r="B498" i="3"/>
  <c r="A498" i="3"/>
  <c r="H497" i="3"/>
  <c r="G497" i="3"/>
  <c r="F497" i="3"/>
  <c r="E497" i="3"/>
  <c r="I497" i="3" s="1"/>
  <c r="D497" i="3"/>
  <c r="C497" i="3"/>
  <c r="B497" i="3"/>
  <c r="A497" i="3"/>
  <c r="H496" i="3"/>
  <c r="G496" i="3"/>
  <c r="F496" i="3"/>
  <c r="E496" i="3"/>
  <c r="I496" i="3" s="1"/>
  <c r="D496" i="3"/>
  <c r="C496" i="3"/>
  <c r="B496" i="3"/>
  <c r="A496" i="3"/>
  <c r="H495" i="3"/>
  <c r="G495" i="3"/>
  <c r="F495" i="3"/>
  <c r="E495" i="3"/>
  <c r="I495" i="3" s="1"/>
  <c r="D495" i="3"/>
  <c r="C495" i="3"/>
  <c r="B495" i="3"/>
  <c r="A495" i="3"/>
  <c r="H494" i="3"/>
  <c r="G494" i="3"/>
  <c r="F494" i="3"/>
  <c r="E494" i="3"/>
  <c r="I494" i="3" s="1"/>
  <c r="D494" i="3"/>
  <c r="C494" i="3"/>
  <c r="B494" i="3"/>
  <c r="A494" i="3"/>
  <c r="H493" i="3"/>
  <c r="G493" i="3"/>
  <c r="F493" i="3"/>
  <c r="E493" i="3"/>
  <c r="I493" i="3" s="1"/>
  <c r="D493" i="3"/>
  <c r="C493" i="3"/>
  <c r="B493" i="3"/>
  <c r="A493" i="3"/>
  <c r="H492" i="3"/>
  <c r="G492" i="3"/>
  <c r="F492" i="3"/>
  <c r="E492" i="3"/>
  <c r="I492" i="3" s="1"/>
  <c r="D492" i="3"/>
  <c r="C492" i="3"/>
  <c r="B492" i="3"/>
  <c r="A492" i="3"/>
  <c r="H491" i="3"/>
  <c r="G491" i="3"/>
  <c r="F491" i="3"/>
  <c r="E491" i="3"/>
  <c r="I491" i="3" s="1"/>
  <c r="D491" i="3"/>
  <c r="C491" i="3"/>
  <c r="B491" i="3"/>
  <c r="A491" i="3"/>
  <c r="H490" i="3"/>
  <c r="G490" i="3"/>
  <c r="F490" i="3"/>
  <c r="E490" i="3"/>
  <c r="I490" i="3" s="1"/>
  <c r="D490" i="3"/>
  <c r="C490" i="3"/>
  <c r="B490" i="3"/>
  <c r="A490" i="3"/>
  <c r="H489" i="3"/>
  <c r="G489" i="3"/>
  <c r="F489" i="3"/>
  <c r="E489" i="3"/>
  <c r="I489" i="3" s="1"/>
  <c r="D489" i="3"/>
  <c r="C489" i="3"/>
  <c r="B489" i="3"/>
  <c r="A489" i="3"/>
  <c r="H488" i="3"/>
  <c r="G488" i="3"/>
  <c r="F488" i="3"/>
  <c r="E488" i="3"/>
  <c r="I488" i="3" s="1"/>
  <c r="D488" i="3"/>
  <c r="C488" i="3"/>
  <c r="B488" i="3"/>
  <c r="A488" i="3"/>
  <c r="H487" i="3"/>
  <c r="G487" i="3"/>
  <c r="F487" i="3"/>
  <c r="E487" i="3"/>
  <c r="I487" i="3" s="1"/>
  <c r="D487" i="3"/>
  <c r="C487" i="3"/>
  <c r="B487" i="3"/>
  <c r="A487" i="3"/>
  <c r="H486" i="3"/>
  <c r="G486" i="3"/>
  <c r="F486" i="3"/>
  <c r="E486" i="3"/>
  <c r="I486" i="3" s="1"/>
  <c r="D486" i="3"/>
  <c r="C486" i="3"/>
  <c r="B486" i="3"/>
  <c r="A486" i="3"/>
  <c r="H485" i="3"/>
  <c r="G485" i="3"/>
  <c r="F485" i="3"/>
  <c r="E485" i="3"/>
  <c r="I485" i="3" s="1"/>
  <c r="D485" i="3"/>
  <c r="C485" i="3"/>
  <c r="B485" i="3"/>
  <c r="A485" i="3"/>
  <c r="H484" i="3"/>
  <c r="G484" i="3"/>
  <c r="F484" i="3"/>
  <c r="E484" i="3"/>
  <c r="I484" i="3" s="1"/>
  <c r="D484" i="3"/>
  <c r="C484" i="3"/>
  <c r="B484" i="3"/>
  <c r="A484" i="3"/>
  <c r="H483" i="3"/>
  <c r="G483" i="3"/>
  <c r="F483" i="3"/>
  <c r="E483" i="3"/>
  <c r="I483" i="3" s="1"/>
  <c r="D483" i="3"/>
  <c r="C483" i="3"/>
  <c r="B483" i="3"/>
  <c r="A483" i="3"/>
  <c r="H482" i="3"/>
  <c r="G482" i="3"/>
  <c r="F482" i="3"/>
  <c r="E482" i="3"/>
  <c r="I482" i="3" s="1"/>
  <c r="D482" i="3"/>
  <c r="C482" i="3"/>
  <c r="B482" i="3"/>
  <c r="A482" i="3"/>
  <c r="H481" i="3"/>
  <c r="G481" i="3"/>
  <c r="F481" i="3"/>
  <c r="E481" i="3"/>
  <c r="I481" i="3" s="1"/>
  <c r="D481" i="3"/>
  <c r="C481" i="3"/>
  <c r="B481" i="3"/>
  <c r="A481" i="3"/>
  <c r="H480" i="3"/>
  <c r="G480" i="3"/>
  <c r="F480" i="3"/>
  <c r="E480" i="3"/>
  <c r="I480" i="3" s="1"/>
  <c r="D480" i="3"/>
  <c r="C480" i="3"/>
  <c r="B480" i="3"/>
  <c r="A480" i="3"/>
  <c r="H479" i="3"/>
  <c r="G479" i="3"/>
  <c r="F479" i="3"/>
  <c r="E479" i="3"/>
  <c r="I479" i="3" s="1"/>
  <c r="D479" i="3"/>
  <c r="C479" i="3"/>
  <c r="B479" i="3"/>
  <c r="A479" i="3"/>
  <c r="H478" i="3"/>
  <c r="G478" i="3"/>
  <c r="F478" i="3"/>
  <c r="E478" i="3"/>
  <c r="I478" i="3" s="1"/>
  <c r="D478" i="3"/>
  <c r="C478" i="3"/>
  <c r="B478" i="3"/>
  <c r="A478" i="3"/>
  <c r="H477" i="3"/>
  <c r="G477" i="3"/>
  <c r="F477" i="3"/>
  <c r="E477" i="3"/>
  <c r="I477" i="3" s="1"/>
  <c r="D477" i="3"/>
  <c r="C477" i="3"/>
  <c r="B477" i="3"/>
  <c r="A477" i="3"/>
  <c r="H476" i="3"/>
  <c r="G476" i="3"/>
  <c r="F476" i="3"/>
  <c r="E476" i="3"/>
  <c r="I476" i="3" s="1"/>
  <c r="D476" i="3"/>
  <c r="C476" i="3"/>
  <c r="B476" i="3"/>
  <c r="A476" i="3"/>
  <c r="H475" i="3"/>
  <c r="G475" i="3"/>
  <c r="F475" i="3"/>
  <c r="E475" i="3"/>
  <c r="I475" i="3" s="1"/>
  <c r="D475" i="3"/>
  <c r="C475" i="3"/>
  <c r="B475" i="3"/>
  <c r="A475" i="3"/>
  <c r="H474" i="3"/>
  <c r="G474" i="3"/>
  <c r="F474" i="3"/>
  <c r="E474" i="3"/>
  <c r="I474" i="3" s="1"/>
  <c r="D474" i="3"/>
  <c r="C474" i="3"/>
  <c r="B474" i="3"/>
  <c r="A474" i="3"/>
  <c r="H473" i="3"/>
  <c r="G473" i="3"/>
  <c r="F473" i="3"/>
  <c r="E473" i="3"/>
  <c r="I473" i="3" s="1"/>
  <c r="D473" i="3"/>
  <c r="C473" i="3"/>
  <c r="B473" i="3"/>
  <c r="A473" i="3"/>
  <c r="H472" i="3"/>
  <c r="G472" i="3"/>
  <c r="F472" i="3"/>
  <c r="E472" i="3"/>
  <c r="I472" i="3" s="1"/>
  <c r="D472" i="3"/>
  <c r="C472" i="3"/>
  <c r="B472" i="3"/>
  <c r="A472" i="3"/>
  <c r="H471" i="3"/>
  <c r="G471" i="3"/>
  <c r="F471" i="3"/>
  <c r="E471" i="3"/>
  <c r="I471" i="3" s="1"/>
  <c r="D471" i="3"/>
  <c r="C471" i="3"/>
  <c r="B471" i="3"/>
  <c r="A471" i="3"/>
  <c r="H470" i="3"/>
  <c r="G470" i="3"/>
  <c r="F470" i="3"/>
  <c r="E470" i="3"/>
  <c r="I470" i="3" s="1"/>
  <c r="D470" i="3"/>
  <c r="C470" i="3"/>
  <c r="B470" i="3"/>
  <c r="A470" i="3"/>
  <c r="H469" i="3"/>
  <c r="G469" i="3"/>
  <c r="F469" i="3"/>
  <c r="E469" i="3"/>
  <c r="I469" i="3" s="1"/>
  <c r="D469" i="3"/>
  <c r="C469" i="3"/>
  <c r="B469" i="3"/>
  <c r="A469" i="3"/>
  <c r="H468" i="3"/>
  <c r="G468" i="3"/>
  <c r="F468" i="3"/>
  <c r="E468" i="3"/>
  <c r="I468" i="3" s="1"/>
  <c r="D468" i="3"/>
  <c r="C468" i="3"/>
  <c r="B468" i="3"/>
  <c r="A468" i="3"/>
  <c r="H467" i="3"/>
  <c r="G467" i="3"/>
  <c r="F467" i="3"/>
  <c r="E467" i="3"/>
  <c r="I467" i="3" s="1"/>
  <c r="D467" i="3"/>
  <c r="C467" i="3"/>
  <c r="B467" i="3"/>
  <c r="A467" i="3"/>
  <c r="H466" i="3"/>
  <c r="G466" i="3"/>
  <c r="F466" i="3"/>
  <c r="E466" i="3"/>
  <c r="I466" i="3" s="1"/>
  <c r="D466" i="3"/>
  <c r="C466" i="3"/>
  <c r="B466" i="3"/>
  <c r="A466" i="3"/>
  <c r="H465" i="3"/>
  <c r="G465" i="3"/>
  <c r="F465" i="3"/>
  <c r="E465" i="3"/>
  <c r="I465" i="3" s="1"/>
  <c r="D465" i="3"/>
  <c r="C465" i="3"/>
  <c r="B465" i="3"/>
  <c r="A465" i="3"/>
  <c r="H464" i="3"/>
  <c r="G464" i="3"/>
  <c r="F464" i="3"/>
  <c r="E464" i="3"/>
  <c r="I464" i="3" s="1"/>
  <c r="D464" i="3"/>
  <c r="C464" i="3"/>
  <c r="B464" i="3"/>
  <c r="A464" i="3"/>
  <c r="H463" i="3"/>
  <c r="G463" i="3"/>
  <c r="F463" i="3"/>
  <c r="E463" i="3"/>
  <c r="I463" i="3" s="1"/>
  <c r="D463" i="3"/>
  <c r="C463" i="3"/>
  <c r="B463" i="3"/>
  <c r="A463" i="3"/>
  <c r="H462" i="3"/>
  <c r="G462" i="3"/>
  <c r="F462" i="3"/>
  <c r="E462" i="3"/>
  <c r="I462" i="3" s="1"/>
  <c r="D462" i="3"/>
  <c r="C462" i="3"/>
  <c r="B462" i="3"/>
  <c r="A462" i="3"/>
  <c r="H461" i="3"/>
  <c r="G461" i="3"/>
  <c r="F461" i="3"/>
  <c r="E461" i="3"/>
  <c r="I461" i="3" s="1"/>
  <c r="D461" i="3"/>
  <c r="C461" i="3"/>
  <c r="B461" i="3"/>
  <c r="A461" i="3"/>
  <c r="H460" i="3"/>
  <c r="G460" i="3"/>
  <c r="F460" i="3"/>
  <c r="E460" i="3"/>
  <c r="I460" i="3" s="1"/>
  <c r="D460" i="3"/>
  <c r="C460" i="3"/>
  <c r="B460" i="3"/>
  <c r="A460" i="3"/>
  <c r="H459" i="3"/>
  <c r="G459" i="3"/>
  <c r="F459" i="3"/>
  <c r="E459" i="3"/>
  <c r="I459" i="3" s="1"/>
  <c r="D459" i="3"/>
  <c r="C459" i="3"/>
  <c r="B459" i="3"/>
  <c r="A459" i="3"/>
  <c r="H458" i="3"/>
  <c r="G458" i="3"/>
  <c r="F458" i="3"/>
  <c r="E458" i="3"/>
  <c r="I458" i="3" s="1"/>
  <c r="D458" i="3"/>
  <c r="C458" i="3"/>
  <c r="B458" i="3"/>
  <c r="A458" i="3"/>
  <c r="H457" i="3"/>
  <c r="G457" i="3"/>
  <c r="F457" i="3"/>
  <c r="E457" i="3"/>
  <c r="I457" i="3" s="1"/>
  <c r="D457" i="3"/>
  <c r="C457" i="3"/>
  <c r="B457" i="3"/>
  <c r="A457" i="3"/>
  <c r="H456" i="3"/>
  <c r="G456" i="3"/>
  <c r="F456" i="3"/>
  <c r="E456" i="3"/>
  <c r="I456" i="3" s="1"/>
  <c r="D456" i="3"/>
  <c r="C456" i="3"/>
  <c r="B456" i="3"/>
  <c r="A456" i="3"/>
  <c r="H455" i="3"/>
  <c r="G455" i="3"/>
  <c r="F455" i="3"/>
  <c r="E455" i="3"/>
  <c r="I455" i="3" s="1"/>
  <c r="D455" i="3"/>
  <c r="C455" i="3"/>
  <c r="B455" i="3"/>
  <c r="A455" i="3"/>
  <c r="H454" i="3"/>
  <c r="G454" i="3"/>
  <c r="F454" i="3"/>
  <c r="E454" i="3"/>
  <c r="I454" i="3" s="1"/>
  <c r="D454" i="3"/>
  <c r="C454" i="3"/>
  <c r="B454" i="3"/>
  <c r="A454" i="3"/>
  <c r="H453" i="3"/>
  <c r="G453" i="3"/>
  <c r="F453" i="3"/>
  <c r="E453" i="3"/>
  <c r="I453" i="3" s="1"/>
  <c r="D453" i="3"/>
  <c r="C453" i="3"/>
  <c r="B453" i="3"/>
  <c r="A453" i="3"/>
  <c r="H452" i="3"/>
  <c r="G452" i="3"/>
  <c r="F452" i="3"/>
  <c r="E452" i="3"/>
  <c r="I452" i="3" s="1"/>
  <c r="D452" i="3"/>
  <c r="C452" i="3"/>
  <c r="B452" i="3"/>
  <c r="A452" i="3"/>
  <c r="H451" i="3"/>
  <c r="G451" i="3"/>
  <c r="F451" i="3"/>
  <c r="E451" i="3"/>
  <c r="I451" i="3" s="1"/>
  <c r="D451" i="3"/>
  <c r="C451" i="3"/>
  <c r="B451" i="3"/>
  <c r="A451" i="3"/>
  <c r="H450" i="3"/>
  <c r="G450" i="3"/>
  <c r="F450" i="3"/>
  <c r="E450" i="3"/>
  <c r="I450" i="3" s="1"/>
  <c r="D450" i="3"/>
  <c r="C450" i="3"/>
  <c r="B450" i="3"/>
  <c r="A450" i="3"/>
  <c r="H449" i="3"/>
  <c r="G449" i="3"/>
  <c r="F449" i="3"/>
  <c r="E449" i="3"/>
  <c r="I449" i="3" s="1"/>
  <c r="D449" i="3"/>
  <c r="C449" i="3"/>
  <c r="B449" i="3"/>
  <c r="A449" i="3"/>
  <c r="H448" i="3"/>
  <c r="G448" i="3"/>
  <c r="F448" i="3"/>
  <c r="E448" i="3"/>
  <c r="I448" i="3" s="1"/>
  <c r="D448" i="3"/>
  <c r="C448" i="3"/>
  <c r="B448" i="3"/>
  <c r="A448" i="3"/>
  <c r="H447" i="3"/>
  <c r="G447" i="3"/>
  <c r="F447" i="3"/>
  <c r="E447" i="3"/>
  <c r="I447" i="3" s="1"/>
  <c r="D447" i="3"/>
  <c r="C447" i="3"/>
  <c r="B447" i="3"/>
  <c r="A447" i="3"/>
  <c r="H446" i="3"/>
  <c r="G446" i="3"/>
  <c r="F446" i="3"/>
  <c r="E446" i="3"/>
  <c r="I446" i="3" s="1"/>
  <c r="D446" i="3"/>
  <c r="C446" i="3"/>
  <c r="B446" i="3"/>
  <c r="A446" i="3"/>
  <c r="H445" i="3"/>
  <c r="G445" i="3"/>
  <c r="F445" i="3"/>
  <c r="E445" i="3"/>
  <c r="I445" i="3" s="1"/>
  <c r="D445" i="3"/>
  <c r="C445" i="3"/>
  <c r="B445" i="3"/>
  <c r="A445" i="3"/>
  <c r="H444" i="3"/>
  <c r="G444" i="3"/>
  <c r="F444" i="3"/>
  <c r="E444" i="3"/>
  <c r="I444" i="3" s="1"/>
  <c r="D444" i="3"/>
  <c r="C444" i="3"/>
  <c r="B444" i="3"/>
  <c r="A444" i="3"/>
  <c r="H443" i="3"/>
  <c r="G443" i="3"/>
  <c r="F443" i="3"/>
  <c r="E443" i="3"/>
  <c r="I443" i="3" s="1"/>
  <c r="D443" i="3"/>
  <c r="C443" i="3"/>
  <c r="B443" i="3"/>
  <c r="A443" i="3"/>
  <c r="H442" i="3"/>
  <c r="G442" i="3"/>
  <c r="F442" i="3"/>
  <c r="E442" i="3"/>
  <c r="I442" i="3" s="1"/>
  <c r="D442" i="3"/>
  <c r="C442" i="3"/>
  <c r="B442" i="3"/>
  <c r="A442" i="3"/>
  <c r="H441" i="3"/>
  <c r="G441" i="3"/>
  <c r="F441" i="3"/>
  <c r="E441" i="3"/>
  <c r="I441" i="3" s="1"/>
  <c r="D441" i="3"/>
  <c r="C441" i="3"/>
  <c r="B441" i="3"/>
  <c r="A441" i="3"/>
  <c r="H440" i="3"/>
  <c r="G440" i="3"/>
  <c r="F440" i="3"/>
  <c r="E440" i="3"/>
  <c r="I440" i="3" s="1"/>
  <c r="D440" i="3"/>
  <c r="C440" i="3"/>
  <c r="B440" i="3"/>
  <c r="A440" i="3"/>
  <c r="H439" i="3"/>
  <c r="G439" i="3"/>
  <c r="F439" i="3"/>
  <c r="E439" i="3"/>
  <c r="I439" i="3" s="1"/>
  <c r="D439" i="3"/>
  <c r="C439" i="3"/>
  <c r="B439" i="3"/>
  <c r="A439" i="3"/>
  <c r="H438" i="3"/>
  <c r="G438" i="3"/>
  <c r="F438" i="3"/>
  <c r="E438" i="3"/>
  <c r="I438" i="3" s="1"/>
  <c r="D438" i="3"/>
  <c r="C438" i="3"/>
  <c r="B438" i="3"/>
  <c r="A438" i="3"/>
  <c r="H437" i="3"/>
  <c r="G437" i="3"/>
  <c r="F437" i="3"/>
  <c r="E437" i="3"/>
  <c r="I437" i="3" s="1"/>
  <c r="D437" i="3"/>
  <c r="C437" i="3"/>
  <c r="B437" i="3"/>
  <c r="A437" i="3"/>
  <c r="H436" i="3"/>
  <c r="G436" i="3"/>
  <c r="F436" i="3"/>
  <c r="E436" i="3"/>
  <c r="I436" i="3" s="1"/>
  <c r="D436" i="3"/>
  <c r="C436" i="3"/>
  <c r="B436" i="3"/>
  <c r="A436" i="3"/>
  <c r="H435" i="3"/>
  <c r="G435" i="3"/>
  <c r="F435" i="3"/>
  <c r="E435" i="3"/>
  <c r="I435" i="3" s="1"/>
  <c r="D435" i="3"/>
  <c r="C435" i="3"/>
  <c r="B435" i="3"/>
  <c r="A435" i="3"/>
  <c r="H434" i="3"/>
  <c r="G434" i="3"/>
  <c r="F434" i="3"/>
  <c r="E434" i="3"/>
  <c r="I434" i="3" s="1"/>
  <c r="D434" i="3"/>
  <c r="C434" i="3"/>
  <c r="B434" i="3"/>
  <c r="A434" i="3"/>
  <c r="H433" i="3"/>
  <c r="G433" i="3"/>
  <c r="F433" i="3"/>
  <c r="E433" i="3"/>
  <c r="I433" i="3" s="1"/>
  <c r="D433" i="3"/>
  <c r="C433" i="3"/>
  <c r="B433" i="3"/>
  <c r="A433" i="3"/>
  <c r="H432" i="3"/>
  <c r="G432" i="3"/>
  <c r="F432" i="3"/>
  <c r="E432" i="3"/>
  <c r="I432" i="3" s="1"/>
  <c r="D432" i="3"/>
  <c r="C432" i="3"/>
  <c r="B432" i="3"/>
  <c r="A432" i="3"/>
  <c r="H431" i="3"/>
  <c r="G431" i="3"/>
  <c r="F431" i="3"/>
  <c r="E431" i="3"/>
  <c r="I431" i="3" s="1"/>
  <c r="D431" i="3"/>
  <c r="C431" i="3"/>
  <c r="B431" i="3"/>
  <c r="A431" i="3"/>
  <c r="H430" i="3"/>
  <c r="G430" i="3"/>
  <c r="F430" i="3"/>
  <c r="E430" i="3"/>
  <c r="I430" i="3" s="1"/>
  <c r="D430" i="3"/>
  <c r="C430" i="3"/>
  <c r="B430" i="3"/>
  <c r="A430" i="3"/>
  <c r="H429" i="3"/>
  <c r="G429" i="3"/>
  <c r="F429" i="3"/>
  <c r="E429" i="3"/>
  <c r="I429" i="3" s="1"/>
  <c r="D429" i="3"/>
  <c r="C429" i="3"/>
  <c r="B429" i="3"/>
  <c r="A429" i="3"/>
  <c r="H428" i="3"/>
  <c r="G428" i="3"/>
  <c r="F428" i="3"/>
  <c r="E428" i="3"/>
  <c r="I428" i="3" s="1"/>
  <c r="D428" i="3"/>
  <c r="C428" i="3"/>
  <c r="B428" i="3"/>
  <c r="A428" i="3"/>
  <c r="H427" i="3"/>
  <c r="G427" i="3"/>
  <c r="F427" i="3"/>
  <c r="E427" i="3"/>
  <c r="I427" i="3" s="1"/>
  <c r="D427" i="3"/>
  <c r="C427" i="3"/>
  <c r="B427" i="3"/>
  <c r="A427" i="3"/>
  <c r="H426" i="3"/>
  <c r="G426" i="3"/>
  <c r="F426" i="3"/>
  <c r="E426" i="3"/>
  <c r="I426" i="3" s="1"/>
  <c r="D426" i="3"/>
  <c r="C426" i="3"/>
  <c r="B426" i="3"/>
  <c r="A426" i="3"/>
  <c r="H425" i="3"/>
  <c r="G425" i="3"/>
  <c r="F425" i="3"/>
  <c r="E425" i="3"/>
  <c r="I425" i="3" s="1"/>
  <c r="D425" i="3"/>
  <c r="C425" i="3"/>
  <c r="B425" i="3"/>
  <c r="A425" i="3"/>
  <c r="H424" i="3"/>
  <c r="G424" i="3"/>
  <c r="F424" i="3"/>
  <c r="E424" i="3"/>
  <c r="I424" i="3" s="1"/>
  <c r="D424" i="3"/>
  <c r="C424" i="3"/>
  <c r="B424" i="3"/>
  <c r="A424" i="3"/>
  <c r="H423" i="3"/>
  <c r="G423" i="3"/>
  <c r="F423" i="3"/>
  <c r="E423" i="3"/>
  <c r="I423" i="3" s="1"/>
  <c r="D423" i="3"/>
  <c r="C423" i="3"/>
  <c r="B423" i="3"/>
  <c r="A423" i="3"/>
  <c r="H422" i="3"/>
  <c r="G422" i="3"/>
  <c r="F422" i="3"/>
  <c r="E422" i="3"/>
  <c r="I422" i="3" s="1"/>
  <c r="D422" i="3"/>
  <c r="C422" i="3"/>
  <c r="B422" i="3"/>
  <c r="A422" i="3"/>
  <c r="H421" i="3"/>
  <c r="G421" i="3"/>
  <c r="F421" i="3"/>
  <c r="E421" i="3"/>
  <c r="I421" i="3" s="1"/>
  <c r="D421" i="3"/>
  <c r="C421" i="3"/>
  <c r="B421" i="3"/>
  <c r="A421" i="3"/>
  <c r="H420" i="3"/>
  <c r="G420" i="3"/>
  <c r="F420" i="3"/>
  <c r="E420" i="3"/>
  <c r="I420" i="3" s="1"/>
  <c r="D420" i="3"/>
  <c r="C420" i="3"/>
  <c r="B420" i="3"/>
  <c r="A420" i="3"/>
  <c r="H419" i="3"/>
  <c r="G419" i="3"/>
  <c r="F419" i="3"/>
  <c r="E419" i="3"/>
  <c r="I419" i="3" s="1"/>
  <c r="D419" i="3"/>
  <c r="C419" i="3"/>
  <c r="B419" i="3"/>
  <c r="A419" i="3"/>
  <c r="H418" i="3"/>
  <c r="G418" i="3"/>
  <c r="F418" i="3"/>
  <c r="E418" i="3"/>
  <c r="I418" i="3" s="1"/>
  <c r="D418" i="3"/>
  <c r="C418" i="3"/>
  <c r="B418" i="3"/>
  <c r="A418" i="3"/>
  <c r="H417" i="3"/>
  <c r="G417" i="3"/>
  <c r="F417" i="3"/>
  <c r="E417" i="3"/>
  <c r="I417" i="3" s="1"/>
  <c r="D417" i="3"/>
  <c r="C417" i="3"/>
  <c r="B417" i="3"/>
  <c r="A417" i="3"/>
  <c r="H416" i="3"/>
  <c r="G416" i="3"/>
  <c r="F416" i="3"/>
  <c r="E416" i="3"/>
  <c r="I416" i="3" s="1"/>
  <c r="D416" i="3"/>
  <c r="C416" i="3"/>
  <c r="B416" i="3"/>
  <c r="A416" i="3"/>
  <c r="H415" i="3"/>
  <c r="G415" i="3"/>
  <c r="F415" i="3"/>
  <c r="E415" i="3"/>
  <c r="I415" i="3" s="1"/>
  <c r="D415" i="3"/>
  <c r="C415" i="3"/>
  <c r="B415" i="3"/>
  <c r="A415" i="3"/>
  <c r="H414" i="3"/>
  <c r="G414" i="3"/>
  <c r="F414" i="3"/>
  <c r="E414" i="3"/>
  <c r="I414" i="3" s="1"/>
  <c r="D414" i="3"/>
  <c r="C414" i="3"/>
  <c r="B414" i="3"/>
  <c r="A414" i="3"/>
  <c r="H413" i="3"/>
  <c r="G413" i="3"/>
  <c r="F413" i="3"/>
  <c r="E413" i="3"/>
  <c r="I413" i="3" s="1"/>
  <c r="D413" i="3"/>
  <c r="C413" i="3"/>
  <c r="B413" i="3"/>
  <c r="A413" i="3"/>
  <c r="H412" i="3"/>
  <c r="G412" i="3"/>
  <c r="F412" i="3"/>
  <c r="E412" i="3"/>
  <c r="I412" i="3" s="1"/>
  <c r="D412" i="3"/>
  <c r="C412" i="3"/>
  <c r="B412" i="3"/>
  <c r="A412" i="3"/>
  <c r="H411" i="3"/>
  <c r="G411" i="3"/>
  <c r="F411" i="3"/>
  <c r="E411" i="3"/>
  <c r="I411" i="3" s="1"/>
  <c r="D411" i="3"/>
  <c r="C411" i="3"/>
  <c r="B411" i="3"/>
  <c r="A411" i="3"/>
  <c r="H410" i="3"/>
  <c r="G410" i="3"/>
  <c r="F410" i="3"/>
  <c r="E410" i="3"/>
  <c r="I410" i="3" s="1"/>
  <c r="D410" i="3"/>
  <c r="C410" i="3"/>
  <c r="B410" i="3"/>
  <c r="A410" i="3"/>
  <c r="H409" i="3"/>
  <c r="G409" i="3"/>
  <c r="F409" i="3"/>
  <c r="E409" i="3"/>
  <c r="I409" i="3" s="1"/>
  <c r="D409" i="3"/>
  <c r="C409" i="3"/>
  <c r="B409" i="3"/>
  <c r="A409" i="3"/>
  <c r="H408" i="3"/>
  <c r="G408" i="3"/>
  <c r="F408" i="3"/>
  <c r="E408" i="3"/>
  <c r="I408" i="3" s="1"/>
  <c r="D408" i="3"/>
  <c r="C408" i="3"/>
  <c r="B408" i="3"/>
  <c r="A408" i="3"/>
  <c r="H407" i="3"/>
  <c r="G407" i="3"/>
  <c r="F407" i="3"/>
  <c r="E407" i="3"/>
  <c r="I407" i="3" s="1"/>
  <c r="D407" i="3"/>
  <c r="C407" i="3"/>
  <c r="B407" i="3"/>
  <c r="A407" i="3"/>
  <c r="H406" i="3"/>
  <c r="G406" i="3"/>
  <c r="F406" i="3"/>
  <c r="E406" i="3"/>
  <c r="I406" i="3" s="1"/>
  <c r="D406" i="3"/>
  <c r="C406" i="3"/>
  <c r="B406" i="3"/>
  <c r="A406" i="3"/>
  <c r="H405" i="3"/>
  <c r="G405" i="3"/>
  <c r="F405" i="3"/>
  <c r="E405" i="3"/>
  <c r="I405" i="3" s="1"/>
  <c r="D405" i="3"/>
  <c r="C405" i="3"/>
  <c r="B405" i="3"/>
  <c r="A405" i="3"/>
  <c r="H404" i="3"/>
  <c r="G404" i="3"/>
  <c r="F404" i="3"/>
  <c r="E404" i="3"/>
  <c r="I404" i="3" s="1"/>
  <c r="D404" i="3"/>
  <c r="C404" i="3"/>
  <c r="B404" i="3"/>
  <c r="A404" i="3"/>
  <c r="H403" i="3"/>
  <c r="G403" i="3"/>
  <c r="F403" i="3"/>
  <c r="E403" i="3"/>
  <c r="I403" i="3" s="1"/>
  <c r="D403" i="3"/>
  <c r="C403" i="3"/>
  <c r="B403" i="3"/>
  <c r="A403" i="3"/>
  <c r="H402" i="3"/>
  <c r="G402" i="3"/>
  <c r="F402" i="3"/>
  <c r="E402" i="3"/>
  <c r="I402" i="3" s="1"/>
  <c r="D402" i="3"/>
  <c r="C402" i="3"/>
  <c r="B402" i="3"/>
  <c r="A402" i="3"/>
  <c r="H401" i="3"/>
  <c r="G401" i="3"/>
  <c r="F401" i="3"/>
  <c r="E401" i="3"/>
  <c r="I401" i="3" s="1"/>
  <c r="D401" i="3"/>
  <c r="C401" i="3"/>
  <c r="B401" i="3"/>
  <c r="A401" i="3"/>
  <c r="H400" i="3"/>
  <c r="G400" i="3"/>
  <c r="F400" i="3"/>
  <c r="E400" i="3"/>
  <c r="I400" i="3" s="1"/>
  <c r="D400" i="3"/>
  <c r="C400" i="3"/>
  <c r="B400" i="3"/>
  <c r="A400" i="3"/>
  <c r="H399" i="3"/>
  <c r="G399" i="3"/>
  <c r="F399" i="3"/>
  <c r="E399" i="3"/>
  <c r="I399" i="3" s="1"/>
  <c r="D399" i="3"/>
  <c r="C399" i="3"/>
  <c r="B399" i="3"/>
  <c r="A399" i="3"/>
  <c r="H398" i="3"/>
  <c r="G398" i="3"/>
  <c r="F398" i="3"/>
  <c r="E398" i="3"/>
  <c r="I398" i="3" s="1"/>
  <c r="D398" i="3"/>
  <c r="C398" i="3"/>
  <c r="B398" i="3"/>
  <c r="A398" i="3"/>
  <c r="H397" i="3"/>
  <c r="G397" i="3"/>
  <c r="F397" i="3"/>
  <c r="E397" i="3"/>
  <c r="I397" i="3" s="1"/>
  <c r="D397" i="3"/>
  <c r="C397" i="3"/>
  <c r="B397" i="3"/>
  <c r="A397" i="3"/>
  <c r="H396" i="3"/>
  <c r="G396" i="3"/>
  <c r="F396" i="3"/>
  <c r="E396" i="3"/>
  <c r="I396" i="3" s="1"/>
  <c r="D396" i="3"/>
  <c r="C396" i="3"/>
  <c r="B396" i="3"/>
  <c r="A396" i="3"/>
  <c r="H395" i="3"/>
  <c r="G395" i="3"/>
  <c r="F395" i="3"/>
  <c r="E395" i="3"/>
  <c r="I395" i="3" s="1"/>
  <c r="D395" i="3"/>
  <c r="C395" i="3"/>
  <c r="B395" i="3"/>
  <c r="A395" i="3"/>
  <c r="H394" i="3"/>
  <c r="G394" i="3"/>
  <c r="F394" i="3"/>
  <c r="E394" i="3"/>
  <c r="I394" i="3" s="1"/>
  <c r="D394" i="3"/>
  <c r="C394" i="3"/>
  <c r="B394" i="3"/>
  <c r="A394" i="3"/>
  <c r="H393" i="3"/>
  <c r="G393" i="3"/>
  <c r="F393" i="3"/>
  <c r="E393" i="3"/>
  <c r="I393" i="3" s="1"/>
  <c r="D393" i="3"/>
  <c r="C393" i="3"/>
  <c r="B393" i="3"/>
  <c r="A393" i="3"/>
  <c r="H392" i="3"/>
  <c r="G392" i="3"/>
  <c r="F392" i="3"/>
  <c r="E392" i="3"/>
  <c r="I392" i="3" s="1"/>
  <c r="D392" i="3"/>
  <c r="C392" i="3"/>
  <c r="B392" i="3"/>
  <c r="A392" i="3"/>
  <c r="H391" i="3"/>
  <c r="G391" i="3"/>
  <c r="F391" i="3"/>
  <c r="E391" i="3"/>
  <c r="I391" i="3" s="1"/>
  <c r="D391" i="3"/>
  <c r="C391" i="3"/>
  <c r="B391" i="3"/>
  <c r="A391" i="3"/>
  <c r="H390" i="3"/>
  <c r="G390" i="3"/>
  <c r="F390" i="3"/>
  <c r="E390" i="3"/>
  <c r="I390" i="3" s="1"/>
  <c r="D390" i="3"/>
  <c r="C390" i="3"/>
  <c r="B390" i="3"/>
  <c r="A390" i="3"/>
  <c r="H389" i="3"/>
  <c r="G389" i="3"/>
  <c r="F389" i="3"/>
  <c r="E389" i="3"/>
  <c r="I389" i="3" s="1"/>
  <c r="D389" i="3"/>
  <c r="C389" i="3"/>
  <c r="B389" i="3"/>
  <c r="A389" i="3"/>
  <c r="H388" i="3"/>
  <c r="G388" i="3"/>
  <c r="F388" i="3"/>
  <c r="E388" i="3"/>
  <c r="I388" i="3" s="1"/>
  <c r="D388" i="3"/>
  <c r="C388" i="3"/>
  <c r="B388" i="3"/>
  <c r="A388" i="3"/>
  <c r="H387" i="3"/>
  <c r="G387" i="3"/>
  <c r="F387" i="3"/>
  <c r="E387" i="3"/>
  <c r="I387" i="3" s="1"/>
  <c r="D387" i="3"/>
  <c r="C387" i="3"/>
  <c r="B387" i="3"/>
  <c r="A387" i="3"/>
  <c r="H386" i="3"/>
  <c r="G386" i="3"/>
  <c r="F386" i="3"/>
  <c r="E386" i="3"/>
  <c r="I386" i="3" s="1"/>
  <c r="D386" i="3"/>
  <c r="C386" i="3"/>
  <c r="B386" i="3"/>
  <c r="A386" i="3"/>
  <c r="H385" i="3"/>
  <c r="G385" i="3"/>
  <c r="F385" i="3"/>
  <c r="E385" i="3"/>
  <c r="I385" i="3" s="1"/>
  <c r="D385" i="3"/>
  <c r="C385" i="3"/>
  <c r="B385" i="3"/>
  <c r="A385" i="3"/>
  <c r="H384" i="3"/>
  <c r="G384" i="3"/>
  <c r="F384" i="3"/>
  <c r="E384" i="3"/>
  <c r="I384" i="3" s="1"/>
  <c r="D384" i="3"/>
  <c r="C384" i="3"/>
  <c r="B384" i="3"/>
  <c r="A384" i="3"/>
  <c r="H383" i="3"/>
  <c r="G383" i="3"/>
  <c r="F383" i="3"/>
  <c r="E383" i="3"/>
  <c r="I383" i="3" s="1"/>
  <c r="D383" i="3"/>
  <c r="C383" i="3"/>
  <c r="B383" i="3"/>
  <c r="A383" i="3"/>
  <c r="H382" i="3"/>
  <c r="G382" i="3"/>
  <c r="F382" i="3"/>
  <c r="E382" i="3"/>
  <c r="I382" i="3" s="1"/>
  <c r="D382" i="3"/>
  <c r="C382" i="3"/>
  <c r="B382" i="3"/>
  <c r="A382" i="3"/>
  <c r="H381" i="3"/>
  <c r="G381" i="3"/>
  <c r="F381" i="3"/>
  <c r="E381" i="3"/>
  <c r="I381" i="3" s="1"/>
  <c r="D381" i="3"/>
  <c r="C381" i="3"/>
  <c r="B381" i="3"/>
  <c r="A381" i="3"/>
  <c r="H380" i="3"/>
  <c r="G380" i="3"/>
  <c r="F380" i="3"/>
  <c r="E380" i="3"/>
  <c r="I380" i="3" s="1"/>
  <c r="D380" i="3"/>
  <c r="C380" i="3"/>
  <c r="B380" i="3"/>
  <c r="A380" i="3"/>
  <c r="H379" i="3"/>
  <c r="G379" i="3"/>
  <c r="F379" i="3"/>
  <c r="E379" i="3"/>
  <c r="I379" i="3" s="1"/>
  <c r="D379" i="3"/>
  <c r="C379" i="3"/>
  <c r="B379" i="3"/>
  <c r="A379" i="3"/>
  <c r="H378" i="3"/>
  <c r="G378" i="3"/>
  <c r="F378" i="3"/>
  <c r="E378" i="3"/>
  <c r="I378" i="3" s="1"/>
  <c r="D378" i="3"/>
  <c r="C378" i="3"/>
  <c r="B378" i="3"/>
  <c r="A378" i="3"/>
  <c r="H377" i="3"/>
  <c r="G377" i="3"/>
  <c r="F377" i="3"/>
  <c r="E377" i="3"/>
  <c r="I377" i="3" s="1"/>
  <c r="D377" i="3"/>
  <c r="C377" i="3"/>
  <c r="B377" i="3"/>
  <c r="A377" i="3"/>
  <c r="H376" i="3"/>
  <c r="G376" i="3"/>
  <c r="F376" i="3"/>
  <c r="E376" i="3"/>
  <c r="I376" i="3" s="1"/>
  <c r="D376" i="3"/>
  <c r="C376" i="3"/>
  <c r="B376" i="3"/>
  <c r="A376" i="3"/>
  <c r="H375" i="3"/>
  <c r="G375" i="3"/>
  <c r="F375" i="3"/>
  <c r="E375" i="3"/>
  <c r="I375" i="3" s="1"/>
  <c r="D375" i="3"/>
  <c r="C375" i="3"/>
  <c r="B375" i="3"/>
  <c r="A375" i="3"/>
  <c r="H374" i="3"/>
  <c r="G374" i="3"/>
  <c r="F374" i="3"/>
  <c r="E374" i="3"/>
  <c r="I374" i="3" s="1"/>
  <c r="D374" i="3"/>
  <c r="C374" i="3"/>
  <c r="B374" i="3"/>
  <c r="A374" i="3"/>
  <c r="H373" i="3"/>
  <c r="G373" i="3"/>
  <c r="F373" i="3"/>
  <c r="E373" i="3"/>
  <c r="I373" i="3" s="1"/>
  <c r="D373" i="3"/>
  <c r="C373" i="3"/>
  <c r="B373" i="3"/>
  <c r="A373" i="3"/>
  <c r="H372" i="3"/>
  <c r="G372" i="3"/>
  <c r="F372" i="3"/>
  <c r="E372" i="3"/>
  <c r="I372" i="3" s="1"/>
  <c r="D372" i="3"/>
  <c r="C372" i="3"/>
  <c r="B372" i="3"/>
  <c r="A372" i="3"/>
  <c r="H371" i="3"/>
  <c r="G371" i="3"/>
  <c r="F371" i="3"/>
  <c r="E371" i="3"/>
  <c r="I371" i="3" s="1"/>
  <c r="D371" i="3"/>
  <c r="C371" i="3"/>
  <c r="B371" i="3"/>
  <c r="A371" i="3"/>
  <c r="H370" i="3"/>
  <c r="G370" i="3"/>
  <c r="F370" i="3"/>
  <c r="E370" i="3"/>
  <c r="I370" i="3" s="1"/>
  <c r="D370" i="3"/>
  <c r="C370" i="3"/>
  <c r="B370" i="3"/>
  <c r="A370" i="3"/>
  <c r="H369" i="3"/>
  <c r="G369" i="3"/>
  <c r="F369" i="3"/>
  <c r="E369" i="3"/>
  <c r="I369" i="3" s="1"/>
  <c r="D369" i="3"/>
  <c r="C369" i="3"/>
  <c r="B369" i="3"/>
  <c r="A369" i="3"/>
  <c r="H368" i="3"/>
  <c r="G368" i="3"/>
  <c r="F368" i="3"/>
  <c r="E368" i="3"/>
  <c r="I368" i="3" s="1"/>
  <c r="D368" i="3"/>
  <c r="C368" i="3"/>
  <c r="B368" i="3"/>
  <c r="A368" i="3"/>
  <c r="H367" i="3"/>
  <c r="G367" i="3"/>
  <c r="F367" i="3"/>
  <c r="E367" i="3"/>
  <c r="I367" i="3" s="1"/>
  <c r="D367" i="3"/>
  <c r="C367" i="3"/>
  <c r="B367" i="3"/>
  <c r="A367" i="3"/>
  <c r="H366" i="3"/>
  <c r="G366" i="3"/>
  <c r="F366" i="3"/>
  <c r="E366" i="3"/>
  <c r="I366" i="3" s="1"/>
  <c r="D366" i="3"/>
  <c r="C366" i="3"/>
  <c r="B366" i="3"/>
  <c r="A366" i="3"/>
  <c r="H365" i="3"/>
  <c r="G365" i="3"/>
  <c r="F365" i="3"/>
  <c r="E365" i="3"/>
  <c r="I365" i="3" s="1"/>
  <c r="D365" i="3"/>
  <c r="C365" i="3"/>
  <c r="B365" i="3"/>
  <c r="A365" i="3"/>
  <c r="H364" i="3"/>
  <c r="G364" i="3"/>
  <c r="F364" i="3"/>
  <c r="E364" i="3"/>
  <c r="I364" i="3" s="1"/>
  <c r="D364" i="3"/>
  <c r="C364" i="3"/>
  <c r="B364" i="3"/>
  <c r="A364" i="3"/>
  <c r="H363" i="3"/>
  <c r="G363" i="3"/>
  <c r="F363" i="3"/>
  <c r="E363" i="3"/>
  <c r="I363" i="3" s="1"/>
  <c r="D363" i="3"/>
  <c r="C363" i="3"/>
  <c r="B363" i="3"/>
  <c r="A363" i="3"/>
  <c r="H362" i="3"/>
  <c r="G362" i="3"/>
  <c r="F362" i="3"/>
  <c r="E362" i="3"/>
  <c r="I362" i="3" s="1"/>
  <c r="D362" i="3"/>
  <c r="C362" i="3"/>
  <c r="B362" i="3"/>
  <c r="A362" i="3"/>
  <c r="H361" i="3"/>
  <c r="G361" i="3"/>
  <c r="F361" i="3"/>
  <c r="E361" i="3"/>
  <c r="I361" i="3" s="1"/>
  <c r="D361" i="3"/>
  <c r="C361" i="3"/>
  <c r="B361" i="3"/>
  <c r="A361" i="3"/>
  <c r="H360" i="3"/>
  <c r="G360" i="3"/>
  <c r="F360" i="3"/>
  <c r="E360" i="3"/>
  <c r="I360" i="3" s="1"/>
  <c r="D360" i="3"/>
  <c r="C360" i="3"/>
  <c r="B360" i="3"/>
  <c r="A360" i="3"/>
  <c r="H359" i="3"/>
  <c r="G359" i="3"/>
  <c r="F359" i="3"/>
  <c r="E359" i="3"/>
  <c r="I359" i="3" s="1"/>
  <c r="D359" i="3"/>
  <c r="C359" i="3"/>
  <c r="B359" i="3"/>
  <c r="A359" i="3"/>
  <c r="H358" i="3"/>
  <c r="G358" i="3"/>
  <c r="F358" i="3"/>
  <c r="E358" i="3"/>
  <c r="I358" i="3" s="1"/>
  <c r="D358" i="3"/>
  <c r="C358" i="3"/>
  <c r="B358" i="3"/>
  <c r="A358" i="3"/>
  <c r="H357" i="3"/>
  <c r="G357" i="3"/>
  <c r="F357" i="3"/>
  <c r="E357" i="3"/>
  <c r="I357" i="3" s="1"/>
  <c r="D357" i="3"/>
  <c r="C357" i="3"/>
  <c r="B357" i="3"/>
  <c r="A357" i="3"/>
  <c r="H356" i="3"/>
  <c r="G356" i="3"/>
  <c r="F356" i="3"/>
  <c r="E356" i="3"/>
  <c r="I356" i="3" s="1"/>
  <c r="D356" i="3"/>
  <c r="C356" i="3"/>
  <c r="B356" i="3"/>
  <c r="A356" i="3"/>
  <c r="H355" i="3"/>
  <c r="G355" i="3"/>
  <c r="F355" i="3"/>
  <c r="E355" i="3"/>
  <c r="I355" i="3" s="1"/>
  <c r="D355" i="3"/>
  <c r="C355" i="3"/>
  <c r="B355" i="3"/>
  <c r="A355" i="3"/>
  <c r="H354" i="3"/>
  <c r="G354" i="3"/>
  <c r="F354" i="3"/>
  <c r="E354" i="3"/>
  <c r="I354" i="3" s="1"/>
  <c r="D354" i="3"/>
  <c r="C354" i="3"/>
  <c r="B354" i="3"/>
  <c r="A354" i="3"/>
  <c r="H353" i="3"/>
  <c r="G353" i="3"/>
  <c r="F353" i="3"/>
  <c r="E353" i="3"/>
  <c r="I353" i="3" s="1"/>
  <c r="D353" i="3"/>
  <c r="C353" i="3"/>
  <c r="B353" i="3"/>
  <c r="A353" i="3"/>
  <c r="H352" i="3"/>
  <c r="G352" i="3"/>
  <c r="F352" i="3"/>
  <c r="E352" i="3"/>
  <c r="I352" i="3" s="1"/>
  <c r="D352" i="3"/>
  <c r="C352" i="3"/>
  <c r="B352" i="3"/>
  <c r="A352" i="3"/>
  <c r="H351" i="3"/>
  <c r="G351" i="3"/>
  <c r="F351" i="3"/>
  <c r="E351" i="3"/>
  <c r="I351" i="3" s="1"/>
  <c r="D351" i="3"/>
  <c r="C351" i="3"/>
  <c r="B351" i="3"/>
  <c r="A351" i="3"/>
  <c r="H350" i="3"/>
  <c r="G350" i="3"/>
  <c r="F350" i="3"/>
  <c r="E350" i="3"/>
  <c r="I350" i="3" s="1"/>
  <c r="D350" i="3"/>
  <c r="C350" i="3"/>
  <c r="B350" i="3"/>
  <c r="A350" i="3"/>
  <c r="H349" i="3"/>
  <c r="G349" i="3"/>
  <c r="F349" i="3"/>
  <c r="E349" i="3"/>
  <c r="I349" i="3" s="1"/>
  <c r="D349" i="3"/>
  <c r="C349" i="3"/>
  <c r="B349" i="3"/>
  <c r="A349" i="3"/>
  <c r="H348" i="3"/>
  <c r="G348" i="3"/>
  <c r="F348" i="3"/>
  <c r="E348" i="3"/>
  <c r="I348" i="3" s="1"/>
  <c r="D348" i="3"/>
  <c r="C348" i="3"/>
  <c r="B348" i="3"/>
  <c r="A348" i="3"/>
  <c r="H347" i="3"/>
  <c r="G347" i="3"/>
  <c r="F347" i="3"/>
  <c r="E347" i="3"/>
  <c r="I347" i="3" s="1"/>
  <c r="D347" i="3"/>
  <c r="C347" i="3"/>
  <c r="B347" i="3"/>
  <c r="A347" i="3"/>
  <c r="H346" i="3"/>
  <c r="G346" i="3"/>
  <c r="F346" i="3"/>
  <c r="E346" i="3"/>
  <c r="I346" i="3" s="1"/>
  <c r="D346" i="3"/>
  <c r="C346" i="3"/>
  <c r="B346" i="3"/>
  <c r="A346" i="3"/>
  <c r="H345" i="3"/>
  <c r="G345" i="3"/>
  <c r="F345" i="3"/>
  <c r="E345" i="3"/>
  <c r="I345" i="3" s="1"/>
  <c r="D345" i="3"/>
  <c r="C345" i="3"/>
  <c r="B345" i="3"/>
  <c r="A345" i="3"/>
  <c r="H344" i="3"/>
  <c r="G344" i="3"/>
  <c r="F344" i="3"/>
  <c r="E344" i="3"/>
  <c r="I344" i="3" s="1"/>
  <c r="D344" i="3"/>
  <c r="C344" i="3"/>
  <c r="B344" i="3"/>
  <c r="A344" i="3"/>
  <c r="H343" i="3"/>
  <c r="G343" i="3"/>
  <c r="F343" i="3"/>
  <c r="E343" i="3"/>
  <c r="I343" i="3" s="1"/>
  <c r="D343" i="3"/>
  <c r="C343" i="3"/>
  <c r="B343" i="3"/>
  <c r="A343" i="3"/>
  <c r="H342" i="3"/>
  <c r="G342" i="3"/>
  <c r="F342" i="3"/>
  <c r="E342" i="3"/>
  <c r="I342" i="3" s="1"/>
  <c r="D342" i="3"/>
  <c r="C342" i="3"/>
  <c r="B342" i="3"/>
  <c r="A342" i="3"/>
  <c r="H341" i="3"/>
  <c r="G341" i="3"/>
  <c r="F341" i="3"/>
  <c r="E341" i="3"/>
  <c r="I341" i="3" s="1"/>
  <c r="D341" i="3"/>
  <c r="C341" i="3"/>
  <c r="B341" i="3"/>
  <c r="A341" i="3"/>
  <c r="H340" i="3"/>
  <c r="G340" i="3"/>
  <c r="F340" i="3"/>
  <c r="E340" i="3"/>
  <c r="I340" i="3" s="1"/>
  <c r="D340" i="3"/>
  <c r="C340" i="3"/>
  <c r="B340" i="3"/>
  <c r="A340" i="3"/>
  <c r="H339" i="3"/>
  <c r="G339" i="3"/>
  <c r="F339" i="3"/>
  <c r="E339" i="3"/>
  <c r="I339" i="3" s="1"/>
  <c r="D339" i="3"/>
  <c r="C339" i="3"/>
  <c r="B339" i="3"/>
  <c r="A339" i="3"/>
  <c r="H338" i="3"/>
  <c r="G338" i="3"/>
  <c r="F338" i="3"/>
  <c r="E338" i="3"/>
  <c r="I338" i="3" s="1"/>
  <c r="D338" i="3"/>
  <c r="C338" i="3"/>
  <c r="B338" i="3"/>
  <c r="A338" i="3"/>
  <c r="H337" i="3"/>
  <c r="G337" i="3"/>
  <c r="F337" i="3"/>
  <c r="E337" i="3"/>
  <c r="I337" i="3" s="1"/>
  <c r="D337" i="3"/>
  <c r="C337" i="3"/>
  <c r="B337" i="3"/>
  <c r="A337" i="3"/>
  <c r="H336" i="3"/>
  <c r="G336" i="3"/>
  <c r="F336" i="3"/>
  <c r="E336" i="3"/>
  <c r="I336" i="3" s="1"/>
  <c r="D336" i="3"/>
  <c r="C336" i="3"/>
  <c r="B336" i="3"/>
  <c r="A336" i="3"/>
  <c r="H335" i="3"/>
  <c r="G335" i="3"/>
  <c r="F335" i="3"/>
  <c r="E335" i="3"/>
  <c r="I335" i="3" s="1"/>
  <c r="D335" i="3"/>
  <c r="C335" i="3"/>
  <c r="B335" i="3"/>
  <c r="A335" i="3"/>
  <c r="H334" i="3"/>
  <c r="G334" i="3"/>
  <c r="F334" i="3"/>
  <c r="E334" i="3"/>
  <c r="I334" i="3" s="1"/>
  <c r="D334" i="3"/>
  <c r="C334" i="3"/>
  <c r="B334" i="3"/>
  <c r="A334" i="3"/>
  <c r="H333" i="3"/>
  <c r="G333" i="3"/>
  <c r="F333" i="3"/>
  <c r="E333" i="3"/>
  <c r="I333" i="3" s="1"/>
  <c r="D333" i="3"/>
  <c r="C333" i="3"/>
  <c r="B333" i="3"/>
  <c r="A333" i="3"/>
  <c r="H332" i="3"/>
  <c r="G332" i="3"/>
  <c r="F332" i="3"/>
  <c r="E332" i="3"/>
  <c r="I332" i="3" s="1"/>
  <c r="D332" i="3"/>
  <c r="C332" i="3"/>
  <c r="B332" i="3"/>
  <c r="A332" i="3"/>
  <c r="H331" i="3"/>
  <c r="G331" i="3"/>
  <c r="F331" i="3"/>
  <c r="E331" i="3"/>
  <c r="I331" i="3" s="1"/>
  <c r="D331" i="3"/>
  <c r="C331" i="3"/>
  <c r="B331" i="3"/>
  <c r="A331" i="3"/>
  <c r="H330" i="3"/>
  <c r="G330" i="3"/>
  <c r="F330" i="3"/>
  <c r="E330" i="3"/>
  <c r="I330" i="3" s="1"/>
  <c r="D330" i="3"/>
  <c r="C330" i="3"/>
  <c r="B330" i="3"/>
  <c r="A330" i="3"/>
  <c r="H329" i="3"/>
  <c r="G329" i="3"/>
  <c r="F329" i="3"/>
  <c r="E329" i="3"/>
  <c r="I329" i="3" s="1"/>
  <c r="D329" i="3"/>
  <c r="C329" i="3"/>
  <c r="B329" i="3"/>
  <c r="A329" i="3"/>
  <c r="H328" i="3"/>
  <c r="G328" i="3"/>
  <c r="F328" i="3"/>
  <c r="E328" i="3"/>
  <c r="I328" i="3" s="1"/>
  <c r="D328" i="3"/>
  <c r="C328" i="3"/>
  <c r="B328" i="3"/>
  <c r="A328" i="3"/>
  <c r="H327" i="3"/>
  <c r="G327" i="3"/>
  <c r="F327" i="3"/>
  <c r="E327" i="3"/>
  <c r="I327" i="3" s="1"/>
  <c r="D327" i="3"/>
  <c r="C327" i="3"/>
  <c r="B327" i="3"/>
  <c r="A327" i="3"/>
  <c r="H326" i="3"/>
  <c r="G326" i="3"/>
  <c r="F326" i="3"/>
  <c r="E326" i="3"/>
  <c r="I326" i="3" s="1"/>
  <c r="D326" i="3"/>
  <c r="C326" i="3"/>
  <c r="B326" i="3"/>
  <c r="A326" i="3"/>
  <c r="H325" i="3"/>
  <c r="G325" i="3"/>
  <c r="F325" i="3"/>
  <c r="E325" i="3"/>
  <c r="I325" i="3" s="1"/>
  <c r="D325" i="3"/>
  <c r="C325" i="3"/>
  <c r="B325" i="3"/>
  <c r="A325" i="3"/>
  <c r="H324" i="3"/>
  <c r="G324" i="3"/>
  <c r="F324" i="3"/>
  <c r="E324" i="3"/>
  <c r="I324" i="3" s="1"/>
  <c r="D324" i="3"/>
  <c r="C324" i="3"/>
  <c r="B324" i="3"/>
  <c r="A324" i="3"/>
  <c r="H323" i="3"/>
  <c r="G323" i="3"/>
  <c r="F323" i="3"/>
  <c r="E323" i="3"/>
  <c r="I323" i="3" s="1"/>
  <c r="D323" i="3"/>
  <c r="C323" i="3"/>
  <c r="B323" i="3"/>
  <c r="A323" i="3"/>
  <c r="H322" i="3"/>
  <c r="G322" i="3"/>
  <c r="F322" i="3"/>
  <c r="E322" i="3"/>
  <c r="I322" i="3" s="1"/>
  <c r="D322" i="3"/>
  <c r="C322" i="3"/>
  <c r="B322" i="3"/>
  <c r="A322" i="3"/>
  <c r="H321" i="3"/>
  <c r="G321" i="3"/>
  <c r="F321" i="3"/>
  <c r="E321" i="3"/>
  <c r="I321" i="3" s="1"/>
  <c r="D321" i="3"/>
  <c r="C321" i="3"/>
  <c r="B321" i="3"/>
  <c r="A321" i="3"/>
  <c r="H320" i="3"/>
  <c r="G320" i="3"/>
  <c r="F320" i="3"/>
  <c r="E320" i="3"/>
  <c r="I320" i="3" s="1"/>
  <c r="D320" i="3"/>
  <c r="C320" i="3"/>
  <c r="B320" i="3"/>
  <c r="A320" i="3"/>
  <c r="H319" i="3"/>
  <c r="G319" i="3"/>
  <c r="F319" i="3"/>
  <c r="E319" i="3"/>
  <c r="I319" i="3" s="1"/>
  <c r="D319" i="3"/>
  <c r="C319" i="3"/>
  <c r="B319" i="3"/>
  <c r="A319" i="3"/>
  <c r="I318" i="3"/>
  <c r="H318" i="3"/>
  <c r="G318" i="3"/>
  <c r="F318" i="3"/>
  <c r="E318" i="3"/>
  <c r="D318" i="3"/>
  <c r="C318" i="3"/>
  <c r="B318" i="3"/>
  <c r="A318" i="3"/>
  <c r="H317" i="3"/>
  <c r="G317" i="3"/>
  <c r="F317" i="3"/>
  <c r="E317" i="3"/>
  <c r="I317" i="3" s="1"/>
  <c r="D317" i="3"/>
  <c r="C317" i="3"/>
  <c r="B317" i="3"/>
  <c r="A317" i="3"/>
  <c r="H316" i="3"/>
  <c r="G316" i="3"/>
  <c r="F316" i="3"/>
  <c r="E316" i="3"/>
  <c r="I316" i="3" s="1"/>
  <c r="D316" i="3"/>
  <c r="C316" i="3"/>
  <c r="B316" i="3"/>
  <c r="A316" i="3"/>
  <c r="H315" i="3"/>
  <c r="G315" i="3"/>
  <c r="F315" i="3"/>
  <c r="E315" i="3"/>
  <c r="I315" i="3" s="1"/>
  <c r="D315" i="3"/>
  <c r="C315" i="3"/>
  <c r="B315" i="3"/>
  <c r="A315" i="3"/>
  <c r="H314" i="3"/>
  <c r="G314" i="3"/>
  <c r="F314" i="3"/>
  <c r="E314" i="3"/>
  <c r="I314" i="3" s="1"/>
  <c r="D314" i="3"/>
  <c r="C314" i="3"/>
  <c r="B314" i="3"/>
  <c r="A314" i="3"/>
  <c r="H313" i="3"/>
  <c r="G313" i="3"/>
  <c r="F313" i="3"/>
  <c r="E313" i="3"/>
  <c r="I313" i="3" s="1"/>
  <c r="D313" i="3"/>
  <c r="C313" i="3"/>
  <c r="B313" i="3"/>
  <c r="A313" i="3"/>
  <c r="H312" i="3"/>
  <c r="G312" i="3"/>
  <c r="F312" i="3"/>
  <c r="E312" i="3"/>
  <c r="I312" i="3" s="1"/>
  <c r="D312" i="3"/>
  <c r="C312" i="3"/>
  <c r="B312" i="3"/>
  <c r="A312" i="3"/>
  <c r="H311" i="3"/>
  <c r="G311" i="3"/>
  <c r="F311" i="3"/>
  <c r="E311" i="3"/>
  <c r="I311" i="3" s="1"/>
  <c r="D311" i="3"/>
  <c r="C311" i="3"/>
  <c r="B311" i="3"/>
  <c r="A311" i="3"/>
  <c r="H310" i="3"/>
  <c r="G310" i="3"/>
  <c r="F310" i="3"/>
  <c r="E310" i="3"/>
  <c r="I310" i="3" s="1"/>
  <c r="D310" i="3"/>
  <c r="C310" i="3"/>
  <c r="B310" i="3"/>
  <c r="A310" i="3"/>
  <c r="H309" i="3"/>
  <c r="G309" i="3"/>
  <c r="F309" i="3"/>
  <c r="E309" i="3"/>
  <c r="I309" i="3" s="1"/>
  <c r="D309" i="3"/>
  <c r="C309" i="3"/>
  <c r="B309" i="3"/>
  <c r="A309" i="3"/>
  <c r="H308" i="3"/>
  <c r="G308" i="3"/>
  <c r="F308" i="3"/>
  <c r="E308" i="3"/>
  <c r="I308" i="3" s="1"/>
  <c r="D308" i="3"/>
  <c r="C308" i="3"/>
  <c r="B308" i="3"/>
  <c r="A308" i="3"/>
  <c r="H307" i="3"/>
  <c r="G307" i="3"/>
  <c r="F307" i="3"/>
  <c r="E307" i="3"/>
  <c r="I307" i="3" s="1"/>
  <c r="D307" i="3"/>
  <c r="C307" i="3"/>
  <c r="B307" i="3"/>
  <c r="A307" i="3"/>
  <c r="H306" i="3"/>
  <c r="G306" i="3"/>
  <c r="F306" i="3"/>
  <c r="E306" i="3"/>
  <c r="I306" i="3" s="1"/>
  <c r="D306" i="3"/>
  <c r="C306" i="3"/>
  <c r="B306" i="3"/>
  <c r="A306" i="3"/>
  <c r="H305" i="3"/>
  <c r="G305" i="3"/>
  <c r="F305" i="3"/>
  <c r="E305" i="3"/>
  <c r="I305" i="3" s="1"/>
  <c r="D305" i="3"/>
  <c r="C305" i="3"/>
  <c r="B305" i="3"/>
  <c r="A305" i="3"/>
  <c r="H304" i="3"/>
  <c r="G304" i="3"/>
  <c r="F304" i="3"/>
  <c r="E304" i="3"/>
  <c r="I304" i="3" s="1"/>
  <c r="D304" i="3"/>
  <c r="C304" i="3"/>
  <c r="B304" i="3"/>
  <c r="A304" i="3"/>
  <c r="H303" i="3"/>
  <c r="G303" i="3"/>
  <c r="F303" i="3"/>
  <c r="E303" i="3"/>
  <c r="I303" i="3" s="1"/>
  <c r="D303" i="3"/>
  <c r="C303" i="3"/>
  <c r="B303" i="3"/>
  <c r="A303" i="3"/>
  <c r="H302" i="3"/>
  <c r="G302" i="3"/>
  <c r="F302" i="3"/>
  <c r="E302" i="3"/>
  <c r="I302" i="3" s="1"/>
  <c r="D302" i="3"/>
  <c r="C302" i="3"/>
  <c r="B302" i="3"/>
  <c r="A302" i="3"/>
  <c r="H301" i="3"/>
  <c r="G301" i="3"/>
  <c r="F301" i="3"/>
  <c r="E301" i="3"/>
  <c r="I301" i="3" s="1"/>
  <c r="D301" i="3"/>
  <c r="C301" i="3"/>
  <c r="B301" i="3"/>
  <c r="A301" i="3"/>
  <c r="H300" i="3"/>
  <c r="G300" i="3"/>
  <c r="F300" i="3"/>
  <c r="E300" i="3"/>
  <c r="I300" i="3" s="1"/>
  <c r="D300" i="3"/>
  <c r="C300" i="3"/>
  <c r="B300" i="3"/>
  <c r="A300" i="3"/>
  <c r="H299" i="3"/>
  <c r="G299" i="3"/>
  <c r="F299" i="3"/>
  <c r="E299" i="3"/>
  <c r="I299" i="3" s="1"/>
  <c r="D299" i="3"/>
  <c r="C299" i="3"/>
  <c r="B299" i="3"/>
  <c r="A299" i="3"/>
  <c r="H298" i="3"/>
  <c r="G298" i="3"/>
  <c r="F298" i="3"/>
  <c r="E298" i="3"/>
  <c r="I298" i="3" s="1"/>
  <c r="D298" i="3"/>
  <c r="C298" i="3"/>
  <c r="B298" i="3"/>
  <c r="A298" i="3"/>
  <c r="H297" i="3"/>
  <c r="G297" i="3"/>
  <c r="F297" i="3"/>
  <c r="E297" i="3"/>
  <c r="I297" i="3" s="1"/>
  <c r="D297" i="3"/>
  <c r="C297" i="3"/>
  <c r="B297" i="3"/>
  <c r="A297" i="3"/>
  <c r="H296" i="3"/>
  <c r="G296" i="3"/>
  <c r="F296" i="3"/>
  <c r="E296" i="3"/>
  <c r="I296" i="3" s="1"/>
  <c r="D296" i="3"/>
  <c r="C296" i="3"/>
  <c r="B296" i="3"/>
  <c r="A296" i="3"/>
  <c r="H295" i="3"/>
  <c r="G295" i="3"/>
  <c r="F295" i="3"/>
  <c r="E295" i="3"/>
  <c r="I295" i="3" s="1"/>
  <c r="D295" i="3"/>
  <c r="C295" i="3"/>
  <c r="B295" i="3"/>
  <c r="A295" i="3"/>
  <c r="H294" i="3"/>
  <c r="G294" i="3"/>
  <c r="F294" i="3"/>
  <c r="E294" i="3"/>
  <c r="I294" i="3" s="1"/>
  <c r="D294" i="3"/>
  <c r="C294" i="3"/>
  <c r="B294" i="3"/>
  <c r="A294" i="3"/>
  <c r="H293" i="3"/>
  <c r="G293" i="3"/>
  <c r="F293" i="3"/>
  <c r="E293" i="3"/>
  <c r="I293" i="3" s="1"/>
  <c r="D293" i="3"/>
  <c r="C293" i="3"/>
  <c r="B293" i="3"/>
  <c r="A293" i="3"/>
  <c r="H292" i="3"/>
  <c r="G292" i="3"/>
  <c r="F292" i="3"/>
  <c r="E292" i="3"/>
  <c r="I292" i="3" s="1"/>
  <c r="D292" i="3"/>
  <c r="C292" i="3"/>
  <c r="B292" i="3"/>
  <c r="A292" i="3"/>
  <c r="H291" i="3"/>
  <c r="G291" i="3"/>
  <c r="F291" i="3"/>
  <c r="E291" i="3"/>
  <c r="I291" i="3" s="1"/>
  <c r="D291" i="3"/>
  <c r="C291" i="3"/>
  <c r="B291" i="3"/>
  <c r="A291" i="3"/>
  <c r="H290" i="3"/>
  <c r="G290" i="3"/>
  <c r="F290" i="3"/>
  <c r="E290" i="3"/>
  <c r="I290" i="3" s="1"/>
  <c r="D290" i="3"/>
  <c r="C290" i="3"/>
  <c r="B290" i="3"/>
  <c r="A290" i="3"/>
  <c r="H289" i="3"/>
  <c r="G289" i="3"/>
  <c r="F289" i="3"/>
  <c r="E289" i="3"/>
  <c r="I289" i="3" s="1"/>
  <c r="D289" i="3"/>
  <c r="C289" i="3"/>
  <c r="B289" i="3"/>
  <c r="A289" i="3"/>
  <c r="H288" i="3"/>
  <c r="G288" i="3"/>
  <c r="F288" i="3"/>
  <c r="E288" i="3"/>
  <c r="I288" i="3" s="1"/>
  <c r="D288" i="3"/>
  <c r="C288" i="3"/>
  <c r="B288" i="3"/>
  <c r="A288" i="3"/>
  <c r="H287" i="3"/>
  <c r="G287" i="3"/>
  <c r="F287" i="3"/>
  <c r="E287" i="3"/>
  <c r="I287" i="3" s="1"/>
  <c r="D287" i="3"/>
  <c r="C287" i="3"/>
  <c r="B287" i="3"/>
  <c r="A287" i="3"/>
  <c r="H286" i="3"/>
  <c r="G286" i="3"/>
  <c r="F286" i="3"/>
  <c r="E286" i="3"/>
  <c r="I286" i="3" s="1"/>
  <c r="D286" i="3"/>
  <c r="C286" i="3"/>
  <c r="B286" i="3"/>
  <c r="A286" i="3"/>
  <c r="H285" i="3"/>
  <c r="G285" i="3"/>
  <c r="F285" i="3"/>
  <c r="E285" i="3"/>
  <c r="I285" i="3" s="1"/>
  <c r="D285" i="3"/>
  <c r="C285" i="3"/>
  <c r="B285" i="3"/>
  <c r="A285" i="3"/>
  <c r="H284" i="3"/>
  <c r="G284" i="3"/>
  <c r="F284" i="3"/>
  <c r="E284" i="3"/>
  <c r="I284" i="3" s="1"/>
  <c r="D284" i="3"/>
  <c r="C284" i="3"/>
  <c r="B284" i="3"/>
  <c r="A284" i="3"/>
  <c r="H283" i="3"/>
  <c r="G283" i="3"/>
  <c r="F283" i="3"/>
  <c r="E283" i="3"/>
  <c r="I283" i="3" s="1"/>
  <c r="D283" i="3"/>
  <c r="C283" i="3"/>
  <c r="B283" i="3"/>
  <c r="A283" i="3"/>
  <c r="H282" i="3"/>
  <c r="G282" i="3"/>
  <c r="F282" i="3"/>
  <c r="E282" i="3"/>
  <c r="I282" i="3" s="1"/>
  <c r="D282" i="3"/>
  <c r="C282" i="3"/>
  <c r="B282" i="3"/>
  <c r="A282" i="3"/>
  <c r="H281" i="3"/>
  <c r="G281" i="3"/>
  <c r="F281" i="3"/>
  <c r="E281" i="3"/>
  <c r="I281" i="3" s="1"/>
  <c r="D281" i="3"/>
  <c r="C281" i="3"/>
  <c r="B281" i="3"/>
  <c r="A281" i="3"/>
  <c r="H280" i="3"/>
  <c r="G280" i="3"/>
  <c r="F280" i="3"/>
  <c r="E280" i="3"/>
  <c r="I280" i="3" s="1"/>
  <c r="D280" i="3"/>
  <c r="C280" i="3"/>
  <c r="B280" i="3"/>
  <c r="A280" i="3"/>
  <c r="H279" i="3"/>
  <c r="G279" i="3"/>
  <c r="F279" i="3"/>
  <c r="E279" i="3"/>
  <c r="I279" i="3" s="1"/>
  <c r="D279" i="3"/>
  <c r="C279" i="3"/>
  <c r="B279" i="3"/>
  <c r="A279" i="3"/>
  <c r="H278" i="3"/>
  <c r="G278" i="3"/>
  <c r="F278" i="3"/>
  <c r="E278" i="3"/>
  <c r="I278" i="3" s="1"/>
  <c r="D278" i="3"/>
  <c r="C278" i="3"/>
  <c r="B278" i="3"/>
  <c r="A278" i="3"/>
  <c r="H277" i="3"/>
  <c r="G277" i="3"/>
  <c r="F277" i="3"/>
  <c r="E277" i="3"/>
  <c r="I277" i="3" s="1"/>
  <c r="D277" i="3"/>
  <c r="C277" i="3"/>
  <c r="B277" i="3"/>
  <c r="A277" i="3"/>
  <c r="H276" i="3"/>
  <c r="G276" i="3"/>
  <c r="F276" i="3"/>
  <c r="E276" i="3"/>
  <c r="I276" i="3" s="1"/>
  <c r="D276" i="3"/>
  <c r="C276" i="3"/>
  <c r="B276" i="3"/>
  <c r="A276" i="3"/>
  <c r="H275" i="3"/>
  <c r="G275" i="3"/>
  <c r="F275" i="3"/>
  <c r="E275" i="3"/>
  <c r="I275" i="3" s="1"/>
  <c r="D275" i="3"/>
  <c r="C275" i="3"/>
  <c r="B275" i="3"/>
  <c r="A275" i="3"/>
  <c r="H274" i="3"/>
  <c r="G274" i="3"/>
  <c r="F274" i="3"/>
  <c r="E274" i="3"/>
  <c r="I274" i="3" s="1"/>
  <c r="D274" i="3"/>
  <c r="C274" i="3"/>
  <c r="B274" i="3"/>
  <c r="A274" i="3"/>
  <c r="H273" i="3"/>
  <c r="G273" i="3"/>
  <c r="F273" i="3"/>
  <c r="E273" i="3"/>
  <c r="I273" i="3" s="1"/>
  <c r="D273" i="3"/>
  <c r="C273" i="3"/>
  <c r="B273" i="3"/>
  <c r="A273" i="3"/>
  <c r="H272" i="3"/>
  <c r="G272" i="3"/>
  <c r="F272" i="3"/>
  <c r="E272" i="3"/>
  <c r="I272" i="3" s="1"/>
  <c r="D272" i="3"/>
  <c r="C272" i="3"/>
  <c r="B272" i="3"/>
  <c r="A272" i="3"/>
  <c r="H271" i="3"/>
  <c r="G271" i="3"/>
  <c r="F271" i="3"/>
  <c r="E271" i="3"/>
  <c r="I271" i="3" s="1"/>
  <c r="D271" i="3"/>
  <c r="C271" i="3"/>
  <c r="B271" i="3"/>
  <c r="A271" i="3"/>
  <c r="H270" i="3"/>
  <c r="G270" i="3"/>
  <c r="F270" i="3"/>
  <c r="E270" i="3"/>
  <c r="I270" i="3" s="1"/>
  <c r="D270" i="3"/>
  <c r="C270" i="3"/>
  <c r="B270" i="3"/>
  <c r="A270" i="3"/>
  <c r="H269" i="3"/>
  <c r="G269" i="3"/>
  <c r="F269" i="3"/>
  <c r="E269" i="3"/>
  <c r="I269" i="3" s="1"/>
  <c r="D269" i="3"/>
  <c r="C269" i="3"/>
  <c r="B269" i="3"/>
  <c r="A269" i="3"/>
  <c r="H268" i="3"/>
  <c r="G268" i="3"/>
  <c r="F268" i="3"/>
  <c r="E268" i="3"/>
  <c r="I268" i="3" s="1"/>
  <c r="D268" i="3"/>
  <c r="C268" i="3"/>
  <c r="B268" i="3"/>
  <c r="A268" i="3"/>
  <c r="H267" i="3"/>
  <c r="G267" i="3"/>
  <c r="F267" i="3"/>
  <c r="E267" i="3"/>
  <c r="I267" i="3" s="1"/>
  <c r="D267" i="3"/>
  <c r="C267" i="3"/>
  <c r="B267" i="3"/>
  <c r="A267" i="3"/>
  <c r="H266" i="3"/>
  <c r="G266" i="3"/>
  <c r="F266" i="3"/>
  <c r="E266" i="3"/>
  <c r="I266" i="3" s="1"/>
  <c r="D266" i="3"/>
  <c r="C266" i="3"/>
  <c r="B266" i="3"/>
  <c r="A266" i="3"/>
  <c r="H265" i="3"/>
  <c r="G265" i="3"/>
  <c r="F265" i="3"/>
  <c r="E265" i="3"/>
  <c r="I265" i="3" s="1"/>
  <c r="D265" i="3"/>
  <c r="C265" i="3"/>
  <c r="B265" i="3"/>
  <c r="A265" i="3"/>
  <c r="H264" i="3"/>
  <c r="G264" i="3"/>
  <c r="F264" i="3"/>
  <c r="E264" i="3"/>
  <c r="I264" i="3" s="1"/>
  <c r="D264" i="3"/>
  <c r="C264" i="3"/>
  <c r="B264" i="3"/>
  <c r="A264" i="3"/>
  <c r="H263" i="3"/>
  <c r="G263" i="3"/>
  <c r="F263" i="3"/>
  <c r="E263" i="3"/>
  <c r="I263" i="3" s="1"/>
  <c r="D263" i="3"/>
  <c r="C263" i="3"/>
  <c r="B263" i="3"/>
  <c r="A263" i="3"/>
  <c r="H262" i="3"/>
  <c r="G262" i="3"/>
  <c r="F262" i="3"/>
  <c r="E262" i="3"/>
  <c r="I262" i="3" s="1"/>
  <c r="D262" i="3"/>
  <c r="C262" i="3"/>
  <c r="B262" i="3"/>
  <c r="A262" i="3"/>
  <c r="H261" i="3"/>
  <c r="G261" i="3"/>
  <c r="F261" i="3"/>
  <c r="E261" i="3"/>
  <c r="I261" i="3" s="1"/>
  <c r="D261" i="3"/>
  <c r="C261" i="3"/>
  <c r="B261" i="3"/>
  <c r="A261" i="3"/>
  <c r="H260" i="3"/>
  <c r="G260" i="3"/>
  <c r="F260" i="3"/>
  <c r="E260" i="3"/>
  <c r="I260" i="3" s="1"/>
  <c r="D260" i="3"/>
  <c r="C260" i="3"/>
  <c r="B260" i="3"/>
  <c r="A260" i="3"/>
  <c r="H259" i="3"/>
  <c r="G259" i="3"/>
  <c r="F259" i="3"/>
  <c r="E259" i="3"/>
  <c r="I259" i="3" s="1"/>
  <c r="D259" i="3"/>
  <c r="C259" i="3"/>
  <c r="B259" i="3"/>
  <c r="A259" i="3"/>
  <c r="H258" i="3"/>
  <c r="G258" i="3"/>
  <c r="F258" i="3"/>
  <c r="E258" i="3"/>
  <c r="I258" i="3" s="1"/>
  <c r="D258" i="3"/>
  <c r="C258" i="3"/>
  <c r="B258" i="3"/>
  <c r="A258" i="3"/>
  <c r="H257" i="3"/>
  <c r="G257" i="3"/>
  <c r="F257" i="3"/>
  <c r="E257" i="3"/>
  <c r="I257" i="3" s="1"/>
  <c r="D257" i="3"/>
  <c r="C257" i="3"/>
  <c r="B257" i="3"/>
  <c r="A257" i="3"/>
  <c r="H256" i="3"/>
  <c r="G256" i="3"/>
  <c r="F256" i="3"/>
  <c r="E256" i="3"/>
  <c r="I256" i="3" s="1"/>
  <c r="D256" i="3"/>
  <c r="C256" i="3"/>
  <c r="B256" i="3"/>
  <c r="A256" i="3"/>
  <c r="H255" i="3"/>
  <c r="G255" i="3"/>
  <c r="F255" i="3"/>
  <c r="E255" i="3"/>
  <c r="I255" i="3" s="1"/>
  <c r="D255" i="3"/>
  <c r="C255" i="3"/>
  <c r="B255" i="3"/>
  <c r="A255" i="3"/>
  <c r="H254" i="3"/>
  <c r="G254" i="3"/>
  <c r="F254" i="3"/>
  <c r="E254" i="3"/>
  <c r="I254" i="3" s="1"/>
  <c r="D254" i="3"/>
  <c r="C254" i="3"/>
  <c r="B254" i="3"/>
  <c r="A254" i="3"/>
  <c r="H253" i="3"/>
  <c r="G253" i="3"/>
  <c r="F253" i="3"/>
  <c r="E253" i="3"/>
  <c r="I253" i="3" s="1"/>
  <c r="D253" i="3"/>
  <c r="C253" i="3"/>
  <c r="B253" i="3"/>
  <c r="A253" i="3"/>
  <c r="H252" i="3"/>
  <c r="G252" i="3"/>
  <c r="F252" i="3"/>
  <c r="E252" i="3"/>
  <c r="I252" i="3" s="1"/>
  <c r="D252" i="3"/>
  <c r="C252" i="3"/>
  <c r="B252" i="3"/>
  <c r="A252" i="3"/>
  <c r="H251" i="3"/>
  <c r="G251" i="3"/>
  <c r="F251" i="3"/>
  <c r="E251" i="3"/>
  <c r="I251" i="3" s="1"/>
  <c r="D251" i="3"/>
  <c r="C251" i="3"/>
  <c r="B251" i="3"/>
  <c r="A251" i="3"/>
  <c r="H250" i="3"/>
  <c r="G250" i="3"/>
  <c r="F250" i="3"/>
  <c r="E250" i="3"/>
  <c r="I250" i="3" s="1"/>
  <c r="D250" i="3"/>
  <c r="C250" i="3"/>
  <c r="B250" i="3"/>
  <c r="A250" i="3"/>
  <c r="H249" i="3"/>
  <c r="G249" i="3"/>
  <c r="F249" i="3"/>
  <c r="E249" i="3"/>
  <c r="I249" i="3" s="1"/>
  <c r="D249" i="3"/>
  <c r="C249" i="3"/>
  <c r="B249" i="3"/>
  <c r="A249" i="3"/>
  <c r="H248" i="3"/>
  <c r="G248" i="3"/>
  <c r="F248" i="3"/>
  <c r="E248" i="3"/>
  <c r="I248" i="3" s="1"/>
  <c r="D248" i="3"/>
  <c r="C248" i="3"/>
  <c r="B248" i="3"/>
  <c r="A248" i="3"/>
  <c r="H247" i="3"/>
  <c r="G247" i="3"/>
  <c r="F247" i="3"/>
  <c r="E247" i="3"/>
  <c r="I247" i="3" s="1"/>
  <c r="D247" i="3"/>
  <c r="C247" i="3"/>
  <c r="B247" i="3"/>
  <c r="A247" i="3"/>
  <c r="H246" i="3"/>
  <c r="G246" i="3"/>
  <c r="F246" i="3"/>
  <c r="E246" i="3"/>
  <c r="I246" i="3" s="1"/>
  <c r="D246" i="3"/>
  <c r="C246" i="3"/>
  <c r="B246" i="3"/>
  <c r="A246" i="3"/>
  <c r="H245" i="3"/>
  <c r="G245" i="3"/>
  <c r="F245" i="3"/>
  <c r="E245" i="3"/>
  <c r="I245" i="3" s="1"/>
  <c r="D245" i="3"/>
  <c r="C245" i="3"/>
  <c r="B245" i="3"/>
  <c r="A245" i="3"/>
  <c r="H244" i="3"/>
  <c r="G244" i="3"/>
  <c r="F244" i="3"/>
  <c r="E244" i="3"/>
  <c r="I244" i="3" s="1"/>
  <c r="D244" i="3"/>
  <c r="C244" i="3"/>
  <c r="B244" i="3"/>
  <c r="A244" i="3"/>
  <c r="H243" i="3"/>
  <c r="G243" i="3"/>
  <c r="F243" i="3"/>
  <c r="E243" i="3"/>
  <c r="I243" i="3" s="1"/>
  <c r="D243" i="3"/>
  <c r="C243" i="3"/>
  <c r="B243" i="3"/>
  <c r="A243" i="3"/>
  <c r="H242" i="3"/>
  <c r="G242" i="3"/>
  <c r="F242" i="3"/>
  <c r="E242" i="3"/>
  <c r="I242" i="3" s="1"/>
  <c r="D242" i="3"/>
  <c r="C242" i="3"/>
  <c r="B242" i="3"/>
  <c r="A242" i="3"/>
  <c r="H241" i="3"/>
  <c r="G241" i="3"/>
  <c r="F241" i="3"/>
  <c r="E241" i="3"/>
  <c r="I241" i="3" s="1"/>
  <c r="D241" i="3"/>
  <c r="C241" i="3"/>
  <c r="B241" i="3"/>
  <c r="A241" i="3"/>
  <c r="H240" i="3"/>
  <c r="G240" i="3"/>
  <c r="F240" i="3"/>
  <c r="E240" i="3"/>
  <c r="I240" i="3" s="1"/>
  <c r="D240" i="3"/>
  <c r="C240" i="3"/>
  <c r="B240" i="3"/>
  <c r="A240" i="3"/>
  <c r="H239" i="3"/>
  <c r="G239" i="3"/>
  <c r="F239" i="3"/>
  <c r="E239" i="3"/>
  <c r="I239" i="3" s="1"/>
  <c r="D239" i="3"/>
  <c r="C239" i="3"/>
  <c r="B239" i="3"/>
  <c r="A239" i="3"/>
  <c r="H238" i="3"/>
  <c r="G238" i="3"/>
  <c r="F238" i="3"/>
  <c r="E238" i="3"/>
  <c r="I238" i="3" s="1"/>
  <c r="D238" i="3"/>
  <c r="C238" i="3"/>
  <c r="B238" i="3"/>
  <c r="A238" i="3"/>
  <c r="H237" i="3"/>
  <c r="G237" i="3"/>
  <c r="F237" i="3"/>
  <c r="E237" i="3"/>
  <c r="I237" i="3" s="1"/>
  <c r="D237" i="3"/>
  <c r="C237" i="3"/>
  <c r="B237" i="3"/>
  <c r="A237" i="3"/>
  <c r="H236" i="3"/>
  <c r="G236" i="3"/>
  <c r="F236" i="3"/>
  <c r="E236" i="3"/>
  <c r="I236" i="3" s="1"/>
  <c r="D236" i="3"/>
  <c r="C236" i="3"/>
  <c r="B236" i="3"/>
  <c r="A236" i="3"/>
  <c r="H235" i="3"/>
  <c r="G235" i="3"/>
  <c r="F235" i="3"/>
  <c r="E235" i="3"/>
  <c r="I235" i="3" s="1"/>
  <c r="D235" i="3"/>
  <c r="C235" i="3"/>
  <c r="B235" i="3"/>
  <c r="A235" i="3"/>
  <c r="H234" i="3"/>
  <c r="G234" i="3"/>
  <c r="F234" i="3"/>
  <c r="E234" i="3"/>
  <c r="I234" i="3" s="1"/>
  <c r="D234" i="3"/>
  <c r="C234" i="3"/>
  <c r="B234" i="3"/>
  <c r="A234" i="3"/>
  <c r="H233" i="3"/>
  <c r="G233" i="3"/>
  <c r="F233" i="3"/>
  <c r="E233" i="3"/>
  <c r="I233" i="3" s="1"/>
  <c r="D233" i="3"/>
  <c r="C233" i="3"/>
  <c r="B233" i="3"/>
  <c r="A233" i="3"/>
  <c r="H232" i="3"/>
  <c r="G232" i="3"/>
  <c r="F232" i="3"/>
  <c r="E232" i="3"/>
  <c r="I232" i="3" s="1"/>
  <c r="D232" i="3"/>
  <c r="C232" i="3"/>
  <c r="B232" i="3"/>
  <c r="A232" i="3"/>
  <c r="H231" i="3"/>
  <c r="G231" i="3"/>
  <c r="F231" i="3"/>
  <c r="E231" i="3"/>
  <c r="I231" i="3" s="1"/>
  <c r="D231" i="3"/>
  <c r="C231" i="3"/>
  <c r="B231" i="3"/>
  <c r="A231" i="3"/>
  <c r="H230" i="3"/>
  <c r="G230" i="3"/>
  <c r="F230" i="3"/>
  <c r="E230" i="3"/>
  <c r="I230" i="3" s="1"/>
  <c r="D230" i="3"/>
  <c r="C230" i="3"/>
  <c r="B230" i="3"/>
  <c r="A230" i="3"/>
  <c r="H229" i="3"/>
  <c r="G229" i="3"/>
  <c r="F229" i="3"/>
  <c r="E229" i="3"/>
  <c r="I229" i="3" s="1"/>
  <c r="D229" i="3"/>
  <c r="C229" i="3"/>
  <c r="B229" i="3"/>
  <c r="A229" i="3"/>
  <c r="H228" i="3"/>
  <c r="G228" i="3"/>
  <c r="F228" i="3"/>
  <c r="E228" i="3"/>
  <c r="I228" i="3" s="1"/>
  <c r="D228" i="3"/>
  <c r="C228" i="3"/>
  <c r="B228" i="3"/>
  <c r="A228" i="3"/>
  <c r="H227" i="3"/>
  <c r="G227" i="3"/>
  <c r="F227" i="3"/>
  <c r="E227" i="3"/>
  <c r="I227" i="3" s="1"/>
  <c r="D227" i="3"/>
  <c r="C227" i="3"/>
  <c r="B227" i="3"/>
  <c r="A227" i="3"/>
  <c r="H226" i="3"/>
  <c r="G226" i="3"/>
  <c r="F226" i="3"/>
  <c r="E226" i="3"/>
  <c r="I226" i="3" s="1"/>
  <c r="D226" i="3"/>
  <c r="C226" i="3"/>
  <c r="B226" i="3"/>
  <c r="A226" i="3"/>
  <c r="H225" i="3"/>
  <c r="G225" i="3"/>
  <c r="F225" i="3"/>
  <c r="E225" i="3"/>
  <c r="I225" i="3" s="1"/>
  <c r="D225" i="3"/>
  <c r="C225" i="3"/>
  <c r="B225" i="3"/>
  <c r="A225" i="3"/>
  <c r="H224" i="3"/>
  <c r="G224" i="3"/>
  <c r="F224" i="3"/>
  <c r="E224" i="3"/>
  <c r="I224" i="3" s="1"/>
  <c r="D224" i="3"/>
  <c r="C224" i="3"/>
  <c r="B224" i="3"/>
  <c r="A224" i="3"/>
  <c r="H223" i="3"/>
  <c r="G223" i="3"/>
  <c r="F223" i="3"/>
  <c r="E223" i="3"/>
  <c r="I223" i="3" s="1"/>
  <c r="D223" i="3"/>
  <c r="C223" i="3"/>
  <c r="B223" i="3"/>
  <c r="A223" i="3"/>
  <c r="H222" i="3"/>
  <c r="G222" i="3"/>
  <c r="F222" i="3"/>
  <c r="E222" i="3"/>
  <c r="I222" i="3" s="1"/>
  <c r="D222" i="3"/>
  <c r="C222" i="3"/>
  <c r="B222" i="3"/>
  <c r="A222" i="3"/>
  <c r="H221" i="3"/>
  <c r="G221" i="3"/>
  <c r="F221" i="3"/>
  <c r="E221" i="3"/>
  <c r="I221" i="3" s="1"/>
  <c r="D221" i="3"/>
  <c r="C221" i="3"/>
  <c r="B221" i="3"/>
  <c r="A221" i="3"/>
  <c r="H220" i="3"/>
  <c r="G220" i="3"/>
  <c r="F220" i="3"/>
  <c r="E220" i="3"/>
  <c r="I220" i="3" s="1"/>
  <c r="D220" i="3"/>
  <c r="C220" i="3"/>
  <c r="B220" i="3"/>
  <c r="A220" i="3"/>
  <c r="H219" i="3"/>
  <c r="G219" i="3"/>
  <c r="F219" i="3"/>
  <c r="E219" i="3"/>
  <c r="I219" i="3" s="1"/>
  <c r="D219" i="3"/>
  <c r="C219" i="3"/>
  <c r="B219" i="3"/>
  <c r="A219" i="3"/>
  <c r="H218" i="3"/>
  <c r="G218" i="3"/>
  <c r="F218" i="3"/>
  <c r="E218" i="3"/>
  <c r="I218" i="3" s="1"/>
  <c r="D218" i="3"/>
  <c r="C218" i="3"/>
  <c r="B218" i="3"/>
  <c r="A218" i="3"/>
  <c r="H217" i="3"/>
  <c r="G217" i="3"/>
  <c r="F217" i="3"/>
  <c r="E217" i="3"/>
  <c r="I217" i="3" s="1"/>
  <c r="D217" i="3"/>
  <c r="C217" i="3"/>
  <c r="B217" i="3"/>
  <c r="A217" i="3"/>
  <c r="H216" i="3"/>
  <c r="G216" i="3"/>
  <c r="F216" i="3"/>
  <c r="E216" i="3"/>
  <c r="I216" i="3" s="1"/>
  <c r="D216" i="3"/>
  <c r="C216" i="3"/>
  <c r="B216" i="3"/>
  <c r="A216" i="3"/>
  <c r="H215" i="3"/>
  <c r="G215" i="3"/>
  <c r="F215" i="3"/>
  <c r="E215" i="3"/>
  <c r="I215" i="3" s="1"/>
  <c r="D215" i="3"/>
  <c r="C215" i="3"/>
  <c r="B215" i="3"/>
  <c r="A215" i="3"/>
  <c r="H214" i="3"/>
  <c r="G214" i="3"/>
  <c r="F214" i="3"/>
  <c r="E214" i="3"/>
  <c r="I214" i="3" s="1"/>
  <c r="D214" i="3"/>
  <c r="C214" i="3"/>
  <c r="B214" i="3"/>
  <c r="A214" i="3"/>
  <c r="H213" i="3"/>
  <c r="G213" i="3"/>
  <c r="F213" i="3"/>
  <c r="E213" i="3"/>
  <c r="I213" i="3" s="1"/>
  <c r="D213" i="3"/>
  <c r="C213" i="3"/>
  <c r="B213" i="3"/>
  <c r="A213" i="3"/>
  <c r="H212" i="3"/>
  <c r="G212" i="3"/>
  <c r="F212" i="3"/>
  <c r="E212" i="3"/>
  <c r="I212" i="3" s="1"/>
  <c r="D212" i="3"/>
  <c r="C212" i="3"/>
  <c r="B212" i="3"/>
  <c r="A212" i="3"/>
  <c r="H211" i="3"/>
  <c r="G211" i="3"/>
  <c r="F211" i="3"/>
  <c r="E211" i="3"/>
  <c r="I211" i="3" s="1"/>
  <c r="D211" i="3"/>
  <c r="C211" i="3"/>
  <c r="B211" i="3"/>
  <c r="A211" i="3"/>
  <c r="H210" i="3"/>
  <c r="G210" i="3"/>
  <c r="F210" i="3"/>
  <c r="E210" i="3"/>
  <c r="I210" i="3" s="1"/>
  <c r="D210" i="3"/>
  <c r="C210" i="3"/>
  <c r="B210" i="3"/>
  <c r="A210" i="3"/>
  <c r="H209" i="3"/>
  <c r="G209" i="3"/>
  <c r="F209" i="3"/>
  <c r="E209" i="3"/>
  <c r="I209" i="3" s="1"/>
  <c r="D209" i="3"/>
  <c r="C209" i="3"/>
  <c r="B209" i="3"/>
  <c r="A209" i="3"/>
  <c r="H208" i="3"/>
  <c r="G208" i="3"/>
  <c r="F208" i="3"/>
  <c r="E208" i="3"/>
  <c r="I208" i="3" s="1"/>
  <c r="D208" i="3"/>
  <c r="C208" i="3"/>
  <c r="B208" i="3"/>
  <c r="A208" i="3"/>
  <c r="H207" i="3"/>
  <c r="G207" i="3"/>
  <c r="F207" i="3"/>
  <c r="E207" i="3"/>
  <c r="I207" i="3" s="1"/>
  <c r="D207" i="3"/>
  <c r="C207" i="3"/>
  <c r="B207" i="3"/>
  <c r="A207" i="3"/>
  <c r="H206" i="3"/>
  <c r="G206" i="3"/>
  <c r="F206" i="3"/>
  <c r="E206" i="3"/>
  <c r="I206" i="3" s="1"/>
  <c r="D206" i="3"/>
  <c r="C206" i="3"/>
  <c r="B206" i="3"/>
  <c r="A206" i="3"/>
  <c r="H205" i="3"/>
  <c r="G205" i="3"/>
  <c r="F205" i="3"/>
  <c r="E205" i="3"/>
  <c r="I205" i="3" s="1"/>
  <c r="D205" i="3"/>
  <c r="C205" i="3"/>
  <c r="B205" i="3"/>
  <c r="A205" i="3"/>
  <c r="H204" i="3"/>
  <c r="G204" i="3"/>
  <c r="F204" i="3"/>
  <c r="E204" i="3"/>
  <c r="I204" i="3" s="1"/>
  <c r="D204" i="3"/>
  <c r="C204" i="3"/>
  <c r="B204" i="3"/>
  <c r="A204" i="3"/>
  <c r="H203" i="3"/>
  <c r="G203" i="3"/>
  <c r="F203" i="3"/>
  <c r="E203" i="3"/>
  <c r="I203" i="3" s="1"/>
  <c r="D203" i="3"/>
  <c r="C203" i="3"/>
  <c r="B203" i="3"/>
  <c r="A203" i="3"/>
  <c r="H202" i="3"/>
  <c r="G202" i="3"/>
  <c r="F202" i="3"/>
  <c r="E202" i="3"/>
  <c r="I202" i="3" s="1"/>
  <c r="D202" i="3"/>
  <c r="C202" i="3"/>
  <c r="B202" i="3"/>
  <c r="A202" i="3"/>
  <c r="H201" i="3"/>
  <c r="G201" i="3"/>
  <c r="F201" i="3"/>
  <c r="E201" i="3"/>
  <c r="I201" i="3" s="1"/>
  <c r="D201" i="3"/>
  <c r="C201" i="3"/>
  <c r="B201" i="3"/>
  <c r="A201" i="3"/>
  <c r="H200" i="3"/>
  <c r="G200" i="3"/>
  <c r="F200" i="3"/>
  <c r="E200" i="3"/>
  <c r="I200" i="3" s="1"/>
  <c r="D200" i="3"/>
  <c r="C200" i="3"/>
  <c r="B200" i="3"/>
  <c r="A200" i="3"/>
  <c r="H199" i="3"/>
  <c r="G199" i="3"/>
  <c r="F199" i="3"/>
  <c r="E199" i="3"/>
  <c r="I199" i="3" s="1"/>
  <c r="D199" i="3"/>
  <c r="C199" i="3"/>
  <c r="B199" i="3"/>
  <c r="A199" i="3"/>
  <c r="H198" i="3"/>
  <c r="G198" i="3"/>
  <c r="F198" i="3"/>
  <c r="E198" i="3"/>
  <c r="I198" i="3" s="1"/>
  <c r="D198" i="3"/>
  <c r="C198" i="3"/>
  <c r="B198" i="3"/>
  <c r="A198" i="3"/>
  <c r="H197" i="3"/>
  <c r="G197" i="3"/>
  <c r="F197" i="3"/>
  <c r="E197" i="3"/>
  <c r="I197" i="3" s="1"/>
  <c r="D197" i="3"/>
  <c r="C197" i="3"/>
  <c r="B197" i="3"/>
  <c r="A197" i="3"/>
  <c r="H196" i="3"/>
  <c r="G196" i="3"/>
  <c r="F196" i="3"/>
  <c r="E196" i="3"/>
  <c r="I196" i="3" s="1"/>
  <c r="D196" i="3"/>
  <c r="C196" i="3"/>
  <c r="B196" i="3"/>
  <c r="A196" i="3"/>
  <c r="H195" i="3"/>
  <c r="G195" i="3"/>
  <c r="F195" i="3"/>
  <c r="E195" i="3"/>
  <c r="I195" i="3" s="1"/>
  <c r="D195" i="3"/>
  <c r="C195" i="3"/>
  <c r="B195" i="3"/>
  <c r="A195" i="3"/>
  <c r="H194" i="3"/>
  <c r="G194" i="3"/>
  <c r="F194" i="3"/>
  <c r="E194" i="3"/>
  <c r="I194" i="3" s="1"/>
  <c r="D194" i="3"/>
  <c r="C194" i="3"/>
  <c r="B194" i="3"/>
  <c r="A194" i="3"/>
  <c r="H193" i="3"/>
  <c r="G193" i="3"/>
  <c r="F193" i="3"/>
  <c r="E193" i="3"/>
  <c r="I193" i="3" s="1"/>
  <c r="D193" i="3"/>
  <c r="C193" i="3"/>
  <c r="B193" i="3"/>
  <c r="A193" i="3"/>
  <c r="H192" i="3"/>
  <c r="G192" i="3"/>
  <c r="F192" i="3"/>
  <c r="E192" i="3"/>
  <c r="I192" i="3" s="1"/>
  <c r="D192" i="3"/>
  <c r="C192" i="3"/>
  <c r="B192" i="3"/>
  <c r="A192" i="3"/>
  <c r="H191" i="3"/>
  <c r="G191" i="3"/>
  <c r="F191" i="3"/>
  <c r="E191" i="3"/>
  <c r="I191" i="3" s="1"/>
  <c r="D191" i="3"/>
  <c r="C191" i="3"/>
  <c r="B191" i="3"/>
  <c r="A191" i="3"/>
  <c r="H190" i="3"/>
  <c r="G190" i="3"/>
  <c r="F190" i="3"/>
  <c r="E190" i="3"/>
  <c r="I190" i="3" s="1"/>
  <c r="D190" i="3"/>
  <c r="C190" i="3"/>
  <c r="B190" i="3"/>
  <c r="A190" i="3"/>
  <c r="H189" i="3"/>
  <c r="I189" i="3" s="1"/>
  <c r="G189" i="3"/>
  <c r="F189" i="3"/>
  <c r="E189" i="3"/>
  <c r="D189" i="3"/>
  <c r="C189" i="3"/>
  <c r="B189" i="3"/>
  <c r="A189" i="3"/>
  <c r="H188" i="3"/>
  <c r="G188" i="3"/>
  <c r="F188" i="3"/>
  <c r="E188" i="3"/>
  <c r="I188" i="3" s="1"/>
  <c r="D188" i="3"/>
  <c r="C188" i="3"/>
  <c r="B188" i="3"/>
  <c r="A188" i="3"/>
  <c r="H187" i="3"/>
  <c r="G187" i="3"/>
  <c r="F187" i="3"/>
  <c r="E187" i="3"/>
  <c r="I187" i="3" s="1"/>
  <c r="D187" i="3"/>
  <c r="C187" i="3"/>
  <c r="B187" i="3"/>
  <c r="A187" i="3"/>
  <c r="H186" i="3"/>
  <c r="G186" i="3"/>
  <c r="F186" i="3"/>
  <c r="E186" i="3"/>
  <c r="I186" i="3" s="1"/>
  <c r="D186" i="3"/>
  <c r="C186" i="3"/>
  <c r="B186" i="3"/>
  <c r="A186" i="3"/>
  <c r="H185" i="3"/>
  <c r="G185" i="3"/>
  <c r="F185" i="3"/>
  <c r="E185" i="3"/>
  <c r="I185" i="3" s="1"/>
  <c r="D185" i="3"/>
  <c r="C185" i="3"/>
  <c r="B185" i="3"/>
  <c r="A185" i="3"/>
  <c r="H184" i="3"/>
  <c r="G184" i="3"/>
  <c r="F184" i="3"/>
  <c r="E184" i="3"/>
  <c r="I184" i="3" s="1"/>
  <c r="D184" i="3"/>
  <c r="C184" i="3"/>
  <c r="B184" i="3"/>
  <c r="A184" i="3"/>
  <c r="H183" i="3"/>
  <c r="G183" i="3"/>
  <c r="F183" i="3"/>
  <c r="E183" i="3"/>
  <c r="I183" i="3" s="1"/>
  <c r="D183" i="3"/>
  <c r="C183" i="3"/>
  <c r="B183" i="3"/>
  <c r="A183" i="3"/>
  <c r="H182" i="3"/>
  <c r="G182" i="3"/>
  <c r="F182" i="3"/>
  <c r="E182" i="3"/>
  <c r="I182" i="3" s="1"/>
  <c r="D182" i="3"/>
  <c r="C182" i="3"/>
  <c r="B182" i="3"/>
  <c r="A182" i="3"/>
  <c r="H181" i="3"/>
  <c r="G181" i="3"/>
  <c r="F181" i="3"/>
  <c r="E181" i="3"/>
  <c r="I181" i="3" s="1"/>
  <c r="D181" i="3"/>
  <c r="C181" i="3"/>
  <c r="B181" i="3"/>
  <c r="A181" i="3"/>
  <c r="H180" i="3"/>
  <c r="G180" i="3"/>
  <c r="F180" i="3"/>
  <c r="E180" i="3"/>
  <c r="I180" i="3" s="1"/>
  <c r="D180" i="3"/>
  <c r="C180" i="3"/>
  <c r="B180" i="3"/>
  <c r="A180" i="3"/>
  <c r="H179" i="3"/>
  <c r="G179" i="3"/>
  <c r="F179" i="3"/>
  <c r="E179" i="3"/>
  <c r="I179" i="3" s="1"/>
  <c r="D179" i="3"/>
  <c r="C179" i="3"/>
  <c r="B179" i="3"/>
  <c r="A179" i="3"/>
  <c r="H178" i="3"/>
  <c r="G178" i="3"/>
  <c r="F178" i="3"/>
  <c r="E178" i="3"/>
  <c r="I178" i="3" s="1"/>
  <c r="D178" i="3"/>
  <c r="C178" i="3"/>
  <c r="B178" i="3"/>
  <c r="A178" i="3"/>
  <c r="H177" i="3"/>
  <c r="G177" i="3"/>
  <c r="F177" i="3"/>
  <c r="E177" i="3"/>
  <c r="I177" i="3" s="1"/>
  <c r="D177" i="3"/>
  <c r="C177" i="3"/>
  <c r="B177" i="3"/>
  <c r="A177" i="3"/>
  <c r="H176" i="3"/>
  <c r="G176" i="3"/>
  <c r="F176" i="3"/>
  <c r="E176" i="3"/>
  <c r="I176" i="3" s="1"/>
  <c r="D176" i="3"/>
  <c r="C176" i="3"/>
  <c r="B176" i="3"/>
  <c r="A176" i="3"/>
  <c r="H175" i="3"/>
  <c r="G175" i="3"/>
  <c r="F175" i="3"/>
  <c r="E175" i="3"/>
  <c r="I175" i="3" s="1"/>
  <c r="D175" i="3"/>
  <c r="C175" i="3"/>
  <c r="B175" i="3"/>
  <c r="A175" i="3"/>
  <c r="H174" i="3"/>
  <c r="G174" i="3"/>
  <c r="F174" i="3"/>
  <c r="E174" i="3"/>
  <c r="I174" i="3" s="1"/>
  <c r="D174" i="3"/>
  <c r="C174" i="3"/>
  <c r="B174" i="3"/>
  <c r="A174" i="3"/>
  <c r="H173" i="3"/>
  <c r="G173" i="3"/>
  <c r="F173" i="3"/>
  <c r="E173" i="3"/>
  <c r="I173" i="3" s="1"/>
  <c r="D173" i="3"/>
  <c r="C173" i="3"/>
  <c r="B173" i="3"/>
  <c r="A173" i="3"/>
  <c r="H172" i="3"/>
  <c r="G172" i="3"/>
  <c r="F172" i="3"/>
  <c r="E172" i="3"/>
  <c r="I172" i="3" s="1"/>
  <c r="D172" i="3"/>
  <c r="C172" i="3"/>
  <c r="B172" i="3"/>
  <c r="A172" i="3"/>
  <c r="H171" i="3"/>
  <c r="G171" i="3"/>
  <c r="F171" i="3"/>
  <c r="E171" i="3"/>
  <c r="I171" i="3" s="1"/>
  <c r="D171" i="3"/>
  <c r="C171" i="3"/>
  <c r="B171" i="3"/>
  <c r="A171" i="3"/>
  <c r="H170" i="3"/>
  <c r="G170" i="3"/>
  <c r="F170" i="3"/>
  <c r="E170" i="3"/>
  <c r="I170" i="3" s="1"/>
  <c r="D170" i="3"/>
  <c r="C170" i="3"/>
  <c r="B170" i="3"/>
  <c r="A170" i="3"/>
  <c r="H169" i="3"/>
  <c r="G169" i="3"/>
  <c r="F169" i="3"/>
  <c r="E169" i="3"/>
  <c r="I169" i="3" s="1"/>
  <c r="D169" i="3"/>
  <c r="C169" i="3"/>
  <c r="B169" i="3"/>
  <c r="A169" i="3"/>
  <c r="H168" i="3"/>
  <c r="G168" i="3"/>
  <c r="F168" i="3"/>
  <c r="E168" i="3"/>
  <c r="I168" i="3" s="1"/>
  <c r="D168" i="3"/>
  <c r="C168" i="3"/>
  <c r="B168" i="3"/>
  <c r="A168" i="3"/>
  <c r="H167" i="3"/>
  <c r="G167" i="3"/>
  <c r="F167" i="3"/>
  <c r="E167" i="3"/>
  <c r="I167" i="3" s="1"/>
  <c r="D167" i="3"/>
  <c r="C167" i="3"/>
  <c r="B167" i="3"/>
  <c r="A167" i="3"/>
  <c r="H166" i="3"/>
  <c r="G166" i="3"/>
  <c r="F166" i="3"/>
  <c r="E166" i="3"/>
  <c r="I166" i="3" s="1"/>
  <c r="D166" i="3"/>
  <c r="C166" i="3"/>
  <c r="B166" i="3"/>
  <c r="A166" i="3"/>
  <c r="H165" i="3"/>
  <c r="G165" i="3"/>
  <c r="F165" i="3"/>
  <c r="E165" i="3"/>
  <c r="I165" i="3" s="1"/>
  <c r="D165" i="3"/>
  <c r="C165" i="3"/>
  <c r="B165" i="3"/>
  <c r="A165" i="3"/>
  <c r="H164" i="3"/>
  <c r="G164" i="3"/>
  <c r="F164" i="3"/>
  <c r="E164" i="3"/>
  <c r="I164" i="3" s="1"/>
  <c r="D164" i="3"/>
  <c r="C164" i="3"/>
  <c r="B164" i="3"/>
  <c r="A164" i="3"/>
  <c r="H163" i="3"/>
  <c r="G163" i="3"/>
  <c r="F163" i="3"/>
  <c r="E163" i="3"/>
  <c r="I163" i="3" s="1"/>
  <c r="D163" i="3"/>
  <c r="C163" i="3"/>
  <c r="B163" i="3"/>
  <c r="A163" i="3"/>
  <c r="H162" i="3"/>
  <c r="G162" i="3"/>
  <c r="F162" i="3"/>
  <c r="E162" i="3"/>
  <c r="I162" i="3" s="1"/>
  <c r="D162" i="3"/>
  <c r="C162" i="3"/>
  <c r="B162" i="3"/>
  <c r="A162" i="3"/>
  <c r="H161" i="3"/>
  <c r="G161" i="3"/>
  <c r="F161" i="3"/>
  <c r="E161" i="3"/>
  <c r="I161" i="3" s="1"/>
  <c r="D161" i="3"/>
  <c r="C161" i="3"/>
  <c r="B161" i="3"/>
  <c r="A161" i="3"/>
  <c r="H160" i="3"/>
  <c r="G160" i="3"/>
  <c r="F160" i="3"/>
  <c r="E160" i="3"/>
  <c r="I160" i="3" s="1"/>
  <c r="D160" i="3"/>
  <c r="C160" i="3"/>
  <c r="B160" i="3"/>
  <c r="A160" i="3"/>
  <c r="H159" i="3"/>
  <c r="G159" i="3"/>
  <c r="F159" i="3"/>
  <c r="E159" i="3"/>
  <c r="I159" i="3" s="1"/>
  <c r="D159" i="3"/>
  <c r="C159" i="3"/>
  <c r="B159" i="3"/>
  <c r="A159" i="3"/>
  <c r="H158" i="3"/>
  <c r="G158" i="3"/>
  <c r="F158" i="3"/>
  <c r="E158" i="3"/>
  <c r="I158" i="3" s="1"/>
  <c r="D158" i="3"/>
  <c r="C158" i="3"/>
  <c r="B158" i="3"/>
  <c r="A158" i="3"/>
  <c r="H157" i="3"/>
  <c r="G157" i="3"/>
  <c r="F157" i="3"/>
  <c r="E157" i="3"/>
  <c r="I157" i="3" s="1"/>
  <c r="D157" i="3"/>
  <c r="C157" i="3"/>
  <c r="B157" i="3"/>
  <c r="A157" i="3"/>
  <c r="H156" i="3"/>
  <c r="G156" i="3"/>
  <c r="F156" i="3"/>
  <c r="E156" i="3"/>
  <c r="I156" i="3" s="1"/>
  <c r="D156" i="3"/>
  <c r="C156" i="3"/>
  <c r="B156" i="3"/>
  <c r="A156" i="3"/>
  <c r="H155" i="3"/>
  <c r="G155" i="3"/>
  <c r="F155" i="3"/>
  <c r="E155" i="3"/>
  <c r="I155" i="3" s="1"/>
  <c r="D155" i="3"/>
  <c r="C155" i="3"/>
  <c r="B155" i="3"/>
  <c r="A155" i="3"/>
  <c r="H154" i="3"/>
  <c r="G154" i="3"/>
  <c r="F154" i="3"/>
  <c r="E154" i="3"/>
  <c r="I154" i="3" s="1"/>
  <c r="D154" i="3"/>
  <c r="C154" i="3"/>
  <c r="B154" i="3"/>
  <c r="A154" i="3"/>
  <c r="H153" i="3"/>
  <c r="G153" i="3"/>
  <c r="F153" i="3"/>
  <c r="E153" i="3"/>
  <c r="I153" i="3" s="1"/>
  <c r="D153" i="3"/>
  <c r="C153" i="3"/>
  <c r="B153" i="3"/>
  <c r="A153" i="3"/>
  <c r="H152" i="3"/>
  <c r="G152" i="3"/>
  <c r="F152" i="3"/>
  <c r="E152" i="3"/>
  <c r="I152" i="3" s="1"/>
  <c r="D152" i="3"/>
  <c r="C152" i="3"/>
  <c r="B152" i="3"/>
  <c r="A152" i="3"/>
  <c r="H151" i="3"/>
  <c r="G151" i="3"/>
  <c r="F151" i="3"/>
  <c r="E151" i="3"/>
  <c r="I151" i="3" s="1"/>
  <c r="D151" i="3"/>
  <c r="C151" i="3"/>
  <c r="B151" i="3"/>
  <c r="A151" i="3"/>
  <c r="H150" i="3"/>
  <c r="G150" i="3"/>
  <c r="F150" i="3"/>
  <c r="E150" i="3"/>
  <c r="I150" i="3" s="1"/>
  <c r="D150" i="3"/>
  <c r="C150" i="3"/>
  <c r="B150" i="3"/>
  <c r="A150" i="3"/>
  <c r="H149" i="3"/>
  <c r="G149" i="3"/>
  <c r="F149" i="3"/>
  <c r="E149" i="3"/>
  <c r="I149" i="3" s="1"/>
  <c r="D149" i="3"/>
  <c r="C149" i="3"/>
  <c r="B149" i="3"/>
  <c r="A149" i="3"/>
  <c r="H148" i="3"/>
  <c r="G148" i="3"/>
  <c r="F148" i="3"/>
  <c r="E148" i="3"/>
  <c r="I148" i="3" s="1"/>
  <c r="D148" i="3"/>
  <c r="C148" i="3"/>
  <c r="B148" i="3"/>
  <c r="A148" i="3"/>
  <c r="H147" i="3"/>
  <c r="G147" i="3"/>
  <c r="F147" i="3"/>
  <c r="E147" i="3"/>
  <c r="I147" i="3" s="1"/>
  <c r="D147" i="3"/>
  <c r="C147" i="3"/>
  <c r="B147" i="3"/>
  <c r="A147" i="3"/>
  <c r="H146" i="3"/>
  <c r="G146" i="3"/>
  <c r="F146" i="3"/>
  <c r="E146" i="3"/>
  <c r="I146" i="3" s="1"/>
  <c r="D146" i="3"/>
  <c r="C146" i="3"/>
  <c r="B146" i="3"/>
  <c r="A146" i="3"/>
  <c r="H145" i="3"/>
  <c r="G145" i="3"/>
  <c r="F145" i="3"/>
  <c r="E145" i="3"/>
  <c r="I145" i="3" s="1"/>
  <c r="D145" i="3"/>
  <c r="C145" i="3"/>
  <c r="B145" i="3"/>
  <c r="A145" i="3"/>
  <c r="H144" i="3"/>
  <c r="G144" i="3"/>
  <c r="F144" i="3"/>
  <c r="E144" i="3"/>
  <c r="I144" i="3" s="1"/>
  <c r="D144" i="3"/>
  <c r="C144" i="3"/>
  <c r="B144" i="3"/>
  <c r="A144" i="3"/>
  <c r="H143" i="3"/>
  <c r="G143" i="3"/>
  <c r="F143" i="3"/>
  <c r="E143" i="3"/>
  <c r="I143" i="3" s="1"/>
  <c r="D143" i="3"/>
  <c r="C143" i="3"/>
  <c r="B143" i="3"/>
  <c r="A143" i="3"/>
  <c r="H142" i="3"/>
  <c r="G142" i="3"/>
  <c r="F142" i="3"/>
  <c r="E142" i="3"/>
  <c r="I142" i="3" s="1"/>
  <c r="D142" i="3"/>
  <c r="C142" i="3"/>
  <c r="B142" i="3"/>
  <c r="A142" i="3"/>
  <c r="H141" i="3"/>
  <c r="G141" i="3"/>
  <c r="F141" i="3"/>
  <c r="E141" i="3"/>
  <c r="I141" i="3" s="1"/>
  <c r="D141" i="3"/>
  <c r="C141" i="3"/>
  <c r="B141" i="3"/>
  <c r="A141" i="3"/>
  <c r="H140" i="3"/>
  <c r="G140" i="3"/>
  <c r="F140" i="3"/>
  <c r="E140" i="3"/>
  <c r="I140" i="3" s="1"/>
  <c r="D140" i="3"/>
  <c r="C140" i="3"/>
  <c r="B140" i="3"/>
  <c r="A140" i="3"/>
  <c r="H139" i="3"/>
  <c r="G139" i="3"/>
  <c r="F139" i="3"/>
  <c r="E139" i="3"/>
  <c r="I139" i="3" s="1"/>
  <c r="D139" i="3"/>
  <c r="C139" i="3"/>
  <c r="B139" i="3"/>
  <c r="A139" i="3"/>
  <c r="H138" i="3"/>
  <c r="G138" i="3"/>
  <c r="F138" i="3"/>
  <c r="E138" i="3"/>
  <c r="I138" i="3" s="1"/>
  <c r="D138" i="3"/>
  <c r="C138" i="3"/>
  <c r="B138" i="3"/>
  <c r="A138" i="3"/>
  <c r="H137" i="3"/>
  <c r="G137" i="3"/>
  <c r="F137" i="3"/>
  <c r="E137" i="3"/>
  <c r="I137" i="3" s="1"/>
  <c r="D137" i="3"/>
  <c r="C137" i="3"/>
  <c r="B137" i="3"/>
  <c r="A137" i="3"/>
  <c r="H136" i="3"/>
  <c r="G136" i="3"/>
  <c r="F136" i="3"/>
  <c r="E136" i="3"/>
  <c r="I136" i="3" s="1"/>
  <c r="D136" i="3"/>
  <c r="C136" i="3"/>
  <c r="B136" i="3"/>
  <c r="A136" i="3"/>
  <c r="H135" i="3"/>
  <c r="G135" i="3"/>
  <c r="F135" i="3"/>
  <c r="E135" i="3"/>
  <c r="I135" i="3" s="1"/>
  <c r="D135" i="3"/>
  <c r="C135" i="3"/>
  <c r="B135" i="3"/>
  <c r="A135" i="3"/>
  <c r="H134" i="3"/>
  <c r="G134" i="3"/>
  <c r="F134" i="3"/>
  <c r="E134" i="3"/>
  <c r="I134" i="3" s="1"/>
  <c r="D134" i="3"/>
  <c r="C134" i="3"/>
  <c r="B134" i="3"/>
  <c r="A134" i="3"/>
  <c r="H133" i="3"/>
  <c r="G133" i="3"/>
  <c r="F133" i="3"/>
  <c r="E133" i="3"/>
  <c r="I133" i="3" s="1"/>
  <c r="D133" i="3"/>
  <c r="C133" i="3"/>
  <c r="B133" i="3"/>
  <c r="A133" i="3"/>
  <c r="H132" i="3"/>
  <c r="G132" i="3"/>
  <c r="F132" i="3"/>
  <c r="E132" i="3"/>
  <c r="I132" i="3" s="1"/>
  <c r="D132" i="3"/>
  <c r="C132" i="3"/>
  <c r="B132" i="3"/>
  <c r="A132" i="3"/>
  <c r="H131" i="3"/>
  <c r="G131" i="3"/>
  <c r="F131" i="3"/>
  <c r="E131" i="3"/>
  <c r="I131" i="3" s="1"/>
  <c r="D131" i="3"/>
  <c r="C131" i="3"/>
  <c r="B131" i="3"/>
  <c r="A131" i="3"/>
  <c r="H130" i="3"/>
  <c r="G130" i="3"/>
  <c r="F130" i="3"/>
  <c r="E130" i="3"/>
  <c r="I130" i="3" s="1"/>
  <c r="D130" i="3"/>
  <c r="C130" i="3"/>
  <c r="B130" i="3"/>
  <c r="A130" i="3"/>
  <c r="H129" i="3"/>
  <c r="G129" i="3"/>
  <c r="F129" i="3"/>
  <c r="E129" i="3"/>
  <c r="I129" i="3" s="1"/>
  <c r="D129" i="3"/>
  <c r="C129" i="3"/>
  <c r="B129" i="3"/>
  <c r="A129" i="3"/>
  <c r="H128" i="3"/>
  <c r="G128" i="3"/>
  <c r="F128" i="3"/>
  <c r="E128" i="3"/>
  <c r="I128" i="3" s="1"/>
  <c r="D128" i="3"/>
  <c r="C128" i="3"/>
  <c r="B128" i="3"/>
  <c r="A128" i="3"/>
  <c r="H127" i="3"/>
  <c r="G127" i="3"/>
  <c r="F127" i="3"/>
  <c r="E127" i="3"/>
  <c r="I127" i="3" s="1"/>
  <c r="D127" i="3"/>
  <c r="C127" i="3"/>
  <c r="B127" i="3"/>
  <c r="A127" i="3"/>
  <c r="H126" i="3"/>
  <c r="G126" i="3"/>
  <c r="F126" i="3"/>
  <c r="E126" i="3"/>
  <c r="I126" i="3" s="1"/>
  <c r="D126" i="3"/>
  <c r="C126" i="3"/>
  <c r="B126" i="3"/>
  <c r="A126" i="3"/>
  <c r="H125" i="3"/>
  <c r="G125" i="3"/>
  <c r="F125" i="3"/>
  <c r="E125" i="3"/>
  <c r="I125" i="3" s="1"/>
  <c r="D125" i="3"/>
  <c r="C125" i="3"/>
  <c r="B125" i="3"/>
  <c r="A125" i="3"/>
  <c r="H124" i="3"/>
  <c r="G124" i="3"/>
  <c r="F124" i="3"/>
  <c r="E124" i="3"/>
  <c r="I124" i="3" s="1"/>
  <c r="D124" i="3"/>
  <c r="C124" i="3"/>
  <c r="B124" i="3"/>
  <c r="A124" i="3"/>
  <c r="H123" i="3"/>
  <c r="G123" i="3"/>
  <c r="F123" i="3"/>
  <c r="E123" i="3"/>
  <c r="I123" i="3" s="1"/>
  <c r="D123" i="3"/>
  <c r="C123" i="3"/>
  <c r="B123" i="3"/>
  <c r="A123" i="3"/>
  <c r="H122" i="3"/>
  <c r="G122" i="3"/>
  <c r="F122" i="3"/>
  <c r="E122" i="3"/>
  <c r="I122" i="3" s="1"/>
  <c r="D122" i="3"/>
  <c r="C122" i="3"/>
  <c r="B122" i="3"/>
  <c r="A122" i="3"/>
  <c r="H121" i="3"/>
  <c r="G121" i="3"/>
  <c r="F121" i="3"/>
  <c r="E121" i="3"/>
  <c r="I121" i="3" s="1"/>
  <c r="D121" i="3"/>
  <c r="C121" i="3"/>
  <c r="B121" i="3"/>
  <c r="A121" i="3"/>
  <c r="H120" i="3"/>
  <c r="G120" i="3"/>
  <c r="F120" i="3"/>
  <c r="E120" i="3"/>
  <c r="I120" i="3" s="1"/>
  <c r="D120" i="3"/>
  <c r="C120" i="3"/>
  <c r="B120" i="3"/>
  <c r="A120" i="3"/>
  <c r="H119" i="3"/>
  <c r="G119" i="3"/>
  <c r="F119" i="3"/>
  <c r="E119" i="3"/>
  <c r="I119" i="3" s="1"/>
  <c r="D119" i="3"/>
  <c r="C119" i="3"/>
  <c r="B119" i="3"/>
  <c r="A119" i="3"/>
  <c r="H118" i="3"/>
  <c r="G118" i="3"/>
  <c r="F118" i="3"/>
  <c r="E118" i="3"/>
  <c r="I118" i="3" s="1"/>
  <c r="D118" i="3"/>
  <c r="C118" i="3"/>
  <c r="B118" i="3"/>
  <c r="A118" i="3"/>
  <c r="H117" i="3"/>
  <c r="G117" i="3"/>
  <c r="F117" i="3"/>
  <c r="E117" i="3"/>
  <c r="I117" i="3" s="1"/>
  <c r="D117" i="3"/>
  <c r="C117" i="3"/>
  <c r="B117" i="3"/>
  <c r="A117" i="3"/>
  <c r="H116" i="3"/>
  <c r="G116" i="3"/>
  <c r="F116" i="3"/>
  <c r="E116" i="3"/>
  <c r="I116" i="3" s="1"/>
  <c r="D116" i="3"/>
  <c r="C116" i="3"/>
  <c r="B116" i="3"/>
  <c r="A116" i="3"/>
  <c r="H115" i="3"/>
  <c r="G115" i="3"/>
  <c r="F115" i="3"/>
  <c r="E115" i="3"/>
  <c r="I115" i="3" s="1"/>
  <c r="D115" i="3"/>
  <c r="C115" i="3"/>
  <c r="B115" i="3"/>
  <c r="A115" i="3"/>
  <c r="H114" i="3"/>
  <c r="G114" i="3"/>
  <c r="F114" i="3"/>
  <c r="E114" i="3"/>
  <c r="I114" i="3" s="1"/>
  <c r="D114" i="3"/>
  <c r="C114" i="3"/>
  <c r="B114" i="3"/>
  <c r="A114" i="3"/>
  <c r="H113" i="3"/>
  <c r="G113" i="3"/>
  <c r="F113" i="3"/>
  <c r="E113" i="3"/>
  <c r="I113" i="3" s="1"/>
  <c r="D113" i="3"/>
  <c r="C113" i="3"/>
  <c r="B113" i="3"/>
  <c r="A113" i="3"/>
  <c r="H112" i="3"/>
  <c r="G112" i="3"/>
  <c r="F112" i="3"/>
  <c r="E112" i="3"/>
  <c r="I112" i="3" s="1"/>
  <c r="D112" i="3"/>
  <c r="C112" i="3"/>
  <c r="B112" i="3"/>
  <c r="A112" i="3"/>
  <c r="H111" i="3"/>
  <c r="G111" i="3"/>
  <c r="F111" i="3"/>
  <c r="E111" i="3"/>
  <c r="I111" i="3" s="1"/>
  <c r="D111" i="3"/>
  <c r="C111" i="3"/>
  <c r="B111" i="3"/>
  <c r="A111" i="3"/>
  <c r="H110" i="3"/>
  <c r="G110" i="3"/>
  <c r="F110" i="3"/>
  <c r="E110" i="3"/>
  <c r="I110" i="3" s="1"/>
  <c r="D110" i="3"/>
  <c r="C110" i="3"/>
  <c r="B110" i="3"/>
  <c r="A110" i="3"/>
  <c r="H109" i="3"/>
  <c r="G109" i="3"/>
  <c r="F109" i="3"/>
  <c r="E109" i="3"/>
  <c r="I109" i="3" s="1"/>
  <c r="D109" i="3"/>
  <c r="C109" i="3"/>
  <c r="B109" i="3"/>
  <c r="A109" i="3"/>
  <c r="H108" i="3"/>
  <c r="G108" i="3"/>
  <c r="F108" i="3"/>
  <c r="E108" i="3"/>
  <c r="I108" i="3" s="1"/>
  <c r="D108" i="3"/>
  <c r="C108" i="3"/>
  <c r="B108" i="3"/>
  <c r="A108" i="3"/>
  <c r="H107" i="3"/>
  <c r="G107" i="3"/>
  <c r="F107" i="3"/>
  <c r="E107" i="3"/>
  <c r="I107" i="3" s="1"/>
  <c r="D107" i="3"/>
  <c r="C107" i="3"/>
  <c r="B107" i="3"/>
  <c r="A107" i="3"/>
  <c r="H106" i="3"/>
  <c r="G106" i="3"/>
  <c r="F106" i="3"/>
  <c r="E106" i="3"/>
  <c r="I106" i="3" s="1"/>
  <c r="D106" i="3"/>
  <c r="C106" i="3"/>
  <c r="B106" i="3"/>
  <c r="A106" i="3"/>
  <c r="H105" i="3"/>
  <c r="G105" i="3"/>
  <c r="F105" i="3"/>
  <c r="E105" i="3"/>
  <c r="I105" i="3" s="1"/>
  <c r="D105" i="3"/>
  <c r="C105" i="3"/>
  <c r="B105" i="3"/>
  <c r="A105" i="3"/>
  <c r="H104" i="3"/>
  <c r="G104" i="3"/>
  <c r="F104" i="3"/>
  <c r="E104" i="3"/>
  <c r="I104" i="3" s="1"/>
  <c r="D104" i="3"/>
  <c r="C104" i="3"/>
  <c r="B104" i="3"/>
  <c r="A104" i="3"/>
  <c r="H103" i="3"/>
  <c r="G103" i="3"/>
  <c r="F103" i="3"/>
  <c r="E103" i="3"/>
  <c r="I103" i="3" s="1"/>
  <c r="D103" i="3"/>
  <c r="C103" i="3"/>
  <c r="B103" i="3"/>
  <c r="A103" i="3"/>
  <c r="H102" i="3"/>
  <c r="G102" i="3"/>
  <c r="F102" i="3"/>
  <c r="E102" i="3"/>
  <c r="I102" i="3" s="1"/>
  <c r="D102" i="3"/>
  <c r="C102" i="3"/>
  <c r="B102" i="3"/>
  <c r="A102" i="3"/>
  <c r="H101" i="3"/>
  <c r="G101" i="3"/>
  <c r="F101" i="3"/>
  <c r="E101" i="3"/>
  <c r="I101" i="3" s="1"/>
  <c r="D101" i="3"/>
  <c r="C101" i="3"/>
  <c r="B101" i="3"/>
  <c r="A101" i="3"/>
  <c r="H100" i="3"/>
  <c r="G100" i="3"/>
  <c r="F100" i="3"/>
  <c r="E100" i="3"/>
  <c r="I100" i="3" s="1"/>
  <c r="D100" i="3"/>
  <c r="C100" i="3"/>
  <c r="B100" i="3"/>
  <c r="A100" i="3"/>
  <c r="H99" i="3"/>
  <c r="G99" i="3"/>
  <c r="F99" i="3"/>
  <c r="E99" i="3"/>
  <c r="I99" i="3" s="1"/>
  <c r="D99" i="3"/>
  <c r="C99" i="3"/>
  <c r="B99" i="3"/>
  <c r="A99" i="3"/>
  <c r="H98" i="3"/>
  <c r="G98" i="3"/>
  <c r="F98" i="3"/>
  <c r="E98" i="3"/>
  <c r="I98" i="3" s="1"/>
  <c r="D98" i="3"/>
  <c r="C98" i="3"/>
  <c r="B98" i="3"/>
  <c r="A98" i="3"/>
  <c r="H97" i="3"/>
  <c r="G97" i="3"/>
  <c r="F97" i="3"/>
  <c r="E97" i="3"/>
  <c r="I97" i="3" s="1"/>
  <c r="D97" i="3"/>
  <c r="C97" i="3"/>
  <c r="B97" i="3"/>
  <c r="A97" i="3"/>
  <c r="H96" i="3"/>
  <c r="G96" i="3"/>
  <c r="F96" i="3"/>
  <c r="E96" i="3"/>
  <c r="I96" i="3" s="1"/>
  <c r="D96" i="3"/>
  <c r="C96" i="3"/>
  <c r="B96" i="3"/>
  <c r="A96" i="3"/>
  <c r="H95" i="3"/>
  <c r="G95" i="3"/>
  <c r="F95" i="3"/>
  <c r="E95" i="3"/>
  <c r="I95" i="3" s="1"/>
  <c r="D95" i="3"/>
  <c r="C95" i="3"/>
  <c r="B95" i="3"/>
  <c r="A95" i="3"/>
  <c r="H94" i="3"/>
  <c r="G94" i="3"/>
  <c r="F94" i="3"/>
  <c r="E94" i="3"/>
  <c r="I94" i="3" s="1"/>
  <c r="D94" i="3"/>
  <c r="C94" i="3"/>
  <c r="B94" i="3"/>
  <c r="A94" i="3"/>
  <c r="H93" i="3"/>
  <c r="G93" i="3"/>
  <c r="F93" i="3"/>
  <c r="E93" i="3"/>
  <c r="I93" i="3" s="1"/>
  <c r="D93" i="3"/>
  <c r="C93" i="3"/>
  <c r="B93" i="3"/>
  <c r="A93" i="3"/>
  <c r="H92" i="3"/>
  <c r="G92" i="3"/>
  <c r="F92" i="3"/>
  <c r="E92" i="3"/>
  <c r="I92" i="3" s="1"/>
  <c r="D92" i="3"/>
  <c r="C92" i="3"/>
  <c r="B92" i="3"/>
  <c r="A92" i="3"/>
  <c r="H91" i="3"/>
  <c r="G91" i="3"/>
  <c r="F91" i="3"/>
  <c r="E91" i="3"/>
  <c r="I91" i="3" s="1"/>
  <c r="D91" i="3"/>
  <c r="C91" i="3"/>
  <c r="B91" i="3"/>
  <c r="A91" i="3"/>
  <c r="H90" i="3"/>
  <c r="G90" i="3"/>
  <c r="F90" i="3"/>
  <c r="E90" i="3"/>
  <c r="I90" i="3" s="1"/>
  <c r="D90" i="3"/>
  <c r="C90" i="3"/>
  <c r="B90" i="3"/>
  <c r="A90" i="3"/>
  <c r="H89" i="3"/>
  <c r="G89" i="3"/>
  <c r="F89" i="3"/>
  <c r="E89" i="3"/>
  <c r="I89" i="3" s="1"/>
  <c r="D89" i="3"/>
  <c r="C89" i="3"/>
  <c r="B89" i="3"/>
  <c r="A89" i="3"/>
  <c r="H88" i="3"/>
  <c r="G88" i="3"/>
  <c r="F88" i="3"/>
  <c r="E88" i="3"/>
  <c r="I88" i="3" s="1"/>
  <c r="D88" i="3"/>
  <c r="C88" i="3"/>
  <c r="B88" i="3"/>
  <c r="A88" i="3"/>
  <c r="H87" i="3"/>
  <c r="G87" i="3"/>
  <c r="F87" i="3"/>
  <c r="E87" i="3"/>
  <c r="I87" i="3" s="1"/>
  <c r="D87" i="3"/>
  <c r="C87" i="3"/>
  <c r="B87" i="3"/>
  <c r="A87" i="3"/>
  <c r="H86" i="3"/>
  <c r="G86" i="3"/>
  <c r="F86" i="3"/>
  <c r="E86" i="3"/>
  <c r="I86" i="3" s="1"/>
  <c r="D86" i="3"/>
  <c r="C86" i="3"/>
  <c r="B86" i="3"/>
  <c r="A86" i="3"/>
  <c r="H85" i="3"/>
  <c r="G85" i="3"/>
  <c r="F85" i="3"/>
  <c r="E85" i="3"/>
  <c r="I85" i="3" s="1"/>
  <c r="D85" i="3"/>
  <c r="C85" i="3"/>
  <c r="B85" i="3"/>
  <c r="A85" i="3"/>
  <c r="H84" i="3"/>
  <c r="G84" i="3"/>
  <c r="F84" i="3"/>
  <c r="E84" i="3"/>
  <c r="I84" i="3" s="1"/>
  <c r="D84" i="3"/>
  <c r="C84" i="3"/>
  <c r="B84" i="3"/>
  <c r="A84" i="3"/>
  <c r="H83" i="3"/>
  <c r="G83" i="3"/>
  <c r="F83" i="3"/>
  <c r="E83" i="3"/>
  <c r="I83" i="3" s="1"/>
  <c r="D83" i="3"/>
  <c r="C83" i="3"/>
  <c r="B83" i="3"/>
  <c r="A83" i="3"/>
  <c r="H82" i="3"/>
  <c r="G82" i="3"/>
  <c r="F82" i="3"/>
  <c r="E82" i="3"/>
  <c r="I82" i="3" s="1"/>
  <c r="D82" i="3"/>
  <c r="C82" i="3"/>
  <c r="B82" i="3"/>
  <c r="A82" i="3"/>
  <c r="H81" i="3"/>
  <c r="G81" i="3"/>
  <c r="F81" i="3"/>
  <c r="E81" i="3"/>
  <c r="I81" i="3" s="1"/>
  <c r="D81" i="3"/>
  <c r="C81" i="3"/>
  <c r="B81" i="3"/>
  <c r="A81" i="3"/>
  <c r="H80" i="3"/>
  <c r="G80" i="3"/>
  <c r="F80" i="3"/>
  <c r="E80" i="3"/>
  <c r="I80" i="3" s="1"/>
  <c r="D80" i="3"/>
  <c r="C80" i="3"/>
  <c r="B80" i="3"/>
  <c r="A80" i="3"/>
  <c r="H79" i="3"/>
  <c r="G79" i="3"/>
  <c r="F79" i="3"/>
  <c r="E79" i="3"/>
  <c r="I79" i="3" s="1"/>
  <c r="D79" i="3"/>
  <c r="C79" i="3"/>
  <c r="B79" i="3"/>
  <c r="A79" i="3"/>
  <c r="H78" i="3"/>
  <c r="G78" i="3"/>
  <c r="F78" i="3"/>
  <c r="E78" i="3"/>
  <c r="I78" i="3" s="1"/>
  <c r="D78" i="3"/>
  <c r="C78" i="3"/>
  <c r="B78" i="3"/>
  <c r="A78" i="3"/>
  <c r="H77" i="3"/>
  <c r="G77" i="3"/>
  <c r="F77" i="3"/>
  <c r="E77" i="3"/>
  <c r="I77" i="3" s="1"/>
  <c r="D77" i="3"/>
  <c r="C77" i="3"/>
  <c r="B77" i="3"/>
  <c r="A77" i="3"/>
  <c r="H76" i="3"/>
  <c r="G76" i="3"/>
  <c r="F76" i="3"/>
  <c r="E76" i="3"/>
  <c r="I76" i="3" s="1"/>
  <c r="D76" i="3"/>
  <c r="C76" i="3"/>
  <c r="B76" i="3"/>
  <c r="A76" i="3"/>
  <c r="H75" i="3"/>
  <c r="G75" i="3"/>
  <c r="F75" i="3"/>
  <c r="E75" i="3"/>
  <c r="I75" i="3" s="1"/>
  <c r="D75" i="3"/>
  <c r="C75" i="3"/>
  <c r="B75" i="3"/>
  <c r="A75" i="3"/>
  <c r="H74" i="3"/>
  <c r="G74" i="3"/>
  <c r="F74" i="3"/>
  <c r="E74" i="3"/>
  <c r="I74" i="3" s="1"/>
  <c r="D74" i="3"/>
  <c r="C74" i="3"/>
  <c r="B74" i="3"/>
  <c r="A74" i="3"/>
  <c r="H73" i="3"/>
  <c r="G73" i="3"/>
  <c r="F73" i="3"/>
  <c r="E73" i="3"/>
  <c r="I73" i="3" s="1"/>
  <c r="D73" i="3"/>
  <c r="C73" i="3"/>
  <c r="B73" i="3"/>
  <c r="A73" i="3"/>
  <c r="H72" i="3"/>
  <c r="G72" i="3"/>
  <c r="F72" i="3"/>
  <c r="E72" i="3"/>
  <c r="I72" i="3" s="1"/>
  <c r="D72" i="3"/>
  <c r="C72" i="3"/>
  <c r="B72" i="3"/>
  <c r="A72" i="3"/>
  <c r="H71" i="3"/>
  <c r="G71" i="3"/>
  <c r="F71" i="3"/>
  <c r="E71" i="3"/>
  <c r="I71" i="3" s="1"/>
  <c r="D71" i="3"/>
  <c r="C71" i="3"/>
  <c r="B71" i="3"/>
  <c r="A71" i="3"/>
  <c r="H70" i="3"/>
  <c r="G70" i="3"/>
  <c r="F70" i="3"/>
  <c r="E70" i="3"/>
  <c r="I70" i="3" s="1"/>
  <c r="D70" i="3"/>
  <c r="C70" i="3"/>
  <c r="B70" i="3"/>
  <c r="A70" i="3"/>
  <c r="H69" i="3"/>
  <c r="G69" i="3"/>
  <c r="F69" i="3"/>
  <c r="E69" i="3"/>
  <c r="I69" i="3" s="1"/>
  <c r="D69" i="3"/>
  <c r="C69" i="3"/>
  <c r="B69" i="3"/>
  <c r="A69" i="3"/>
  <c r="H68" i="3"/>
  <c r="G68" i="3"/>
  <c r="F68" i="3"/>
  <c r="E68" i="3"/>
  <c r="I68" i="3" s="1"/>
  <c r="D68" i="3"/>
  <c r="C68" i="3"/>
  <c r="B68" i="3"/>
  <c r="A68" i="3"/>
  <c r="H67" i="3"/>
  <c r="G67" i="3"/>
  <c r="F67" i="3"/>
  <c r="E67" i="3"/>
  <c r="I67" i="3" s="1"/>
  <c r="D67" i="3"/>
  <c r="C67" i="3"/>
  <c r="B67" i="3"/>
  <c r="A67" i="3"/>
  <c r="H66" i="3"/>
  <c r="G66" i="3"/>
  <c r="F66" i="3"/>
  <c r="E66" i="3"/>
  <c r="I66" i="3" s="1"/>
  <c r="D66" i="3"/>
  <c r="C66" i="3"/>
  <c r="B66" i="3"/>
  <c r="A66" i="3"/>
  <c r="H65" i="3"/>
  <c r="G65" i="3"/>
  <c r="F65" i="3"/>
  <c r="E65" i="3"/>
  <c r="I65" i="3" s="1"/>
  <c r="D65" i="3"/>
  <c r="C65" i="3"/>
  <c r="B65" i="3"/>
  <c r="A65" i="3"/>
  <c r="H64" i="3"/>
  <c r="G64" i="3"/>
  <c r="F64" i="3"/>
  <c r="E64" i="3"/>
  <c r="I64" i="3" s="1"/>
  <c r="D64" i="3"/>
  <c r="C64" i="3"/>
  <c r="B64" i="3"/>
  <c r="A64" i="3"/>
  <c r="H63" i="3"/>
  <c r="G63" i="3"/>
  <c r="F63" i="3"/>
  <c r="E63" i="3"/>
  <c r="I63" i="3" s="1"/>
  <c r="D63" i="3"/>
  <c r="C63" i="3"/>
  <c r="B63" i="3"/>
  <c r="A63" i="3"/>
  <c r="H62" i="3"/>
  <c r="G62" i="3"/>
  <c r="F62" i="3"/>
  <c r="E62" i="3"/>
  <c r="I62" i="3" s="1"/>
  <c r="D62" i="3"/>
  <c r="C62" i="3"/>
  <c r="B62" i="3"/>
  <c r="A62" i="3"/>
  <c r="H61" i="3"/>
  <c r="G61" i="3"/>
  <c r="F61" i="3"/>
  <c r="E61" i="3"/>
  <c r="I61" i="3" s="1"/>
  <c r="D61" i="3"/>
  <c r="C61" i="3"/>
  <c r="B61" i="3"/>
  <c r="A61" i="3"/>
  <c r="H60" i="3"/>
  <c r="G60" i="3"/>
  <c r="I60" i="3" s="1"/>
  <c r="F60" i="3"/>
  <c r="E60" i="3"/>
  <c r="D60" i="3"/>
  <c r="C60" i="3"/>
  <c r="B60" i="3"/>
  <c r="A60" i="3"/>
  <c r="H59" i="3"/>
  <c r="G59" i="3"/>
  <c r="F59" i="3"/>
  <c r="E59" i="3"/>
  <c r="I59" i="3" s="1"/>
  <c r="D59" i="3"/>
  <c r="C59" i="3"/>
  <c r="B59" i="3"/>
  <c r="A59" i="3"/>
  <c r="H58" i="3"/>
  <c r="G58" i="3"/>
  <c r="F58" i="3"/>
  <c r="E58" i="3"/>
  <c r="I58" i="3" s="1"/>
  <c r="D58" i="3"/>
  <c r="C58" i="3"/>
  <c r="B58" i="3"/>
  <c r="A58" i="3"/>
  <c r="H57" i="3"/>
  <c r="G57" i="3"/>
  <c r="F57" i="3"/>
  <c r="E57" i="3"/>
  <c r="I57" i="3" s="1"/>
  <c r="D57" i="3"/>
  <c r="C57" i="3"/>
  <c r="B57" i="3"/>
  <c r="A57" i="3"/>
  <c r="H56" i="3"/>
  <c r="G56" i="3"/>
  <c r="F56" i="3"/>
  <c r="E56" i="3"/>
  <c r="I56" i="3" s="1"/>
  <c r="D56" i="3"/>
  <c r="C56" i="3"/>
  <c r="B56" i="3"/>
  <c r="A56" i="3"/>
  <c r="H55" i="3"/>
  <c r="G55" i="3"/>
  <c r="F55" i="3"/>
  <c r="E55" i="3"/>
  <c r="I55" i="3" s="1"/>
  <c r="D55" i="3"/>
  <c r="C55" i="3"/>
  <c r="B55" i="3"/>
  <c r="A55" i="3"/>
  <c r="H54" i="3"/>
  <c r="G54" i="3"/>
  <c r="F54" i="3"/>
  <c r="E54" i="3"/>
  <c r="I54" i="3" s="1"/>
  <c r="D54" i="3"/>
  <c r="C54" i="3"/>
  <c r="B54" i="3"/>
  <c r="A54" i="3"/>
  <c r="H53" i="3"/>
  <c r="G53" i="3"/>
  <c r="F53" i="3"/>
  <c r="E53" i="3"/>
  <c r="I53" i="3" s="1"/>
  <c r="D53" i="3"/>
  <c r="C53" i="3"/>
  <c r="B53" i="3"/>
  <c r="A53" i="3"/>
  <c r="H52" i="3"/>
  <c r="G52" i="3"/>
  <c r="F52" i="3"/>
  <c r="E52" i="3"/>
  <c r="I52" i="3" s="1"/>
  <c r="D52" i="3"/>
  <c r="C52" i="3"/>
  <c r="B52" i="3"/>
  <c r="A52" i="3"/>
  <c r="H51" i="3"/>
  <c r="G51" i="3"/>
  <c r="F51" i="3"/>
  <c r="E51" i="3"/>
  <c r="I51" i="3" s="1"/>
  <c r="D51" i="3"/>
  <c r="C51" i="3"/>
  <c r="B51" i="3"/>
  <c r="A51" i="3"/>
  <c r="H50" i="3"/>
  <c r="G50" i="3"/>
  <c r="F50" i="3"/>
  <c r="E50" i="3"/>
  <c r="I50" i="3" s="1"/>
  <c r="D50" i="3"/>
  <c r="C50" i="3"/>
  <c r="B50" i="3"/>
  <c r="A50" i="3"/>
  <c r="H49" i="3"/>
  <c r="G49" i="3"/>
  <c r="F49" i="3"/>
  <c r="E49" i="3"/>
  <c r="I49" i="3" s="1"/>
  <c r="D49" i="3"/>
  <c r="C49" i="3"/>
  <c r="B49" i="3"/>
  <c r="A49" i="3"/>
  <c r="H48" i="3"/>
  <c r="G48" i="3"/>
  <c r="F48" i="3"/>
  <c r="E48" i="3"/>
  <c r="I48" i="3" s="1"/>
  <c r="D48" i="3"/>
  <c r="C48" i="3"/>
  <c r="B48" i="3"/>
  <c r="A48" i="3"/>
  <c r="H47" i="3"/>
  <c r="G47" i="3"/>
  <c r="F47" i="3"/>
  <c r="E47" i="3"/>
  <c r="I47" i="3" s="1"/>
  <c r="D47" i="3"/>
  <c r="C47" i="3"/>
  <c r="B47" i="3"/>
  <c r="A47" i="3"/>
  <c r="H46" i="3"/>
  <c r="G46" i="3"/>
  <c r="F46" i="3"/>
  <c r="E46" i="3"/>
  <c r="I46" i="3" s="1"/>
  <c r="D46" i="3"/>
  <c r="C46" i="3"/>
  <c r="B46" i="3"/>
  <c r="A46" i="3"/>
  <c r="H45" i="3"/>
  <c r="G45" i="3"/>
  <c r="F45" i="3"/>
  <c r="E45" i="3"/>
  <c r="I45" i="3" s="1"/>
  <c r="D45" i="3"/>
  <c r="C45" i="3"/>
  <c r="B45" i="3"/>
  <c r="A45" i="3"/>
  <c r="H44" i="3"/>
  <c r="G44" i="3"/>
  <c r="F44" i="3"/>
  <c r="E44" i="3"/>
  <c r="I44" i="3" s="1"/>
  <c r="D44" i="3"/>
  <c r="C44" i="3"/>
  <c r="B44" i="3"/>
  <c r="A44" i="3"/>
  <c r="H43" i="3"/>
  <c r="G43" i="3"/>
  <c r="F43" i="3"/>
  <c r="E43" i="3"/>
  <c r="I43" i="3" s="1"/>
  <c r="D43" i="3"/>
  <c r="C43" i="3"/>
  <c r="B43" i="3"/>
  <c r="A43" i="3"/>
  <c r="H42" i="3"/>
  <c r="G42" i="3"/>
  <c r="F42" i="3"/>
  <c r="E42" i="3"/>
  <c r="I42" i="3" s="1"/>
  <c r="D42" i="3"/>
  <c r="C42" i="3"/>
  <c r="B42" i="3"/>
  <c r="A42" i="3"/>
  <c r="H41" i="3"/>
  <c r="G41" i="3"/>
  <c r="F41" i="3"/>
  <c r="E41" i="3"/>
  <c r="I41" i="3" s="1"/>
  <c r="D41" i="3"/>
  <c r="C41" i="3"/>
  <c r="B41" i="3"/>
  <c r="A41" i="3"/>
  <c r="H40" i="3"/>
  <c r="G40" i="3"/>
  <c r="F40" i="3"/>
  <c r="E40" i="3"/>
  <c r="I40" i="3" s="1"/>
  <c r="D40" i="3"/>
  <c r="C40" i="3"/>
  <c r="B40" i="3"/>
  <c r="A40" i="3"/>
  <c r="H39" i="3"/>
  <c r="G39" i="3"/>
  <c r="F39" i="3"/>
  <c r="E39" i="3"/>
  <c r="I39" i="3" s="1"/>
  <c r="D39" i="3"/>
  <c r="C39" i="3"/>
  <c r="B39" i="3"/>
  <c r="A39" i="3"/>
  <c r="H38" i="3"/>
  <c r="G38" i="3"/>
  <c r="F38" i="3"/>
  <c r="E38" i="3"/>
  <c r="I38" i="3" s="1"/>
  <c r="D38" i="3"/>
  <c r="C38" i="3"/>
  <c r="B38" i="3"/>
  <c r="A38" i="3"/>
  <c r="H37" i="3"/>
  <c r="G37" i="3"/>
  <c r="F37" i="3"/>
  <c r="E37" i="3"/>
  <c r="I37" i="3" s="1"/>
  <c r="D37" i="3"/>
  <c r="C37" i="3"/>
  <c r="B37" i="3"/>
  <c r="A37" i="3"/>
  <c r="H36" i="3"/>
  <c r="G36" i="3"/>
  <c r="F36" i="3"/>
  <c r="E36" i="3"/>
  <c r="I36" i="3" s="1"/>
  <c r="D36" i="3"/>
  <c r="C36" i="3"/>
  <c r="B36" i="3"/>
  <c r="A36" i="3"/>
  <c r="H35" i="3"/>
  <c r="G35" i="3"/>
  <c r="F35" i="3"/>
  <c r="E35" i="3"/>
  <c r="I35" i="3" s="1"/>
  <c r="D35" i="3"/>
  <c r="C35" i="3"/>
  <c r="B35" i="3"/>
  <c r="A35" i="3"/>
  <c r="H34" i="3"/>
  <c r="G34" i="3"/>
  <c r="F34" i="3"/>
  <c r="E34" i="3"/>
  <c r="I34" i="3" s="1"/>
  <c r="D34" i="3"/>
  <c r="C34" i="3"/>
  <c r="B34" i="3"/>
  <c r="A34" i="3"/>
  <c r="H33" i="3"/>
  <c r="G33" i="3"/>
  <c r="F33" i="3"/>
  <c r="E33" i="3"/>
  <c r="I33" i="3" s="1"/>
  <c r="D33" i="3"/>
  <c r="C33" i="3"/>
  <c r="B33" i="3"/>
  <c r="A33" i="3"/>
  <c r="H32" i="3"/>
  <c r="G32" i="3"/>
  <c r="F32" i="3"/>
  <c r="E32" i="3"/>
  <c r="I32" i="3" s="1"/>
  <c r="D32" i="3"/>
  <c r="C32" i="3"/>
  <c r="B32" i="3"/>
  <c r="A32" i="3"/>
  <c r="H31" i="3"/>
  <c r="G31" i="3"/>
  <c r="F31" i="3"/>
  <c r="E31" i="3"/>
  <c r="I31" i="3" s="1"/>
  <c r="D31" i="3"/>
  <c r="C31" i="3"/>
  <c r="B31" i="3"/>
  <c r="A31" i="3"/>
  <c r="H30" i="3"/>
  <c r="G30" i="3"/>
  <c r="F30" i="3"/>
  <c r="E30" i="3"/>
  <c r="I30" i="3" s="1"/>
  <c r="D30" i="3"/>
  <c r="C30" i="3"/>
  <c r="B30" i="3"/>
  <c r="A30" i="3"/>
  <c r="H29" i="3"/>
  <c r="G29" i="3"/>
  <c r="F29" i="3"/>
  <c r="E29" i="3"/>
  <c r="I29" i="3" s="1"/>
  <c r="D29" i="3"/>
  <c r="C29" i="3"/>
  <c r="B29" i="3"/>
  <c r="A29" i="3"/>
  <c r="H28" i="3"/>
  <c r="G28" i="3"/>
  <c r="F28" i="3"/>
  <c r="E28" i="3"/>
  <c r="I28" i="3" s="1"/>
  <c r="D28" i="3"/>
  <c r="C28" i="3"/>
  <c r="B28" i="3"/>
  <c r="A28" i="3"/>
  <c r="H27" i="3"/>
  <c r="G27" i="3"/>
  <c r="F27" i="3"/>
  <c r="E27" i="3"/>
  <c r="I27" i="3" s="1"/>
  <c r="D27" i="3"/>
  <c r="C27" i="3"/>
  <c r="B27" i="3"/>
  <c r="A27" i="3"/>
  <c r="H26" i="3"/>
  <c r="G26" i="3"/>
  <c r="F26" i="3"/>
  <c r="E26" i="3"/>
  <c r="I26" i="3" s="1"/>
  <c r="D26" i="3"/>
  <c r="C26" i="3"/>
  <c r="B26" i="3"/>
  <c r="A26" i="3"/>
  <c r="H25" i="3"/>
  <c r="G25" i="3"/>
  <c r="F25" i="3"/>
  <c r="E25" i="3"/>
  <c r="I25" i="3" s="1"/>
  <c r="D25" i="3"/>
  <c r="C25" i="3"/>
  <c r="B25" i="3"/>
  <c r="A25" i="3"/>
  <c r="H24" i="3"/>
  <c r="G24" i="3"/>
  <c r="F24" i="3"/>
  <c r="E24" i="3"/>
  <c r="I24" i="3" s="1"/>
  <c r="D24" i="3"/>
  <c r="C24" i="3"/>
  <c r="B24" i="3"/>
  <c r="A24" i="3"/>
  <c r="H23" i="3"/>
  <c r="G23" i="3"/>
  <c r="F23" i="3"/>
  <c r="E23" i="3"/>
  <c r="I23" i="3" s="1"/>
  <c r="D23" i="3"/>
  <c r="C23" i="3"/>
  <c r="B23" i="3"/>
  <c r="A23" i="3"/>
  <c r="H22" i="3"/>
  <c r="G22" i="3"/>
  <c r="F22" i="3"/>
  <c r="E22" i="3"/>
  <c r="I22" i="3" s="1"/>
  <c r="D22" i="3"/>
  <c r="C22" i="3"/>
  <c r="B22" i="3"/>
  <c r="A22" i="3"/>
  <c r="H21" i="3"/>
  <c r="G21" i="3"/>
  <c r="F21" i="3"/>
  <c r="E21" i="3"/>
  <c r="I21" i="3" s="1"/>
  <c r="D21" i="3"/>
  <c r="C21" i="3"/>
  <c r="B21" i="3"/>
  <c r="A21" i="3"/>
  <c r="H20" i="3"/>
  <c r="G20" i="3"/>
  <c r="F20" i="3"/>
  <c r="E20" i="3"/>
  <c r="I20" i="3" s="1"/>
  <c r="D20" i="3"/>
  <c r="C20" i="3"/>
  <c r="B20" i="3"/>
  <c r="A20" i="3"/>
  <c r="H19" i="3"/>
  <c r="G19" i="3"/>
  <c r="F19" i="3"/>
  <c r="E19" i="3"/>
  <c r="I19" i="3" s="1"/>
  <c r="D19" i="3"/>
  <c r="C19" i="3"/>
  <c r="B19" i="3"/>
  <c r="A19" i="3"/>
  <c r="H18" i="3"/>
  <c r="G18" i="3"/>
  <c r="F18" i="3"/>
  <c r="E18" i="3"/>
  <c r="I18" i="3" s="1"/>
  <c r="D18" i="3"/>
  <c r="C18" i="3"/>
  <c r="B18" i="3"/>
  <c r="A18" i="3"/>
  <c r="H17" i="3"/>
  <c r="G17" i="3"/>
  <c r="F17" i="3"/>
  <c r="E17" i="3"/>
  <c r="I17" i="3" s="1"/>
  <c r="D17" i="3"/>
  <c r="C17" i="3"/>
  <c r="B17" i="3"/>
  <c r="A17" i="3"/>
  <c r="H16" i="3"/>
  <c r="G16" i="3"/>
  <c r="F16" i="3"/>
  <c r="E16" i="3"/>
  <c r="I16" i="3" s="1"/>
  <c r="D16" i="3"/>
  <c r="C16" i="3"/>
  <c r="B16" i="3"/>
  <c r="A16" i="3"/>
  <c r="H15" i="3"/>
  <c r="G15" i="3"/>
  <c r="F15" i="3"/>
  <c r="E15" i="3"/>
  <c r="I15" i="3" s="1"/>
  <c r="D15" i="3"/>
  <c r="C15" i="3"/>
  <c r="B15" i="3"/>
  <c r="A15" i="3"/>
  <c r="H14" i="3"/>
  <c r="G14" i="3"/>
  <c r="F14" i="3"/>
  <c r="E14" i="3"/>
  <c r="I14" i="3" s="1"/>
  <c r="D14" i="3"/>
  <c r="C14" i="3"/>
  <c r="B14" i="3"/>
  <c r="A14" i="3"/>
  <c r="H13" i="3"/>
  <c r="G13" i="3"/>
  <c r="F13" i="3"/>
  <c r="E13" i="3"/>
  <c r="I13" i="3" s="1"/>
  <c r="D13" i="3"/>
  <c r="C13" i="3"/>
  <c r="B13" i="3"/>
  <c r="A13" i="3"/>
  <c r="H12" i="3"/>
  <c r="G12" i="3"/>
  <c r="F12" i="3"/>
  <c r="E12" i="3"/>
  <c r="I12" i="3" s="1"/>
  <c r="D12" i="3"/>
  <c r="C12" i="3"/>
  <c r="B12" i="3"/>
  <c r="A12" i="3"/>
  <c r="H11" i="3"/>
  <c r="G11" i="3"/>
  <c r="F11" i="3"/>
  <c r="E11" i="3"/>
  <c r="I11" i="3" s="1"/>
  <c r="D11" i="3"/>
  <c r="C11" i="3"/>
  <c r="B11" i="3"/>
  <c r="A11" i="3"/>
  <c r="H10" i="3"/>
  <c r="G10" i="3"/>
  <c r="F10" i="3"/>
  <c r="E10" i="3"/>
  <c r="I10" i="3" s="1"/>
  <c r="D10" i="3"/>
  <c r="C10" i="3"/>
  <c r="B10" i="3"/>
  <c r="A10" i="3"/>
  <c r="H9" i="3"/>
  <c r="G9" i="3"/>
  <c r="F9" i="3"/>
  <c r="E9" i="3"/>
  <c r="I9" i="3" s="1"/>
  <c r="D9" i="3"/>
  <c r="C9" i="3"/>
  <c r="B9" i="3"/>
  <c r="A9" i="3"/>
  <c r="H8" i="3"/>
  <c r="G8" i="3"/>
  <c r="F8" i="3"/>
  <c r="E8" i="3"/>
  <c r="I8" i="3" s="1"/>
  <c r="D8" i="3"/>
  <c r="C8" i="3"/>
  <c r="B8" i="3"/>
  <c r="A8" i="3"/>
  <c r="P7" i="3"/>
  <c r="H7" i="3"/>
  <c r="G7" i="3"/>
  <c r="F7" i="3"/>
  <c r="E7" i="3"/>
  <c r="I7" i="3" s="1"/>
  <c r="D7" i="3"/>
  <c r="C7" i="3"/>
  <c r="B7" i="3"/>
  <c r="A7" i="3"/>
  <c r="P6" i="3"/>
  <c r="H6" i="3"/>
  <c r="G6" i="3"/>
  <c r="F6" i="3"/>
  <c r="E6" i="3"/>
  <c r="I6" i="3" s="1"/>
  <c r="D6" i="3"/>
  <c r="C6" i="3"/>
  <c r="B6" i="3"/>
  <c r="A6" i="3"/>
  <c r="P5" i="3"/>
  <c r="H5" i="3"/>
  <c r="G5" i="3"/>
  <c r="F5" i="3"/>
  <c r="E5" i="3"/>
  <c r="I5" i="3" s="1"/>
  <c r="D5" i="3"/>
  <c r="C5" i="3"/>
  <c r="B5" i="3"/>
  <c r="A5" i="3"/>
  <c r="H4" i="3"/>
  <c r="G4" i="3"/>
  <c r="F4" i="3"/>
  <c r="E4" i="3"/>
  <c r="I4" i="3" s="1"/>
  <c r="D4" i="3"/>
  <c r="C4" i="3"/>
  <c r="B4" i="3"/>
  <c r="A4" i="3"/>
  <c r="H3" i="3"/>
  <c r="G3" i="3"/>
  <c r="F3" i="3"/>
  <c r="E3" i="3"/>
  <c r="I3" i="3" s="1"/>
  <c r="D3" i="3"/>
  <c r="C3" i="3"/>
  <c r="B3" i="3"/>
  <c r="A3" i="3"/>
  <c r="H2" i="3"/>
  <c r="G2" i="3"/>
  <c r="F2" i="3"/>
  <c r="E2" i="3"/>
  <c r="I2" i="3" s="1"/>
  <c r="D2" i="3"/>
  <c r="C2" i="3"/>
  <c r="B2" i="3"/>
  <c r="A2" i="3"/>
  <c r="J961" i="3" l="1"/>
  <c r="L961" i="3"/>
  <c r="M961" i="3"/>
  <c r="K961" i="3"/>
  <c r="J960" i="3"/>
  <c r="M960" i="3"/>
  <c r="K960" i="3"/>
  <c r="L960" i="3"/>
  <c r="K959" i="3"/>
  <c r="M959" i="3"/>
  <c r="J959" i="3"/>
  <c r="L959" i="3"/>
  <c r="K958" i="3"/>
  <c r="M958" i="3"/>
  <c r="J958" i="3"/>
  <c r="L958" i="3"/>
  <c r="K957" i="3"/>
  <c r="M957" i="3"/>
  <c r="J957" i="3"/>
  <c r="L957" i="3"/>
  <c r="K956" i="3"/>
  <c r="M956" i="3"/>
  <c r="J956" i="3"/>
  <c r="L956" i="3"/>
  <c r="K955" i="3"/>
  <c r="M955" i="3"/>
  <c r="J955" i="3"/>
  <c r="L955" i="3"/>
  <c r="K954" i="3"/>
  <c r="M954" i="3"/>
  <c r="J954" i="3"/>
  <c r="L954" i="3"/>
  <c r="K953" i="3"/>
  <c r="M953" i="3"/>
  <c r="J953" i="3"/>
  <c r="L953" i="3"/>
  <c r="K952" i="3"/>
  <c r="J952" i="3"/>
  <c r="L952" i="3"/>
  <c r="M952" i="3"/>
  <c r="K951" i="3"/>
  <c r="M951" i="3"/>
  <c r="J951" i="3"/>
  <c r="L951" i="3"/>
  <c r="K950" i="3"/>
  <c r="J950" i="3"/>
  <c r="L950" i="3"/>
  <c r="M950" i="3"/>
  <c r="K949" i="3"/>
  <c r="L949" i="3"/>
  <c r="J949" i="3"/>
  <c r="M949" i="3"/>
  <c r="L948" i="3"/>
  <c r="J948" i="3"/>
  <c r="K948" i="3"/>
  <c r="M948" i="3"/>
  <c r="K947" i="3"/>
  <c r="M947" i="3"/>
  <c r="J947" i="3"/>
  <c r="L947" i="3"/>
  <c r="K946" i="3"/>
  <c r="M946" i="3"/>
  <c r="J946" i="3"/>
  <c r="L946" i="3"/>
  <c r="K945" i="3"/>
  <c r="M945" i="3"/>
  <c r="J945" i="3"/>
  <c r="L945" i="3"/>
  <c r="K944" i="3"/>
  <c r="M944" i="3"/>
  <c r="J944" i="3"/>
  <c r="L944" i="3"/>
  <c r="K943" i="3"/>
  <c r="M943" i="3"/>
  <c r="J943" i="3"/>
  <c r="L943" i="3"/>
  <c r="K942" i="3"/>
  <c r="M942" i="3"/>
  <c r="J942" i="3"/>
  <c r="L942" i="3"/>
  <c r="K941" i="3"/>
  <c r="M941" i="3"/>
  <c r="J941" i="3"/>
  <c r="L941" i="3"/>
  <c r="K940" i="3"/>
  <c r="L940" i="3"/>
  <c r="J940" i="3"/>
  <c r="M940" i="3"/>
  <c r="K939" i="3"/>
  <c r="L939" i="3"/>
  <c r="J939" i="3"/>
  <c r="M939" i="3"/>
  <c r="K938" i="3"/>
  <c r="L938" i="3"/>
  <c r="J938" i="3"/>
  <c r="M938" i="3"/>
  <c r="K937" i="3"/>
  <c r="M937" i="3"/>
  <c r="J937" i="3"/>
  <c r="L937" i="3"/>
  <c r="K936" i="3"/>
  <c r="M936" i="3"/>
  <c r="J936" i="3"/>
  <c r="L936" i="3"/>
  <c r="L935" i="3"/>
  <c r="J935" i="3"/>
  <c r="K935" i="3"/>
  <c r="M935" i="3"/>
  <c r="K934" i="3"/>
  <c r="M934" i="3"/>
  <c r="J934" i="3"/>
  <c r="L934" i="3"/>
  <c r="L933" i="3"/>
  <c r="J933" i="3"/>
  <c r="K933" i="3"/>
  <c r="M933" i="3"/>
  <c r="K932" i="3"/>
  <c r="M932" i="3"/>
  <c r="J932" i="3"/>
  <c r="L932" i="3"/>
  <c r="L931" i="3"/>
  <c r="K931" i="3"/>
  <c r="J931" i="3"/>
  <c r="M931" i="3"/>
  <c r="K930" i="3"/>
  <c r="M930" i="3"/>
  <c r="J930" i="3"/>
  <c r="L930" i="3"/>
  <c r="K929" i="3"/>
  <c r="L929" i="3"/>
  <c r="M929" i="3"/>
  <c r="J929" i="3"/>
  <c r="K928" i="3"/>
  <c r="M928" i="3"/>
  <c r="J928" i="3"/>
  <c r="L928" i="3"/>
  <c r="J927" i="3"/>
  <c r="M927" i="3"/>
  <c r="L927" i="3"/>
  <c r="K927" i="3"/>
  <c r="M926" i="3"/>
  <c r="L926" i="3"/>
  <c r="J926" i="3"/>
  <c r="K926" i="3"/>
  <c r="M925" i="3"/>
  <c r="J925" i="3"/>
  <c r="L925" i="3"/>
  <c r="K925" i="3"/>
  <c r="J924" i="3"/>
  <c r="L924" i="3"/>
  <c r="K924" i="3"/>
  <c r="M924" i="3"/>
  <c r="M923" i="3"/>
  <c r="J923" i="3"/>
  <c r="L923" i="3"/>
  <c r="K923" i="3"/>
  <c r="L922" i="3"/>
  <c r="J922" i="3"/>
  <c r="M922" i="3"/>
  <c r="K922" i="3"/>
  <c r="J921" i="3"/>
  <c r="M921" i="3"/>
  <c r="L921" i="3"/>
  <c r="K921" i="3"/>
  <c r="L920" i="3"/>
  <c r="J920" i="3"/>
  <c r="K920" i="3"/>
  <c r="M920" i="3"/>
  <c r="J919" i="3"/>
  <c r="M919" i="3"/>
  <c r="K919" i="3"/>
  <c r="L919" i="3"/>
  <c r="J918" i="3"/>
  <c r="L918" i="3"/>
  <c r="M918" i="3"/>
  <c r="K918" i="3"/>
  <c r="M917" i="3"/>
  <c r="K917" i="3"/>
  <c r="J917" i="3"/>
  <c r="L917" i="3"/>
  <c r="K916" i="3"/>
  <c r="M916" i="3"/>
  <c r="J916" i="3"/>
  <c r="L916" i="3"/>
  <c r="M915" i="3"/>
  <c r="L915" i="3"/>
  <c r="K915" i="3"/>
  <c r="J915" i="3"/>
  <c r="K914" i="3"/>
  <c r="L914" i="3"/>
  <c r="M914" i="3"/>
  <c r="J914" i="3"/>
  <c r="M913" i="3"/>
  <c r="L913" i="3"/>
  <c r="J913" i="3"/>
  <c r="K913" i="3"/>
  <c r="J912" i="3"/>
  <c r="K912" i="3"/>
  <c r="M912" i="3"/>
  <c r="L912" i="3"/>
  <c r="L911" i="3"/>
  <c r="J911" i="3"/>
  <c r="K911" i="3"/>
  <c r="M911" i="3"/>
  <c r="L910" i="3"/>
  <c r="J910" i="3"/>
  <c r="K910" i="3"/>
  <c r="M910" i="3"/>
  <c r="L909" i="3"/>
  <c r="K909" i="3"/>
  <c r="J909" i="3"/>
  <c r="M909" i="3"/>
  <c r="K908" i="3"/>
  <c r="J908" i="3"/>
  <c r="L908" i="3"/>
  <c r="M908" i="3"/>
  <c r="J907" i="3"/>
  <c r="M907" i="3"/>
  <c r="L907" i="3"/>
  <c r="K907" i="3"/>
  <c r="M906" i="3"/>
  <c r="K906" i="3"/>
  <c r="J906" i="3"/>
  <c r="L906" i="3"/>
  <c r="M905" i="3"/>
  <c r="K905" i="3"/>
  <c r="J905" i="3"/>
  <c r="L905" i="3"/>
  <c r="L904" i="3"/>
  <c r="J904" i="3"/>
  <c r="M904" i="3"/>
  <c r="K904" i="3"/>
  <c r="M903" i="3"/>
  <c r="J903" i="3"/>
  <c r="K903" i="3"/>
  <c r="L903" i="3"/>
  <c r="K902" i="3"/>
  <c r="J902" i="3"/>
  <c r="M902" i="3"/>
  <c r="L902" i="3"/>
  <c r="K901" i="3"/>
  <c r="J901" i="3"/>
  <c r="L901" i="3"/>
  <c r="M901" i="3"/>
  <c r="K900" i="3"/>
  <c r="M900" i="3"/>
  <c r="L900" i="3"/>
  <c r="J900" i="3"/>
  <c r="B15" i="4"/>
  <c r="B17" i="4"/>
  <c r="B14" i="4"/>
  <c r="B18" i="4"/>
  <c r="B16" i="4"/>
  <c r="J899" i="3"/>
  <c r="M899" i="3"/>
  <c r="L899" i="3"/>
  <c r="K899" i="3"/>
  <c r="J898" i="3"/>
  <c r="K898" i="3"/>
  <c r="L898" i="3"/>
  <c r="M898" i="3"/>
  <c r="J897" i="3"/>
  <c r="K897" i="3"/>
  <c r="L897" i="3"/>
  <c r="M897" i="3"/>
  <c r="J896" i="3"/>
  <c r="K896" i="3"/>
  <c r="L896" i="3"/>
  <c r="M896" i="3"/>
  <c r="J895" i="3"/>
  <c r="K895" i="3"/>
  <c r="L895" i="3"/>
  <c r="M895" i="3"/>
  <c r="J894" i="3"/>
  <c r="K894" i="3"/>
  <c r="L894" i="3"/>
  <c r="M894" i="3"/>
  <c r="J893" i="3"/>
  <c r="K893" i="3"/>
  <c r="L893" i="3"/>
  <c r="M893" i="3"/>
  <c r="J892" i="3"/>
  <c r="K892" i="3"/>
  <c r="L892" i="3"/>
  <c r="M892" i="3"/>
  <c r="J891" i="3"/>
  <c r="K891" i="3"/>
  <c r="L891" i="3"/>
  <c r="M891" i="3"/>
  <c r="J890" i="3"/>
  <c r="K890" i="3"/>
  <c r="L890" i="3"/>
  <c r="M890" i="3"/>
  <c r="J889" i="3"/>
  <c r="K889" i="3"/>
  <c r="L889" i="3"/>
  <c r="M889" i="3"/>
  <c r="J888" i="3"/>
  <c r="K888" i="3"/>
  <c r="L888" i="3"/>
  <c r="M888" i="3"/>
  <c r="J887" i="3"/>
  <c r="K887" i="3"/>
  <c r="L887" i="3"/>
  <c r="M887" i="3"/>
  <c r="J886" i="3"/>
  <c r="K886" i="3"/>
  <c r="L886" i="3"/>
  <c r="M886" i="3"/>
  <c r="J885" i="3"/>
  <c r="K885" i="3"/>
  <c r="L885" i="3"/>
  <c r="M885" i="3"/>
  <c r="J884" i="3"/>
  <c r="K884" i="3"/>
  <c r="L884" i="3"/>
  <c r="M884" i="3"/>
  <c r="J883" i="3"/>
  <c r="K883" i="3"/>
  <c r="L883" i="3"/>
  <c r="M883" i="3"/>
  <c r="J882" i="3"/>
  <c r="K882" i="3"/>
  <c r="L882" i="3"/>
  <c r="M882" i="3"/>
  <c r="J881" i="3"/>
  <c r="K881" i="3"/>
  <c r="L881" i="3"/>
  <c r="M881" i="3"/>
  <c r="J880" i="3"/>
  <c r="K880" i="3"/>
  <c r="L880" i="3"/>
  <c r="M880" i="3"/>
  <c r="J879" i="3"/>
  <c r="K879" i="3"/>
  <c r="L879" i="3"/>
  <c r="M879" i="3"/>
  <c r="J878" i="3"/>
  <c r="K878" i="3"/>
  <c r="L878" i="3"/>
  <c r="M878" i="3"/>
  <c r="J877" i="3"/>
  <c r="K877" i="3"/>
  <c r="L877" i="3"/>
  <c r="M877" i="3"/>
  <c r="J876" i="3"/>
  <c r="K876" i="3"/>
  <c r="L876" i="3"/>
  <c r="M876" i="3"/>
  <c r="J875" i="3"/>
  <c r="K875" i="3"/>
  <c r="L875" i="3"/>
  <c r="M875" i="3"/>
  <c r="J874" i="3"/>
  <c r="K874" i="3"/>
  <c r="L874" i="3"/>
  <c r="M874" i="3"/>
  <c r="J873" i="3"/>
  <c r="K873" i="3"/>
  <c r="L873" i="3"/>
  <c r="M873" i="3"/>
  <c r="J872" i="3"/>
  <c r="K872" i="3"/>
  <c r="L872" i="3"/>
  <c r="M872" i="3"/>
  <c r="J871" i="3"/>
  <c r="K871" i="3"/>
  <c r="L871" i="3"/>
  <c r="M871" i="3"/>
  <c r="J870" i="3"/>
  <c r="K870" i="3"/>
  <c r="L870" i="3"/>
  <c r="M870" i="3"/>
  <c r="J869" i="3"/>
  <c r="K869" i="3"/>
  <c r="L869" i="3"/>
  <c r="M869" i="3"/>
  <c r="J868" i="3"/>
  <c r="K868" i="3"/>
  <c r="L868" i="3"/>
  <c r="M868" i="3"/>
  <c r="J867" i="3"/>
  <c r="K867" i="3"/>
  <c r="L867" i="3"/>
  <c r="M867" i="3"/>
  <c r="J866" i="3"/>
  <c r="K866" i="3"/>
  <c r="L866" i="3"/>
  <c r="M866" i="3"/>
  <c r="J865" i="3"/>
  <c r="K865" i="3"/>
  <c r="L865" i="3"/>
  <c r="M865" i="3"/>
  <c r="J864" i="3"/>
  <c r="K864" i="3"/>
  <c r="L864" i="3"/>
  <c r="M864" i="3"/>
  <c r="J863" i="3"/>
  <c r="K863" i="3"/>
  <c r="L863" i="3"/>
  <c r="M863" i="3"/>
  <c r="J862" i="3"/>
  <c r="K862" i="3"/>
  <c r="L862" i="3"/>
  <c r="M862" i="3"/>
  <c r="J861" i="3"/>
  <c r="K861" i="3"/>
  <c r="L861" i="3"/>
  <c r="M861" i="3"/>
  <c r="J860" i="3"/>
  <c r="K860" i="3"/>
  <c r="L860" i="3"/>
  <c r="M860" i="3"/>
  <c r="J859" i="3"/>
  <c r="K859" i="3"/>
  <c r="L859" i="3"/>
  <c r="M859" i="3"/>
  <c r="J858" i="3"/>
  <c r="K858" i="3"/>
  <c r="L858" i="3"/>
  <c r="M858" i="3"/>
  <c r="J857" i="3"/>
  <c r="K857" i="3"/>
  <c r="L857" i="3"/>
  <c r="M857" i="3"/>
  <c r="J856" i="3"/>
  <c r="K856" i="3"/>
  <c r="L856" i="3"/>
  <c r="M856" i="3"/>
  <c r="J855" i="3"/>
  <c r="K855" i="3"/>
  <c r="L855" i="3"/>
  <c r="M855" i="3"/>
  <c r="J854" i="3"/>
  <c r="K854" i="3"/>
  <c r="L854" i="3"/>
  <c r="M854" i="3"/>
  <c r="J853" i="3"/>
  <c r="K853" i="3"/>
  <c r="L853" i="3"/>
  <c r="M853" i="3"/>
  <c r="J852" i="3"/>
  <c r="K852" i="3"/>
  <c r="L852" i="3"/>
  <c r="M852" i="3"/>
  <c r="J851" i="3"/>
  <c r="K851" i="3"/>
  <c r="L851" i="3"/>
  <c r="M851" i="3"/>
  <c r="J850" i="3"/>
  <c r="K850" i="3"/>
  <c r="L850" i="3"/>
  <c r="M850" i="3"/>
  <c r="J849" i="3"/>
  <c r="K849" i="3"/>
  <c r="L849" i="3"/>
  <c r="M849" i="3"/>
  <c r="J848" i="3"/>
  <c r="K848" i="3"/>
  <c r="L848" i="3"/>
  <c r="M848" i="3"/>
  <c r="J847" i="3"/>
  <c r="K847" i="3"/>
  <c r="L847" i="3"/>
  <c r="M847" i="3"/>
  <c r="J846" i="3"/>
  <c r="K846" i="3"/>
  <c r="L846" i="3"/>
  <c r="M846" i="3"/>
  <c r="J845" i="3"/>
  <c r="K845" i="3"/>
  <c r="L845" i="3"/>
  <c r="M845" i="3"/>
  <c r="J844" i="3"/>
  <c r="K844" i="3"/>
  <c r="L844" i="3"/>
  <c r="M844" i="3"/>
  <c r="J843" i="3"/>
  <c r="K843" i="3"/>
  <c r="L843" i="3"/>
  <c r="M843" i="3"/>
  <c r="J842" i="3"/>
  <c r="K842" i="3"/>
  <c r="L842" i="3"/>
  <c r="M842" i="3"/>
  <c r="J841" i="3"/>
  <c r="K841" i="3"/>
  <c r="L841" i="3"/>
  <c r="M841" i="3"/>
  <c r="J840" i="3"/>
  <c r="K840" i="3"/>
  <c r="L840" i="3"/>
  <c r="M840" i="3"/>
  <c r="J839" i="3"/>
  <c r="K839" i="3"/>
  <c r="L839" i="3"/>
  <c r="M839" i="3"/>
  <c r="J838" i="3"/>
  <c r="K838" i="3"/>
  <c r="L838" i="3"/>
  <c r="M838" i="3"/>
  <c r="J837" i="3"/>
  <c r="K837" i="3"/>
  <c r="L837" i="3"/>
  <c r="M837" i="3"/>
  <c r="J836" i="3"/>
  <c r="K836" i="3"/>
  <c r="L836" i="3"/>
  <c r="M836" i="3"/>
  <c r="J835" i="3"/>
  <c r="K835" i="3"/>
  <c r="L835" i="3"/>
  <c r="M835" i="3"/>
  <c r="J834" i="3"/>
  <c r="K834" i="3"/>
  <c r="L834" i="3"/>
  <c r="M834" i="3"/>
  <c r="J833" i="3"/>
  <c r="K833" i="3"/>
  <c r="L833" i="3"/>
  <c r="M833" i="3"/>
  <c r="J832" i="3"/>
  <c r="K832" i="3"/>
  <c r="L832" i="3"/>
  <c r="M832" i="3"/>
  <c r="J831" i="3"/>
  <c r="K831" i="3"/>
  <c r="L831" i="3"/>
  <c r="M831" i="3"/>
  <c r="J830" i="3"/>
  <c r="K830" i="3"/>
  <c r="L830" i="3"/>
  <c r="M830" i="3"/>
  <c r="J829" i="3"/>
  <c r="K829" i="3"/>
  <c r="L829" i="3"/>
  <c r="M829" i="3"/>
  <c r="J828" i="3"/>
  <c r="K828" i="3"/>
  <c r="L828" i="3"/>
  <c r="M828" i="3"/>
  <c r="J827" i="3"/>
  <c r="K827" i="3"/>
  <c r="L827" i="3"/>
  <c r="M827" i="3"/>
  <c r="J826" i="3"/>
  <c r="K826" i="3"/>
  <c r="L826" i="3"/>
  <c r="M826" i="3"/>
  <c r="J825" i="3"/>
  <c r="K825" i="3"/>
  <c r="L825" i="3"/>
  <c r="M825" i="3"/>
  <c r="J824" i="3"/>
  <c r="K824" i="3"/>
  <c r="L824" i="3"/>
  <c r="M824" i="3"/>
  <c r="J823" i="3"/>
  <c r="K823" i="3"/>
  <c r="L823" i="3"/>
  <c r="M823" i="3"/>
  <c r="J822" i="3"/>
  <c r="K822" i="3"/>
  <c r="L822" i="3"/>
  <c r="M822" i="3"/>
  <c r="J821" i="3"/>
  <c r="K821" i="3"/>
  <c r="L821" i="3"/>
  <c r="M821" i="3"/>
  <c r="J820" i="3"/>
  <c r="K820" i="3"/>
  <c r="L820" i="3"/>
  <c r="M820" i="3"/>
  <c r="J819" i="3"/>
  <c r="K819" i="3"/>
  <c r="L819" i="3"/>
  <c r="M819" i="3"/>
  <c r="J818" i="3"/>
  <c r="K818" i="3"/>
  <c r="L818" i="3"/>
  <c r="M818" i="3"/>
  <c r="J817" i="3"/>
  <c r="K817" i="3"/>
  <c r="L817" i="3"/>
  <c r="M817" i="3"/>
  <c r="J816" i="3"/>
  <c r="K816" i="3"/>
  <c r="L816" i="3"/>
  <c r="M816" i="3"/>
  <c r="J815" i="3"/>
  <c r="K815" i="3"/>
  <c r="L815" i="3"/>
  <c r="M815" i="3"/>
  <c r="J814" i="3"/>
  <c r="K814" i="3"/>
  <c r="L814" i="3"/>
  <c r="M814" i="3"/>
  <c r="J813" i="3"/>
  <c r="K813" i="3"/>
  <c r="L813" i="3"/>
  <c r="M813" i="3"/>
  <c r="J812" i="3"/>
  <c r="K812" i="3"/>
  <c r="L812" i="3"/>
  <c r="M812" i="3"/>
  <c r="J811" i="3"/>
  <c r="K811" i="3"/>
  <c r="L811" i="3"/>
  <c r="M811" i="3"/>
  <c r="J810" i="3"/>
  <c r="K810" i="3"/>
  <c r="L810" i="3"/>
  <c r="M810" i="3"/>
  <c r="J809" i="3"/>
  <c r="K809" i="3"/>
  <c r="L809" i="3"/>
  <c r="M809" i="3"/>
  <c r="J808" i="3"/>
  <c r="K808" i="3"/>
  <c r="L808" i="3"/>
  <c r="M808" i="3"/>
  <c r="J807" i="3"/>
  <c r="K807" i="3"/>
  <c r="L807" i="3"/>
  <c r="M807" i="3"/>
  <c r="J806" i="3"/>
  <c r="K806" i="3"/>
  <c r="L806" i="3"/>
  <c r="M806" i="3"/>
  <c r="J805" i="3"/>
  <c r="K805" i="3"/>
  <c r="L805" i="3"/>
  <c r="M805" i="3"/>
  <c r="J804" i="3"/>
  <c r="K804" i="3"/>
  <c r="L804" i="3"/>
  <c r="M804" i="3"/>
  <c r="J803" i="3"/>
  <c r="K803" i="3"/>
  <c r="L803" i="3"/>
  <c r="M803" i="3"/>
  <c r="J802" i="3"/>
  <c r="K802" i="3"/>
  <c r="L802" i="3"/>
  <c r="M802" i="3"/>
  <c r="J801" i="3"/>
  <c r="K801" i="3"/>
  <c r="L801" i="3"/>
  <c r="M801" i="3"/>
  <c r="J800" i="3"/>
  <c r="K800" i="3"/>
  <c r="L800" i="3"/>
  <c r="M800" i="3"/>
  <c r="J799" i="3"/>
  <c r="K799" i="3"/>
  <c r="L799" i="3"/>
  <c r="M799" i="3"/>
  <c r="J798" i="3"/>
  <c r="K798" i="3"/>
  <c r="L798" i="3"/>
  <c r="M798" i="3"/>
  <c r="J797" i="3"/>
  <c r="K797" i="3"/>
  <c r="L797" i="3"/>
  <c r="M797" i="3"/>
  <c r="J796" i="3"/>
  <c r="K796" i="3"/>
  <c r="L796" i="3"/>
  <c r="M796" i="3"/>
  <c r="J795" i="3"/>
  <c r="K795" i="3"/>
  <c r="L795" i="3"/>
  <c r="M795" i="3"/>
  <c r="J794" i="3"/>
  <c r="K794" i="3"/>
  <c r="L794" i="3"/>
  <c r="M794" i="3"/>
  <c r="J793" i="3"/>
  <c r="K793" i="3"/>
  <c r="L793" i="3"/>
  <c r="M793" i="3"/>
  <c r="J792" i="3"/>
  <c r="K792" i="3"/>
  <c r="L792" i="3"/>
  <c r="M792" i="3"/>
  <c r="J791" i="3"/>
  <c r="K791" i="3"/>
  <c r="L791" i="3"/>
  <c r="M791" i="3"/>
  <c r="J790" i="3"/>
  <c r="K790" i="3"/>
  <c r="L790" i="3"/>
  <c r="M790" i="3"/>
  <c r="J789" i="3"/>
  <c r="K789" i="3"/>
  <c r="L789" i="3"/>
  <c r="M789" i="3"/>
  <c r="J788" i="3"/>
  <c r="K788" i="3"/>
  <c r="L788" i="3"/>
  <c r="M788" i="3"/>
  <c r="J787" i="3"/>
  <c r="K787" i="3"/>
  <c r="L787" i="3"/>
  <c r="M787" i="3"/>
  <c r="J786" i="3"/>
  <c r="K786" i="3"/>
  <c r="L786" i="3"/>
  <c r="M786" i="3"/>
  <c r="J785" i="3"/>
  <c r="K785" i="3"/>
  <c r="L785" i="3"/>
  <c r="M785" i="3"/>
  <c r="J784" i="3"/>
  <c r="K784" i="3"/>
  <c r="L784" i="3"/>
  <c r="M784" i="3"/>
  <c r="J783" i="3"/>
  <c r="K783" i="3"/>
  <c r="L783" i="3"/>
  <c r="M783" i="3"/>
  <c r="J782" i="3"/>
  <c r="K782" i="3"/>
  <c r="L782" i="3"/>
  <c r="M782" i="3"/>
  <c r="J781" i="3"/>
  <c r="K781" i="3"/>
  <c r="L781" i="3"/>
  <c r="M781" i="3"/>
  <c r="J780" i="3"/>
  <c r="K780" i="3"/>
  <c r="L780" i="3"/>
  <c r="M780" i="3"/>
  <c r="J779" i="3"/>
  <c r="K779" i="3"/>
  <c r="L779" i="3"/>
  <c r="M779" i="3"/>
  <c r="J778" i="3"/>
  <c r="K778" i="3"/>
  <c r="L778" i="3"/>
  <c r="M778" i="3"/>
  <c r="J777" i="3"/>
  <c r="K777" i="3"/>
  <c r="L777" i="3"/>
  <c r="M777" i="3"/>
  <c r="J776" i="3"/>
  <c r="K776" i="3"/>
  <c r="L776" i="3"/>
  <c r="M776" i="3"/>
  <c r="J775" i="3"/>
  <c r="K775" i="3"/>
  <c r="L775" i="3"/>
  <c r="M775" i="3"/>
  <c r="J774" i="3"/>
  <c r="K774" i="3"/>
  <c r="L774" i="3"/>
  <c r="M774" i="3"/>
  <c r="J773" i="3"/>
  <c r="K773" i="3"/>
  <c r="L773" i="3"/>
  <c r="M773" i="3"/>
  <c r="J772" i="3"/>
  <c r="K772" i="3"/>
  <c r="L772" i="3"/>
  <c r="M772" i="3"/>
  <c r="J771" i="3"/>
  <c r="K771" i="3"/>
  <c r="L771" i="3"/>
  <c r="M771" i="3"/>
  <c r="J770" i="3"/>
  <c r="K770" i="3"/>
  <c r="L770" i="3"/>
  <c r="M770" i="3"/>
  <c r="J769" i="3"/>
  <c r="K769" i="3"/>
  <c r="L769" i="3"/>
  <c r="M769" i="3"/>
  <c r="J768" i="3"/>
  <c r="K768" i="3"/>
  <c r="L768" i="3"/>
  <c r="M768" i="3"/>
  <c r="J767" i="3"/>
  <c r="K767" i="3"/>
  <c r="L767" i="3"/>
  <c r="M767" i="3"/>
  <c r="J766" i="3"/>
  <c r="K766" i="3"/>
  <c r="L766" i="3"/>
  <c r="M766" i="3"/>
  <c r="J765" i="3"/>
  <c r="K765" i="3"/>
  <c r="L765" i="3"/>
  <c r="M765" i="3"/>
  <c r="J764" i="3"/>
  <c r="K764" i="3"/>
  <c r="L764" i="3"/>
  <c r="M764" i="3"/>
  <c r="J763" i="3"/>
  <c r="K763" i="3"/>
  <c r="L763" i="3"/>
  <c r="M763" i="3"/>
  <c r="J762" i="3"/>
  <c r="K762" i="3"/>
  <c r="L762" i="3"/>
  <c r="M762" i="3"/>
  <c r="J761" i="3"/>
  <c r="K761" i="3"/>
  <c r="L761" i="3"/>
  <c r="M761" i="3"/>
  <c r="J760" i="3"/>
  <c r="K760" i="3"/>
  <c r="L760" i="3"/>
  <c r="M760" i="3"/>
  <c r="J759" i="3"/>
  <c r="K759" i="3"/>
  <c r="L759" i="3"/>
  <c r="M759" i="3"/>
  <c r="J758" i="3"/>
  <c r="K758" i="3"/>
  <c r="L758" i="3"/>
  <c r="M758" i="3"/>
  <c r="J757" i="3"/>
  <c r="K757" i="3"/>
  <c r="L757" i="3"/>
  <c r="M757" i="3"/>
  <c r="J756" i="3"/>
  <c r="K756" i="3"/>
  <c r="L756" i="3"/>
  <c r="M756" i="3"/>
  <c r="J755" i="3"/>
  <c r="K755" i="3"/>
  <c r="L755" i="3"/>
  <c r="M755" i="3"/>
  <c r="J754" i="3"/>
  <c r="K754" i="3"/>
  <c r="L754" i="3"/>
  <c r="M754" i="3"/>
  <c r="J753" i="3"/>
  <c r="K753" i="3"/>
  <c r="L753" i="3"/>
  <c r="M753" i="3"/>
  <c r="J752" i="3"/>
  <c r="K752" i="3"/>
  <c r="L752" i="3"/>
  <c r="M752" i="3"/>
  <c r="J751" i="3"/>
  <c r="K751" i="3"/>
  <c r="L751" i="3"/>
  <c r="M751" i="3"/>
  <c r="J750" i="3"/>
  <c r="K750" i="3"/>
  <c r="L750" i="3"/>
  <c r="M750" i="3"/>
  <c r="J749" i="3"/>
  <c r="K749" i="3"/>
  <c r="L749" i="3"/>
  <c r="M749" i="3"/>
  <c r="J748" i="3"/>
  <c r="K748" i="3"/>
  <c r="L748" i="3"/>
  <c r="M748" i="3"/>
  <c r="J747" i="3"/>
  <c r="K747" i="3"/>
  <c r="L747" i="3"/>
  <c r="M747" i="3"/>
  <c r="J746" i="3"/>
  <c r="K746" i="3"/>
  <c r="L746" i="3"/>
  <c r="M746" i="3"/>
  <c r="J745" i="3"/>
  <c r="K745" i="3"/>
  <c r="L745" i="3"/>
  <c r="M745" i="3"/>
  <c r="J744" i="3"/>
  <c r="K744" i="3"/>
  <c r="L744" i="3"/>
  <c r="M744" i="3"/>
  <c r="J743" i="3"/>
  <c r="K743" i="3"/>
  <c r="L743" i="3"/>
  <c r="M743" i="3"/>
  <c r="J742" i="3"/>
  <c r="K742" i="3"/>
  <c r="L742" i="3"/>
  <c r="M742" i="3"/>
  <c r="J741" i="3"/>
  <c r="K741" i="3"/>
  <c r="L741" i="3"/>
  <c r="M741" i="3"/>
  <c r="J740" i="3"/>
  <c r="K740" i="3"/>
  <c r="L740" i="3"/>
  <c r="M740" i="3"/>
  <c r="J739" i="3"/>
  <c r="K739" i="3"/>
  <c r="L739" i="3"/>
  <c r="M739" i="3"/>
  <c r="J738" i="3"/>
  <c r="K738" i="3"/>
  <c r="L738" i="3"/>
  <c r="M738" i="3"/>
  <c r="J737" i="3"/>
  <c r="K737" i="3"/>
  <c r="L737" i="3"/>
  <c r="M737" i="3"/>
  <c r="J736" i="3"/>
  <c r="K736" i="3"/>
  <c r="L736" i="3"/>
  <c r="M736" i="3"/>
  <c r="J735" i="3"/>
  <c r="K735" i="3"/>
  <c r="L735" i="3"/>
  <c r="M735" i="3"/>
  <c r="J734" i="3"/>
  <c r="K734" i="3"/>
  <c r="L734" i="3"/>
  <c r="M734" i="3"/>
  <c r="J733" i="3"/>
  <c r="K733" i="3"/>
  <c r="L733" i="3"/>
  <c r="M733" i="3"/>
  <c r="L732" i="3"/>
  <c r="J732" i="3"/>
  <c r="K732" i="3"/>
  <c r="M732" i="3"/>
  <c r="J731" i="3"/>
  <c r="L731" i="3"/>
  <c r="M731" i="3"/>
  <c r="K731" i="3"/>
  <c r="K730" i="3"/>
  <c r="M730" i="3"/>
  <c r="J730" i="3"/>
  <c r="L730" i="3"/>
  <c r="K729" i="3"/>
  <c r="L729" i="3"/>
  <c r="J729" i="3"/>
  <c r="M729" i="3"/>
  <c r="J728" i="3"/>
  <c r="K728" i="3"/>
  <c r="L728" i="3"/>
  <c r="M728" i="3"/>
  <c r="J727" i="3"/>
  <c r="L727" i="3"/>
  <c r="M727" i="3"/>
  <c r="K727" i="3"/>
  <c r="K726" i="3"/>
  <c r="J726" i="3"/>
  <c r="L726" i="3"/>
  <c r="M726" i="3"/>
  <c r="J725" i="3"/>
  <c r="K725" i="3"/>
  <c r="L725" i="3"/>
  <c r="M725" i="3"/>
  <c r="J724" i="3"/>
  <c r="K724" i="3"/>
  <c r="L724" i="3"/>
  <c r="M724" i="3"/>
  <c r="J723" i="3"/>
  <c r="K723" i="3"/>
  <c r="L723" i="3"/>
  <c r="M723" i="3"/>
  <c r="K722" i="3"/>
  <c r="M722" i="3"/>
  <c r="J722" i="3"/>
  <c r="L722" i="3"/>
  <c r="K721" i="3"/>
  <c r="M721" i="3"/>
  <c r="J721" i="3"/>
  <c r="L721" i="3"/>
  <c r="K720" i="3"/>
  <c r="M720" i="3"/>
  <c r="J720" i="3"/>
  <c r="L720" i="3"/>
  <c r="L719" i="3"/>
  <c r="J719" i="3"/>
  <c r="K719" i="3"/>
  <c r="M719" i="3"/>
  <c r="K718" i="3"/>
  <c r="M718" i="3"/>
  <c r="J718" i="3"/>
  <c r="L718" i="3"/>
  <c r="K717" i="3"/>
  <c r="M717" i="3"/>
  <c r="J717" i="3"/>
  <c r="L717" i="3"/>
  <c r="K716" i="3"/>
  <c r="M716" i="3"/>
  <c r="J716" i="3"/>
  <c r="L716" i="3"/>
  <c r="K715" i="3"/>
  <c r="M715" i="3"/>
  <c r="J715" i="3"/>
  <c r="L715" i="3"/>
  <c r="K714" i="3"/>
  <c r="L714" i="3"/>
  <c r="M714" i="3"/>
  <c r="J714" i="3"/>
  <c r="K713" i="3"/>
  <c r="J713" i="3"/>
  <c r="L713" i="3"/>
  <c r="M713" i="3"/>
  <c r="K712" i="3"/>
  <c r="M712" i="3"/>
  <c r="J712" i="3"/>
  <c r="L712" i="3"/>
  <c r="K711" i="3"/>
  <c r="M711" i="3"/>
  <c r="J711" i="3"/>
  <c r="L711" i="3"/>
  <c r="K710" i="3"/>
  <c r="L710" i="3"/>
  <c r="J710" i="3"/>
  <c r="M710" i="3"/>
  <c r="J709" i="3"/>
  <c r="L709" i="3"/>
  <c r="M709" i="3"/>
  <c r="K709" i="3"/>
  <c r="K708" i="3"/>
  <c r="M708" i="3"/>
  <c r="J708" i="3"/>
  <c r="L708" i="3"/>
  <c r="K707" i="3"/>
  <c r="L707" i="3"/>
  <c r="M707" i="3"/>
  <c r="J707" i="3"/>
  <c r="K706" i="3"/>
  <c r="M706" i="3"/>
  <c r="J706" i="3"/>
  <c r="L706" i="3"/>
  <c r="J705" i="3"/>
  <c r="K705" i="3"/>
  <c r="M705" i="3"/>
  <c r="L705" i="3"/>
  <c r="J704" i="3"/>
  <c r="K704" i="3"/>
  <c r="L704" i="3"/>
  <c r="M704" i="3"/>
  <c r="J703" i="3"/>
  <c r="K703" i="3"/>
  <c r="L703" i="3"/>
  <c r="M703" i="3"/>
  <c r="J702" i="3"/>
  <c r="K702" i="3"/>
  <c r="L702" i="3"/>
  <c r="M702" i="3"/>
  <c r="J701" i="3"/>
  <c r="K701" i="3"/>
  <c r="L701" i="3"/>
  <c r="M701" i="3"/>
  <c r="J700" i="3"/>
  <c r="K700" i="3"/>
  <c r="L700" i="3"/>
  <c r="M700" i="3"/>
  <c r="J699" i="3"/>
  <c r="K699" i="3"/>
  <c r="L699" i="3"/>
  <c r="M699" i="3"/>
  <c r="J698" i="3"/>
  <c r="K698" i="3"/>
  <c r="L698" i="3"/>
  <c r="M698" i="3"/>
  <c r="J697" i="3"/>
  <c r="K697" i="3"/>
  <c r="L697" i="3"/>
  <c r="M697" i="3"/>
  <c r="J696" i="3"/>
  <c r="K696" i="3"/>
  <c r="L696" i="3"/>
  <c r="M696" i="3"/>
  <c r="J695" i="3"/>
  <c r="K695" i="3"/>
  <c r="L695" i="3"/>
  <c r="M695" i="3"/>
  <c r="J694" i="3"/>
  <c r="K694" i="3"/>
  <c r="L694" i="3"/>
  <c r="M694" i="3"/>
  <c r="J693" i="3"/>
  <c r="K693" i="3"/>
  <c r="L693" i="3"/>
  <c r="M693" i="3"/>
  <c r="J692" i="3"/>
  <c r="K692" i="3"/>
  <c r="L692" i="3"/>
  <c r="M692" i="3"/>
  <c r="J691" i="3"/>
  <c r="K691" i="3"/>
  <c r="L691" i="3"/>
  <c r="M691" i="3"/>
  <c r="J690" i="3"/>
  <c r="K690" i="3"/>
  <c r="L690" i="3"/>
  <c r="M690" i="3"/>
  <c r="J689" i="3"/>
  <c r="K689" i="3"/>
  <c r="L689" i="3"/>
  <c r="M689" i="3"/>
  <c r="J688" i="3"/>
  <c r="K688" i="3"/>
  <c r="L688" i="3"/>
  <c r="M688" i="3"/>
  <c r="J687" i="3"/>
  <c r="K687" i="3"/>
  <c r="L687" i="3"/>
  <c r="M687" i="3"/>
  <c r="J686" i="3"/>
  <c r="K686" i="3"/>
  <c r="L686" i="3"/>
  <c r="M686" i="3"/>
  <c r="J685" i="3"/>
  <c r="K685" i="3"/>
  <c r="L685" i="3"/>
  <c r="M685" i="3"/>
  <c r="J684" i="3"/>
  <c r="K684" i="3"/>
  <c r="L684" i="3"/>
  <c r="M684" i="3"/>
  <c r="J683" i="3"/>
  <c r="K683" i="3"/>
  <c r="L683" i="3"/>
  <c r="M683" i="3"/>
  <c r="J682" i="3"/>
  <c r="K682" i="3"/>
  <c r="L682" i="3"/>
  <c r="M682" i="3"/>
  <c r="J681" i="3"/>
  <c r="K681" i="3"/>
  <c r="L681" i="3"/>
  <c r="M681" i="3"/>
  <c r="J680" i="3"/>
  <c r="K680" i="3"/>
  <c r="L680" i="3"/>
  <c r="M680" i="3"/>
  <c r="J679" i="3"/>
  <c r="K679" i="3"/>
  <c r="L679" i="3"/>
  <c r="M679" i="3"/>
  <c r="J678" i="3"/>
  <c r="K678" i="3"/>
  <c r="L678" i="3"/>
  <c r="M678" i="3"/>
  <c r="J677" i="3"/>
  <c r="K677" i="3"/>
  <c r="L677" i="3"/>
  <c r="M677" i="3"/>
  <c r="L676" i="3"/>
  <c r="J676" i="3"/>
  <c r="K676" i="3"/>
  <c r="M676" i="3"/>
  <c r="L675" i="3"/>
  <c r="K675" i="3"/>
  <c r="M675" i="3"/>
  <c r="J675" i="3"/>
  <c r="L674" i="3"/>
  <c r="K674" i="3"/>
  <c r="J674" i="3"/>
  <c r="M674" i="3"/>
  <c r="J673" i="3"/>
  <c r="K673" i="3"/>
  <c r="L673" i="3"/>
  <c r="M673" i="3"/>
  <c r="K672" i="3"/>
  <c r="J672" i="3"/>
  <c r="L672" i="3"/>
  <c r="M672" i="3"/>
  <c r="K671" i="3"/>
  <c r="J671" i="3"/>
  <c r="L671" i="3"/>
  <c r="M671" i="3"/>
  <c r="M670" i="3"/>
  <c r="J670" i="3"/>
  <c r="L670" i="3"/>
  <c r="K670" i="3"/>
  <c r="M669" i="3"/>
  <c r="K669" i="3"/>
  <c r="J669" i="3"/>
  <c r="L669" i="3"/>
  <c r="L668" i="3"/>
  <c r="K668" i="3"/>
  <c r="J668" i="3"/>
  <c r="M668" i="3"/>
  <c r="K667" i="3"/>
  <c r="J667" i="3"/>
  <c r="L667" i="3"/>
  <c r="M667" i="3"/>
  <c r="K666" i="3"/>
  <c r="J666" i="3"/>
  <c r="M666" i="3"/>
  <c r="L666" i="3"/>
  <c r="K665" i="3"/>
  <c r="M665" i="3"/>
  <c r="L665" i="3"/>
  <c r="J665" i="3"/>
  <c r="K664" i="3"/>
  <c r="L664" i="3"/>
  <c r="J664" i="3"/>
  <c r="M664" i="3"/>
  <c r="K663" i="3"/>
  <c r="M663" i="3"/>
  <c r="J663" i="3"/>
  <c r="L663" i="3"/>
  <c r="J662" i="3"/>
  <c r="L662" i="3"/>
  <c r="K662" i="3"/>
  <c r="M662" i="3"/>
  <c r="K661" i="3"/>
  <c r="M661" i="3"/>
  <c r="L661" i="3"/>
  <c r="J661" i="3"/>
  <c r="K660" i="3"/>
  <c r="J660" i="3"/>
  <c r="M660" i="3"/>
  <c r="L660" i="3"/>
  <c r="L659" i="3"/>
  <c r="K659" i="3"/>
  <c r="M659" i="3"/>
  <c r="J659" i="3"/>
  <c r="M658" i="3"/>
  <c r="K658" i="3"/>
  <c r="L658" i="3"/>
  <c r="J658" i="3"/>
  <c r="L657" i="3"/>
  <c r="K657" i="3"/>
  <c r="J657" i="3"/>
  <c r="M657" i="3"/>
  <c r="J656" i="3"/>
  <c r="L656" i="3"/>
  <c r="K656" i="3"/>
  <c r="M656" i="3"/>
  <c r="K655" i="3"/>
  <c r="J655" i="3"/>
  <c r="L655" i="3"/>
  <c r="M655" i="3"/>
  <c r="M654" i="3"/>
  <c r="J654" i="3"/>
  <c r="L654" i="3"/>
  <c r="K654" i="3"/>
  <c r="K653" i="3"/>
  <c r="M653" i="3"/>
  <c r="J653" i="3"/>
  <c r="L653" i="3"/>
  <c r="J652" i="3"/>
  <c r="L652" i="3"/>
  <c r="K652" i="3"/>
  <c r="M652" i="3"/>
  <c r="J651" i="3"/>
  <c r="L651" i="3"/>
  <c r="K651" i="3"/>
  <c r="M651" i="3"/>
  <c r="L650" i="3"/>
  <c r="K650" i="3"/>
  <c r="J650" i="3"/>
  <c r="M650" i="3"/>
  <c r="M649" i="3"/>
  <c r="J649" i="3"/>
  <c r="L649" i="3"/>
  <c r="K649" i="3"/>
  <c r="K648" i="3"/>
  <c r="M648" i="3"/>
  <c r="J648" i="3"/>
  <c r="L648" i="3"/>
  <c r="L647" i="3"/>
  <c r="K647" i="3"/>
  <c r="J647" i="3"/>
  <c r="M647" i="3"/>
  <c r="L646" i="3"/>
  <c r="M646" i="3"/>
  <c r="J646" i="3"/>
  <c r="K646" i="3"/>
  <c r="L645" i="3"/>
  <c r="K645" i="3"/>
  <c r="J645" i="3"/>
  <c r="M645" i="3"/>
  <c r="J644" i="3"/>
  <c r="M644" i="3"/>
  <c r="K644" i="3"/>
  <c r="L644" i="3"/>
  <c r="K643" i="3"/>
  <c r="J643" i="3"/>
  <c r="M643" i="3"/>
  <c r="L643" i="3"/>
  <c r="L642" i="3"/>
  <c r="K642" i="3"/>
  <c r="M642" i="3"/>
  <c r="J642" i="3"/>
  <c r="L641" i="3"/>
  <c r="K641" i="3"/>
  <c r="M641" i="3"/>
  <c r="J641" i="3"/>
  <c r="J640" i="3"/>
  <c r="K640" i="3"/>
  <c r="L640" i="3"/>
  <c r="M640" i="3"/>
  <c r="J639" i="3"/>
  <c r="K639" i="3"/>
  <c r="L639" i="3"/>
  <c r="M639" i="3"/>
  <c r="J638" i="3"/>
  <c r="K638" i="3"/>
  <c r="L638" i="3"/>
  <c r="M638" i="3"/>
  <c r="J637" i="3"/>
  <c r="K637" i="3"/>
  <c r="L637" i="3"/>
  <c r="M637" i="3"/>
  <c r="J636" i="3"/>
  <c r="K636" i="3"/>
  <c r="L636" i="3"/>
  <c r="M636" i="3"/>
  <c r="J635" i="3"/>
  <c r="K635" i="3"/>
  <c r="L635" i="3"/>
  <c r="M635" i="3"/>
  <c r="J634" i="3"/>
  <c r="K634" i="3"/>
  <c r="L634" i="3"/>
  <c r="M634" i="3"/>
  <c r="J633" i="3"/>
  <c r="K633" i="3"/>
  <c r="L633" i="3"/>
  <c r="M633" i="3"/>
  <c r="J632" i="3"/>
  <c r="K632" i="3"/>
  <c r="L632" i="3"/>
  <c r="M632" i="3"/>
  <c r="J631" i="3"/>
  <c r="K631" i="3"/>
  <c r="L631" i="3"/>
  <c r="M631" i="3"/>
  <c r="J630" i="3"/>
  <c r="K630" i="3"/>
  <c r="L630" i="3"/>
  <c r="M630" i="3"/>
  <c r="J629" i="3"/>
  <c r="K629" i="3"/>
  <c r="L629" i="3"/>
  <c r="M629" i="3"/>
  <c r="J628" i="3"/>
  <c r="K628" i="3"/>
  <c r="L628" i="3"/>
  <c r="M628" i="3"/>
  <c r="J627" i="3"/>
  <c r="K627" i="3"/>
  <c r="L627" i="3"/>
  <c r="M627" i="3"/>
  <c r="J626" i="3"/>
  <c r="K626" i="3"/>
  <c r="L626" i="3"/>
  <c r="M626" i="3"/>
  <c r="J625" i="3"/>
  <c r="K625" i="3"/>
  <c r="L625" i="3"/>
  <c r="M625" i="3"/>
  <c r="J624" i="3"/>
  <c r="K624" i="3"/>
  <c r="L624" i="3"/>
  <c r="M624" i="3"/>
  <c r="J623" i="3"/>
  <c r="K623" i="3"/>
  <c r="L623" i="3"/>
  <c r="M623" i="3"/>
  <c r="J622" i="3"/>
  <c r="K622" i="3"/>
  <c r="L622" i="3"/>
  <c r="M622" i="3"/>
  <c r="J621" i="3"/>
  <c r="K621" i="3"/>
  <c r="L621" i="3"/>
  <c r="M621" i="3"/>
  <c r="J620" i="3"/>
  <c r="K620" i="3"/>
  <c r="L620" i="3"/>
  <c r="M620" i="3"/>
  <c r="J619" i="3"/>
  <c r="K619" i="3"/>
  <c r="L619" i="3"/>
  <c r="M619" i="3"/>
  <c r="J618" i="3"/>
  <c r="K618" i="3"/>
  <c r="L618" i="3"/>
  <c r="M618" i="3"/>
  <c r="J617" i="3"/>
  <c r="K617" i="3"/>
  <c r="L617" i="3"/>
  <c r="M617" i="3"/>
  <c r="J616" i="3"/>
  <c r="K616" i="3"/>
  <c r="L616" i="3"/>
  <c r="M616" i="3"/>
  <c r="J615" i="3"/>
  <c r="K615" i="3"/>
  <c r="L615" i="3"/>
  <c r="M615" i="3"/>
  <c r="J614" i="3"/>
  <c r="K614" i="3"/>
  <c r="L614" i="3"/>
  <c r="M614" i="3"/>
  <c r="J613" i="3"/>
  <c r="K613" i="3"/>
  <c r="L613" i="3"/>
  <c r="M613" i="3"/>
  <c r="J612" i="3"/>
  <c r="K612" i="3"/>
  <c r="L612" i="3"/>
  <c r="M612" i="3"/>
  <c r="J611" i="3"/>
  <c r="K611" i="3"/>
  <c r="L611" i="3"/>
  <c r="M611" i="3"/>
  <c r="J610" i="3"/>
  <c r="K610" i="3"/>
  <c r="L610" i="3"/>
  <c r="M610" i="3"/>
  <c r="J609" i="3"/>
  <c r="K609" i="3"/>
  <c r="L609" i="3"/>
  <c r="M609" i="3"/>
  <c r="J608" i="3"/>
  <c r="K608" i="3"/>
  <c r="L608" i="3"/>
  <c r="M608" i="3"/>
  <c r="J607" i="3"/>
  <c r="K607" i="3"/>
  <c r="L607" i="3"/>
  <c r="M607" i="3"/>
  <c r="J606" i="3"/>
  <c r="K606" i="3"/>
  <c r="L606" i="3"/>
  <c r="M606" i="3"/>
  <c r="J605" i="3"/>
  <c r="K605" i="3"/>
  <c r="L605" i="3"/>
  <c r="M605" i="3"/>
  <c r="J604" i="3"/>
  <c r="K604" i="3"/>
  <c r="L604" i="3"/>
  <c r="M604" i="3"/>
  <c r="J603" i="3"/>
  <c r="K603" i="3"/>
  <c r="L603" i="3"/>
  <c r="M603" i="3"/>
  <c r="J602" i="3"/>
  <c r="K602" i="3"/>
  <c r="L602" i="3"/>
  <c r="M602" i="3"/>
  <c r="J601" i="3"/>
  <c r="K601" i="3"/>
  <c r="L601" i="3"/>
  <c r="M601" i="3"/>
  <c r="J600" i="3"/>
  <c r="K600" i="3"/>
  <c r="L600" i="3"/>
  <c r="M600" i="3"/>
  <c r="J599" i="3"/>
  <c r="K599" i="3"/>
  <c r="L599" i="3"/>
  <c r="M599" i="3"/>
  <c r="J598" i="3"/>
  <c r="K598" i="3"/>
  <c r="L598" i="3"/>
  <c r="M598" i="3"/>
  <c r="J597" i="3"/>
  <c r="K597" i="3"/>
  <c r="L597" i="3"/>
  <c r="M597" i="3"/>
  <c r="J596" i="3"/>
  <c r="K596" i="3"/>
  <c r="L596" i="3"/>
  <c r="M596" i="3"/>
  <c r="J595" i="3"/>
  <c r="K595" i="3"/>
  <c r="L595" i="3"/>
  <c r="M595" i="3"/>
  <c r="J594" i="3"/>
  <c r="K594" i="3"/>
  <c r="L594" i="3"/>
  <c r="M594" i="3"/>
  <c r="J593" i="3"/>
  <c r="K593" i="3"/>
  <c r="L593" i="3"/>
  <c r="M593" i="3"/>
  <c r="J592" i="3"/>
  <c r="K592" i="3"/>
  <c r="L592" i="3"/>
  <c r="M592" i="3"/>
  <c r="J591" i="3"/>
  <c r="K591" i="3"/>
  <c r="L591" i="3"/>
  <c r="M591" i="3"/>
  <c r="J590" i="3"/>
  <c r="K590" i="3"/>
  <c r="L590" i="3"/>
  <c r="M590" i="3"/>
  <c r="J589" i="3"/>
  <c r="K589" i="3"/>
  <c r="L589" i="3"/>
  <c r="M589" i="3"/>
  <c r="J588" i="3"/>
  <c r="K588" i="3"/>
  <c r="L588" i="3"/>
  <c r="M588" i="3"/>
  <c r="J587" i="3"/>
  <c r="K587" i="3"/>
  <c r="L587" i="3"/>
  <c r="M587" i="3"/>
  <c r="J586" i="3"/>
  <c r="K586" i="3"/>
  <c r="L586" i="3"/>
  <c r="M586" i="3"/>
  <c r="J585" i="3"/>
  <c r="K585" i="3"/>
  <c r="L585" i="3"/>
  <c r="M585" i="3"/>
  <c r="J584" i="3"/>
  <c r="K584" i="3"/>
  <c r="L584" i="3"/>
  <c r="M584" i="3"/>
  <c r="J583" i="3"/>
  <c r="K583" i="3"/>
  <c r="L583" i="3"/>
  <c r="M583" i="3"/>
  <c r="J582" i="3"/>
  <c r="K582" i="3"/>
  <c r="L582" i="3"/>
  <c r="M582" i="3"/>
  <c r="J581" i="3"/>
  <c r="K581" i="3"/>
  <c r="L581" i="3"/>
  <c r="M581" i="3"/>
  <c r="J580" i="3"/>
  <c r="K580" i="3"/>
  <c r="L580" i="3"/>
  <c r="M580" i="3"/>
  <c r="J579" i="3"/>
  <c r="K579" i="3"/>
  <c r="L579" i="3"/>
  <c r="M579" i="3"/>
  <c r="J578" i="3"/>
  <c r="K578" i="3"/>
  <c r="L578" i="3"/>
  <c r="M578" i="3"/>
  <c r="J577" i="3"/>
  <c r="K577" i="3"/>
  <c r="L577" i="3"/>
  <c r="M577" i="3"/>
  <c r="J576" i="3"/>
  <c r="K576" i="3"/>
  <c r="L576" i="3"/>
  <c r="M576" i="3"/>
  <c r="J575" i="3"/>
  <c r="K575" i="3"/>
  <c r="L575" i="3"/>
  <c r="M575" i="3"/>
  <c r="J574" i="3"/>
  <c r="K574" i="3"/>
  <c r="L574" i="3"/>
  <c r="M574" i="3"/>
  <c r="J573" i="3"/>
  <c r="K573" i="3"/>
  <c r="L573" i="3"/>
  <c r="M573" i="3"/>
  <c r="J572" i="3"/>
  <c r="K572" i="3"/>
  <c r="L572" i="3"/>
  <c r="M572" i="3"/>
  <c r="M571" i="3"/>
  <c r="J571" i="3"/>
  <c r="K571" i="3"/>
  <c r="L571" i="3"/>
  <c r="K570" i="3"/>
  <c r="L570" i="3"/>
  <c r="M570" i="3"/>
  <c r="J570" i="3"/>
  <c r="L569" i="3"/>
  <c r="J569" i="3"/>
  <c r="K569" i="3"/>
  <c r="M569" i="3"/>
  <c r="K568" i="3"/>
  <c r="M568" i="3"/>
  <c r="J568" i="3"/>
  <c r="L568" i="3"/>
  <c r="K567" i="3"/>
  <c r="M567" i="3"/>
  <c r="J567" i="3"/>
  <c r="L567" i="3"/>
  <c r="K566" i="3"/>
  <c r="M566" i="3"/>
  <c r="J566" i="3"/>
  <c r="L566" i="3"/>
  <c r="K565" i="3"/>
  <c r="L565" i="3"/>
  <c r="M565" i="3"/>
  <c r="J565" i="3"/>
  <c r="K564" i="3"/>
  <c r="M564" i="3"/>
  <c r="J564" i="3"/>
  <c r="L564" i="3"/>
  <c r="J563" i="3"/>
  <c r="K563" i="3"/>
  <c r="L563" i="3"/>
  <c r="M563" i="3"/>
  <c r="K562" i="3"/>
  <c r="M562" i="3"/>
  <c r="J562" i="3"/>
  <c r="L562" i="3"/>
  <c r="J561" i="3"/>
  <c r="L561" i="3"/>
  <c r="M561" i="3"/>
  <c r="K561" i="3"/>
  <c r="J560" i="3"/>
  <c r="K560" i="3"/>
  <c r="M560" i="3"/>
  <c r="L560" i="3"/>
  <c r="K559" i="3"/>
  <c r="M559" i="3"/>
  <c r="J559" i="3"/>
  <c r="L559" i="3"/>
  <c r="K558" i="3"/>
  <c r="M558" i="3"/>
  <c r="J558" i="3"/>
  <c r="L558" i="3"/>
  <c r="K557" i="3"/>
  <c r="M557" i="3"/>
  <c r="J557" i="3"/>
  <c r="L557" i="3"/>
  <c r="K556" i="3"/>
  <c r="M556" i="3"/>
  <c r="J556" i="3"/>
  <c r="L556" i="3"/>
  <c r="J555" i="3"/>
  <c r="K555" i="3"/>
  <c r="L555" i="3"/>
  <c r="M555" i="3"/>
  <c r="K554" i="3"/>
  <c r="L554" i="3"/>
  <c r="M554" i="3"/>
  <c r="J554" i="3"/>
  <c r="K553" i="3"/>
  <c r="M553" i="3"/>
  <c r="J553" i="3"/>
  <c r="L553" i="3"/>
  <c r="K552" i="3"/>
  <c r="J552" i="3"/>
  <c r="L552" i="3"/>
  <c r="M552" i="3"/>
  <c r="L551" i="3"/>
  <c r="J551" i="3"/>
  <c r="K551" i="3"/>
  <c r="M551" i="3"/>
  <c r="K550" i="3"/>
  <c r="M550" i="3"/>
  <c r="J550" i="3"/>
  <c r="L550" i="3"/>
  <c r="K549" i="3"/>
  <c r="L549" i="3"/>
  <c r="M549" i="3"/>
  <c r="J549" i="3"/>
  <c r="K548" i="3"/>
  <c r="J548" i="3"/>
  <c r="L548" i="3"/>
  <c r="M548" i="3"/>
  <c r="K547" i="3"/>
  <c r="M547" i="3"/>
  <c r="J547" i="3"/>
  <c r="L547" i="3"/>
  <c r="K546" i="3"/>
  <c r="J546" i="3"/>
  <c r="L546" i="3"/>
  <c r="M546" i="3"/>
  <c r="K545" i="3"/>
  <c r="M545" i="3"/>
  <c r="J545" i="3"/>
  <c r="L545" i="3"/>
  <c r="K544" i="3"/>
  <c r="M544" i="3"/>
  <c r="J544" i="3"/>
  <c r="L544" i="3"/>
  <c r="J543" i="3"/>
  <c r="L543" i="3"/>
  <c r="K543" i="3"/>
  <c r="M543" i="3"/>
  <c r="K542" i="3"/>
  <c r="J542" i="3"/>
  <c r="L542" i="3"/>
  <c r="M542" i="3"/>
  <c r="K541" i="3"/>
  <c r="M541" i="3"/>
  <c r="J541" i="3"/>
  <c r="L541" i="3"/>
  <c r="L540" i="3"/>
  <c r="J540" i="3"/>
  <c r="K540" i="3"/>
  <c r="M540" i="3"/>
  <c r="K539" i="3"/>
  <c r="M539" i="3"/>
  <c r="J539" i="3"/>
  <c r="L539" i="3"/>
  <c r="K538" i="3"/>
  <c r="M538" i="3"/>
  <c r="J538" i="3"/>
  <c r="L538" i="3"/>
  <c r="J537" i="3"/>
  <c r="L537" i="3"/>
  <c r="M537" i="3"/>
  <c r="K537" i="3"/>
  <c r="L536" i="3"/>
  <c r="J536" i="3"/>
  <c r="K536" i="3"/>
  <c r="M536" i="3"/>
  <c r="K535" i="3"/>
  <c r="M535" i="3"/>
  <c r="J535" i="3"/>
  <c r="L535" i="3"/>
  <c r="K534" i="3"/>
  <c r="M534" i="3"/>
  <c r="J534" i="3"/>
  <c r="L534" i="3"/>
  <c r="K533" i="3"/>
  <c r="M533" i="3"/>
  <c r="J533" i="3"/>
  <c r="L533" i="3"/>
  <c r="J532" i="3"/>
  <c r="L532" i="3"/>
  <c r="M532" i="3"/>
  <c r="K532" i="3"/>
  <c r="K531" i="3"/>
  <c r="M531" i="3"/>
  <c r="J531" i="3"/>
  <c r="L531" i="3"/>
  <c r="K530" i="3"/>
  <c r="L530" i="3"/>
  <c r="M530" i="3"/>
  <c r="J530" i="3"/>
  <c r="K529" i="3"/>
  <c r="L529" i="3"/>
  <c r="J529" i="3"/>
  <c r="M529" i="3"/>
  <c r="K528" i="3"/>
  <c r="M528" i="3"/>
  <c r="J528" i="3"/>
  <c r="L528" i="3"/>
  <c r="L527" i="3"/>
  <c r="J527" i="3"/>
  <c r="K527" i="3"/>
  <c r="M527" i="3"/>
  <c r="L526" i="3"/>
  <c r="M526" i="3"/>
  <c r="J526" i="3"/>
  <c r="K526" i="3"/>
  <c r="L525" i="3"/>
  <c r="J525" i="3"/>
  <c r="K525" i="3"/>
  <c r="M525" i="3"/>
  <c r="J524" i="3"/>
  <c r="K524" i="3"/>
  <c r="L524" i="3"/>
  <c r="M524" i="3"/>
  <c r="L523" i="3"/>
  <c r="M523" i="3"/>
  <c r="K523" i="3"/>
  <c r="J523" i="3"/>
  <c r="L522" i="3"/>
  <c r="K522" i="3"/>
  <c r="J522" i="3"/>
  <c r="M522" i="3"/>
  <c r="L521" i="3"/>
  <c r="J521" i="3"/>
  <c r="M521" i="3"/>
  <c r="K521" i="3"/>
  <c r="M520" i="3"/>
  <c r="L520" i="3"/>
  <c r="K520" i="3"/>
  <c r="J520" i="3"/>
  <c r="K519" i="3"/>
  <c r="J519" i="3"/>
  <c r="M519" i="3"/>
  <c r="L519" i="3"/>
  <c r="K518" i="3"/>
  <c r="M518" i="3"/>
  <c r="J518" i="3"/>
  <c r="L518" i="3"/>
  <c r="K517" i="3"/>
  <c r="J517" i="3"/>
  <c r="L517" i="3"/>
  <c r="M517" i="3"/>
  <c r="L516" i="3"/>
  <c r="M516" i="3"/>
  <c r="K516" i="3"/>
  <c r="J516" i="3"/>
  <c r="J515" i="3"/>
  <c r="K515" i="3"/>
  <c r="M515" i="3"/>
  <c r="L515" i="3"/>
  <c r="K514" i="3"/>
  <c r="L514" i="3"/>
  <c r="J514" i="3"/>
  <c r="M514" i="3"/>
  <c r="K513" i="3"/>
  <c r="J513" i="3"/>
  <c r="L513" i="3"/>
  <c r="M513" i="3"/>
  <c r="J512" i="3"/>
  <c r="L512" i="3"/>
  <c r="K512" i="3"/>
  <c r="M512" i="3"/>
  <c r="J511" i="3"/>
  <c r="K511" i="3"/>
  <c r="L511" i="3"/>
  <c r="M511" i="3"/>
  <c r="J510" i="3"/>
  <c r="K510" i="3"/>
  <c r="L510" i="3"/>
  <c r="M510" i="3"/>
  <c r="J509" i="3"/>
  <c r="K509" i="3"/>
  <c r="L509" i="3"/>
  <c r="M509" i="3"/>
  <c r="J508" i="3"/>
  <c r="K508" i="3"/>
  <c r="L508" i="3"/>
  <c r="M508" i="3"/>
  <c r="J507" i="3"/>
  <c r="K507" i="3"/>
  <c r="L507" i="3"/>
  <c r="M507" i="3"/>
  <c r="J506" i="3"/>
  <c r="K506" i="3"/>
  <c r="L506" i="3"/>
  <c r="M506" i="3"/>
  <c r="J505" i="3"/>
  <c r="K505" i="3"/>
  <c r="L505" i="3"/>
  <c r="M505" i="3"/>
  <c r="J504" i="3"/>
  <c r="K504" i="3"/>
  <c r="L504" i="3"/>
  <c r="M504" i="3"/>
  <c r="J503" i="3"/>
  <c r="K503" i="3"/>
  <c r="L503" i="3"/>
  <c r="M503" i="3"/>
  <c r="J502" i="3"/>
  <c r="K502" i="3"/>
  <c r="L502" i="3"/>
  <c r="M502" i="3"/>
  <c r="J501" i="3"/>
  <c r="K501" i="3"/>
  <c r="L501" i="3"/>
  <c r="M501" i="3"/>
  <c r="J500" i="3"/>
  <c r="K500" i="3"/>
  <c r="L500" i="3"/>
  <c r="M500" i="3"/>
  <c r="J499" i="3"/>
  <c r="K499" i="3"/>
  <c r="L499" i="3"/>
  <c r="M499" i="3"/>
  <c r="J498" i="3"/>
  <c r="K498" i="3"/>
  <c r="L498" i="3"/>
  <c r="M498" i="3"/>
  <c r="J497" i="3"/>
  <c r="K497" i="3"/>
  <c r="L497" i="3"/>
  <c r="M497" i="3"/>
  <c r="J496" i="3"/>
  <c r="K496" i="3"/>
  <c r="L496" i="3"/>
  <c r="M496" i="3"/>
  <c r="J495" i="3"/>
  <c r="K495" i="3"/>
  <c r="L495" i="3"/>
  <c r="M495" i="3"/>
  <c r="J494" i="3"/>
  <c r="K494" i="3"/>
  <c r="L494" i="3"/>
  <c r="M494" i="3"/>
  <c r="J493" i="3"/>
  <c r="K493" i="3"/>
  <c r="L493" i="3"/>
  <c r="M493" i="3"/>
  <c r="J492" i="3"/>
  <c r="K492" i="3"/>
  <c r="L492" i="3"/>
  <c r="M492" i="3"/>
  <c r="J491" i="3"/>
  <c r="K491" i="3"/>
  <c r="L491" i="3"/>
  <c r="M491" i="3"/>
  <c r="J490" i="3"/>
  <c r="K490" i="3"/>
  <c r="L490" i="3"/>
  <c r="M490" i="3"/>
  <c r="J489" i="3"/>
  <c r="K489" i="3"/>
  <c r="L489" i="3"/>
  <c r="M489" i="3"/>
  <c r="J488" i="3"/>
  <c r="K488" i="3"/>
  <c r="L488" i="3"/>
  <c r="M488" i="3"/>
  <c r="J487" i="3"/>
  <c r="K487" i="3"/>
  <c r="L487" i="3"/>
  <c r="M487" i="3"/>
  <c r="J486" i="3"/>
  <c r="K486" i="3"/>
  <c r="L486" i="3"/>
  <c r="M486" i="3"/>
  <c r="J485" i="3"/>
  <c r="K485" i="3"/>
  <c r="L485" i="3"/>
  <c r="M485" i="3"/>
  <c r="J484" i="3"/>
  <c r="K484" i="3"/>
  <c r="L484" i="3"/>
  <c r="M484" i="3"/>
  <c r="J483" i="3"/>
  <c r="K483" i="3"/>
  <c r="L483" i="3"/>
  <c r="M483" i="3"/>
  <c r="J482" i="3"/>
  <c r="K482" i="3"/>
  <c r="L482" i="3"/>
  <c r="M482" i="3"/>
  <c r="J481" i="3"/>
  <c r="K481" i="3"/>
  <c r="L481" i="3"/>
  <c r="M481" i="3"/>
  <c r="J480" i="3"/>
  <c r="K480" i="3"/>
  <c r="L480" i="3"/>
  <c r="M480" i="3"/>
  <c r="J479" i="3"/>
  <c r="K479" i="3"/>
  <c r="L479" i="3"/>
  <c r="M479" i="3"/>
  <c r="J478" i="3"/>
  <c r="K478" i="3"/>
  <c r="L478" i="3"/>
  <c r="M478" i="3"/>
  <c r="J477" i="3"/>
  <c r="K477" i="3"/>
  <c r="L477" i="3"/>
  <c r="M477" i="3"/>
  <c r="J476" i="3"/>
  <c r="K476" i="3"/>
  <c r="L476" i="3"/>
  <c r="M476" i="3"/>
  <c r="J475" i="3"/>
  <c r="K475" i="3"/>
  <c r="L475" i="3"/>
  <c r="M475" i="3"/>
  <c r="J474" i="3"/>
  <c r="K474" i="3"/>
  <c r="L474" i="3"/>
  <c r="M474" i="3"/>
  <c r="J473" i="3"/>
  <c r="K473" i="3"/>
  <c r="L473" i="3"/>
  <c r="M473" i="3"/>
  <c r="J472" i="3"/>
  <c r="K472" i="3"/>
  <c r="L472" i="3"/>
  <c r="M472" i="3"/>
  <c r="J471" i="3"/>
  <c r="K471" i="3"/>
  <c r="L471" i="3"/>
  <c r="M471" i="3"/>
  <c r="J470" i="3"/>
  <c r="K470" i="3"/>
  <c r="L470" i="3"/>
  <c r="M470" i="3"/>
  <c r="J469" i="3"/>
  <c r="K469" i="3"/>
  <c r="L469" i="3"/>
  <c r="M469" i="3"/>
  <c r="J468" i="3"/>
  <c r="K468" i="3"/>
  <c r="L468" i="3"/>
  <c r="M468" i="3"/>
  <c r="J467" i="3"/>
  <c r="K467" i="3"/>
  <c r="L467" i="3"/>
  <c r="M467" i="3"/>
  <c r="J466" i="3"/>
  <c r="K466" i="3"/>
  <c r="L466" i="3"/>
  <c r="M466" i="3"/>
  <c r="J465" i="3"/>
  <c r="K465" i="3"/>
  <c r="L465" i="3"/>
  <c r="M465" i="3"/>
  <c r="J464" i="3"/>
  <c r="K464" i="3"/>
  <c r="L464" i="3"/>
  <c r="M464" i="3"/>
  <c r="J463" i="3"/>
  <c r="K463" i="3"/>
  <c r="L463" i="3"/>
  <c r="M463" i="3"/>
  <c r="J462" i="3"/>
  <c r="K462" i="3"/>
  <c r="L462" i="3"/>
  <c r="M462" i="3"/>
  <c r="J461" i="3"/>
  <c r="K461" i="3"/>
  <c r="L461" i="3"/>
  <c r="M461" i="3"/>
  <c r="J460" i="3"/>
  <c r="K460" i="3"/>
  <c r="L460" i="3"/>
  <c r="M460" i="3"/>
  <c r="J459" i="3"/>
  <c r="K459" i="3"/>
  <c r="L459" i="3"/>
  <c r="M459" i="3"/>
  <c r="J458" i="3"/>
  <c r="K458" i="3"/>
  <c r="L458" i="3"/>
  <c r="M458" i="3"/>
  <c r="J457" i="3"/>
  <c r="K457" i="3"/>
  <c r="L457" i="3"/>
  <c r="M457" i="3"/>
  <c r="J456" i="3"/>
  <c r="K456" i="3"/>
  <c r="L456" i="3"/>
  <c r="M456" i="3"/>
  <c r="J455" i="3"/>
  <c r="K455" i="3"/>
  <c r="L455" i="3"/>
  <c r="M455" i="3"/>
  <c r="J454" i="3"/>
  <c r="K454" i="3"/>
  <c r="L454" i="3"/>
  <c r="M454" i="3"/>
  <c r="J453" i="3"/>
  <c r="K453" i="3"/>
  <c r="L453" i="3"/>
  <c r="M453" i="3"/>
  <c r="J452" i="3"/>
  <c r="K452" i="3"/>
  <c r="L452" i="3"/>
  <c r="M452" i="3"/>
  <c r="J451" i="3"/>
  <c r="K451" i="3"/>
  <c r="L451" i="3"/>
  <c r="M451" i="3"/>
  <c r="J450" i="3"/>
  <c r="K450" i="3"/>
  <c r="L450" i="3"/>
  <c r="M450" i="3"/>
  <c r="J449" i="3"/>
  <c r="K449" i="3"/>
  <c r="L449" i="3"/>
  <c r="M449" i="3"/>
  <c r="J448" i="3"/>
  <c r="K448" i="3"/>
  <c r="L448" i="3"/>
  <c r="M448" i="3"/>
  <c r="J447" i="3"/>
  <c r="K447" i="3"/>
  <c r="L447" i="3"/>
  <c r="M447" i="3"/>
  <c r="J446" i="3"/>
  <c r="K446" i="3"/>
  <c r="L446" i="3"/>
  <c r="M446" i="3"/>
  <c r="J445" i="3"/>
  <c r="K445" i="3"/>
  <c r="L445" i="3"/>
  <c r="M445" i="3"/>
  <c r="J444" i="3"/>
  <c r="K444" i="3"/>
  <c r="L444" i="3"/>
  <c r="M444" i="3"/>
  <c r="J443" i="3"/>
  <c r="K443" i="3"/>
  <c r="L443" i="3"/>
  <c r="M443" i="3"/>
  <c r="J442" i="3"/>
  <c r="K442" i="3"/>
  <c r="L442" i="3"/>
  <c r="M442" i="3"/>
  <c r="J441" i="3"/>
  <c r="K441" i="3"/>
  <c r="L441" i="3"/>
  <c r="M441" i="3"/>
  <c r="J440" i="3"/>
  <c r="K440" i="3"/>
  <c r="L440" i="3"/>
  <c r="M440" i="3"/>
  <c r="J439" i="3"/>
  <c r="K439" i="3"/>
  <c r="L439" i="3"/>
  <c r="M439" i="3"/>
  <c r="J438" i="3"/>
  <c r="K438" i="3"/>
  <c r="L438" i="3"/>
  <c r="M438" i="3"/>
  <c r="J437" i="3"/>
  <c r="K437" i="3"/>
  <c r="L437" i="3"/>
  <c r="M437" i="3"/>
  <c r="J436" i="3"/>
  <c r="K436" i="3"/>
  <c r="L436" i="3"/>
  <c r="M436" i="3"/>
  <c r="J435" i="3"/>
  <c r="K435" i="3"/>
  <c r="L435" i="3"/>
  <c r="M435" i="3"/>
  <c r="J434" i="3"/>
  <c r="K434" i="3"/>
  <c r="L434" i="3"/>
  <c r="M434" i="3"/>
  <c r="J433" i="3"/>
  <c r="K433" i="3"/>
  <c r="L433" i="3"/>
  <c r="M433" i="3"/>
  <c r="J432" i="3"/>
  <c r="K432" i="3"/>
  <c r="L432" i="3"/>
  <c r="M432" i="3"/>
  <c r="J431" i="3"/>
  <c r="K431" i="3"/>
  <c r="L431" i="3"/>
  <c r="M431" i="3"/>
  <c r="J430" i="3"/>
  <c r="K430" i="3"/>
  <c r="L430" i="3"/>
  <c r="M430" i="3"/>
  <c r="J429" i="3"/>
  <c r="K429" i="3"/>
  <c r="L429" i="3"/>
  <c r="M429" i="3"/>
  <c r="J428" i="3"/>
  <c r="K428" i="3"/>
  <c r="L428" i="3"/>
  <c r="M428" i="3"/>
  <c r="J427" i="3"/>
  <c r="K427" i="3"/>
  <c r="L427" i="3"/>
  <c r="M427" i="3"/>
  <c r="J426" i="3"/>
  <c r="K426" i="3"/>
  <c r="L426" i="3"/>
  <c r="M426" i="3"/>
  <c r="J425" i="3"/>
  <c r="K425" i="3"/>
  <c r="L425" i="3"/>
  <c r="M425" i="3"/>
  <c r="J424" i="3"/>
  <c r="K424" i="3"/>
  <c r="L424" i="3"/>
  <c r="M424" i="3"/>
  <c r="J423" i="3"/>
  <c r="K423" i="3"/>
  <c r="L423" i="3"/>
  <c r="M423" i="3"/>
  <c r="J422" i="3"/>
  <c r="K422" i="3"/>
  <c r="L422" i="3"/>
  <c r="M422" i="3"/>
  <c r="J421" i="3"/>
  <c r="K421" i="3"/>
  <c r="L421" i="3"/>
  <c r="M421" i="3"/>
  <c r="J420" i="3"/>
  <c r="K420" i="3"/>
  <c r="L420" i="3"/>
  <c r="M420" i="3"/>
  <c r="J419" i="3"/>
  <c r="K419" i="3"/>
  <c r="L419" i="3"/>
  <c r="M419" i="3"/>
  <c r="J418" i="3"/>
  <c r="K418" i="3"/>
  <c r="L418" i="3"/>
  <c r="M418" i="3"/>
  <c r="J417" i="3"/>
  <c r="K417" i="3"/>
  <c r="L417" i="3"/>
  <c r="M417" i="3"/>
  <c r="J416" i="3"/>
  <c r="K416" i="3"/>
  <c r="L416" i="3"/>
  <c r="M416" i="3"/>
  <c r="J415" i="3"/>
  <c r="K415" i="3"/>
  <c r="L415" i="3"/>
  <c r="M415" i="3"/>
  <c r="J414" i="3"/>
  <c r="K414" i="3"/>
  <c r="L414" i="3"/>
  <c r="M414" i="3"/>
  <c r="J413" i="3"/>
  <c r="K413" i="3"/>
  <c r="L413" i="3"/>
  <c r="M413" i="3"/>
  <c r="J412" i="3"/>
  <c r="K412" i="3"/>
  <c r="L412" i="3"/>
  <c r="M412" i="3"/>
  <c r="J411" i="3"/>
  <c r="K411" i="3"/>
  <c r="L411" i="3"/>
  <c r="M411" i="3"/>
  <c r="J410" i="3"/>
  <c r="K410" i="3"/>
  <c r="L410" i="3"/>
  <c r="M410" i="3"/>
  <c r="J409" i="3"/>
  <c r="K409" i="3"/>
  <c r="L409" i="3"/>
  <c r="M409" i="3"/>
  <c r="J408" i="3"/>
  <c r="K408" i="3"/>
  <c r="L408" i="3"/>
  <c r="M408" i="3"/>
  <c r="J407" i="3"/>
  <c r="K407" i="3"/>
  <c r="L407" i="3"/>
  <c r="M407" i="3"/>
  <c r="J406" i="3"/>
  <c r="K406" i="3"/>
  <c r="L406" i="3"/>
  <c r="M406" i="3"/>
  <c r="J405" i="3"/>
  <c r="K405" i="3"/>
  <c r="L405" i="3"/>
  <c r="M405" i="3"/>
  <c r="J404" i="3"/>
  <c r="K404" i="3"/>
  <c r="L404" i="3"/>
  <c r="M404" i="3"/>
  <c r="J403" i="3"/>
  <c r="K403" i="3"/>
  <c r="L403" i="3"/>
  <c r="M403" i="3"/>
  <c r="J402" i="3"/>
  <c r="K402" i="3"/>
  <c r="L402" i="3"/>
  <c r="M402" i="3"/>
  <c r="J401" i="3"/>
  <c r="K401" i="3"/>
  <c r="L401" i="3"/>
  <c r="M401" i="3"/>
  <c r="J400" i="3"/>
  <c r="K400" i="3"/>
  <c r="L400" i="3"/>
  <c r="M400" i="3"/>
  <c r="J399" i="3"/>
  <c r="K399" i="3"/>
  <c r="L399" i="3"/>
  <c r="M399" i="3"/>
  <c r="J398" i="3"/>
  <c r="K398" i="3"/>
  <c r="L398" i="3"/>
  <c r="M398" i="3"/>
  <c r="J397" i="3"/>
  <c r="K397" i="3"/>
  <c r="L397" i="3"/>
  <c r="M397" i="3"/>
  <c r="J396" i="3"/>
  <c r="K396" i="3"/>
  <c r="L396" i="3"/>
  <c r="M396" i="3"/>
  <c r="J395" i="3"/>
  <c r="K395" i="3"/>
  <c r="L395" i="3"/>
  <c r="M395" i="3"/>
  <c r="J394" i="3"/>
  <c r="K394" i="3"/>
  <c r="L394" i="3"/>
  <c r="M394" i="3"/>
  <c r="J393" i="3"/>
  <c r="K393" i="3"/>
  <c r="L393" i="3"/>
  <c r="M393" i="3"/>
  <c r="J392" i="3"/>
  <c r="K392" i="3"/>
  <c r="L392" i="3"/>
  <c r="M392" i="3"/>
  <c r="J391" i="3"/>
  <c r="K391" i="3"/>
  <c r="L391" i="3"/>
  <c r="M391" i="3"/>
  <c r="J390" i="3"/>
  <c r="K390" i="3"/>
  <c r="L390" i="3"/>
  <c r="M390" i="3"/>
  <c r="J389" i="3"/>
  <c r="K389" i="3"/>
  <c r="L389" i="3"/>
  <c r="M389" i="3"/>
  <c r="J388" i="3"/>
  <c r="K388" i="3"/>
  <c r="L388" i="3"/>
  <c r="M388" i="3"/>
  <c r="J387" i="3"/>
  <c r="K387" i="3"/>
  <c r="L387" i="3"/>
  <c r="M387" i="3"/>
  <c r="J386" i="3"/>
  <c r="K386" i="3"/>
  <c r="L386" i="3"/>
  <c r="M386" i="3"/>
  <c r="J385" i="3"/>
  <c r="K385" i="3"/>
  <c r="L385" i="3"/>
  <c r="M385" i="3"/>
  <c r="J384" i="3"/>
  <c r="K384" i="3"/>
  <c r="L384" i="3"/>
  <c r="M384" i="3"/>
  <c r="J383" i="3"/>
  <c r="K383" i="3"/>
  <c r="L383" i="3"/>
  <c r="M383" i="3"/>
  <c r="J382" i="3"/>
  <c r="K382" i="3"/>
  <c r="L382" i="3"/>
  <c r="M382" i="3"/>
  <c r="J381" i="3"/>
  <c r="K381" i="3"/>
  <c r="L381" i="3"/>
  <c r="M381" i="3"/>
  <c r="J380" i="3"/>
  <c r="K380" i="3"/>
  <c r="L380" i="3"/>
  <c r="M380" i="3"/>
  <c r="J379" i="3"/>
  <c r="K379" i="3"/>
  <c r="L379" i="3"/>
  <c r="M379" i="3"/>
  <c r="J378" i="3"/>
  <c r="K378" i="3"/>
  <c r="L378" i="3"/>
  <c r="M378" i="3"/>
  <c r="J377" i="3"/>
  <c r="K377" i="3"/>
  <c r="L377" i="3"/>
  <c r="M377" i="3"/>
  <c r="J376" i="3"/>
  <c r="K376" i="3"/>
  <c r="L376" i="3"/>
  <c r="M376" i="3"/>
  <c r="J375" i="3"/>
  <c r="K375" i="3"/>
  <c r="L375" i="3"/>
  <c r="M375" i="3"/>
  <c r="J374" i="3"/>
  <c r="K374" i="3"/>
  <c r="L374" i="3"/>
  <c r="M374" i="3"/>
  <c r="J373" i="3"/>
  <c r="K373" i="3"/>
  <c r="L373" i="3"/>
  <c r="M373" i="3"/>
  <c r="J372" i="3"/>
  <c r="K372" i="3"/>
  <c r="L372" i="3"/>
  <c r="M372" i="3"/>
  <c r="J371" i="3"/>
  <c r="K371" i="3"/>
  <c r="L371" i="3"/>
  <c r="M371" i="3"/>
  <c r="J370" i="3"/>
  <c r="K370" i="3"/>
  <c r="L370" i="3"/>
  <c r="M370" i="3"/>
  <c r="J369" i="3"/>
  <c r="K369" i="3"/>
  <c r="L369" i="3"/>
  <c r="M369" i="3"/>
  <c r="J368" i="3"/>
  <c r="K368" i="3"/>
  <c r="L368" i="3"/>
  <c r="M368" i="3"/>
  <c r="J367" i="3"/>
  <c r="K367" i="3"/>
  <c r="L367" i="3"/>
  <c r="M367" i="3"/>
  <c r="J366" i="3"/>
  <c r="K366" i="3"/>
  <c r="L366" i="3"/>
  <c r="M366" i="3"/>
  <c r="J365" i="3"/>
  <c r="K365" i="3"/>
  <c r="L365" i="3"/>
  <c r="M365" i="3"/>
  <c r="J364" i="3"/>
  <c r="K364" i="3"/>
  <c r="L364" i="3"/>
  <c r="M364" i="3"/>
  <c r="J363" i="3"/>
  <c r="K363" i="3"/>
  <c r="L363" i="3"/>
  <c r="M363" i="3"/>
  <c r="J362" i="3"/>
  <c r="K362" i="3"/>
  <c r="L362" i="3"/>
  <c r="M362" i="3"/>
  <c r="J361" i="3"/>
  <c r="K361" i="3"/>
  <c r="L361" i="3"/>
  <c r="M361" i="3"/>
  <c r="J360" i="3"/>
  <c r="K360" i="3"/>
  <c r="L360" i="3"/>
  <c r="M360" i="3"/>
  <c r="J359" i="3"/>
  <c r="K359" i="3"/>
  <c r="L359" i="3"/>
  <c r="M359" i="3"/>
  <c r="J358" i="3"/>
  <c r="K358" i="3"/>
  <c r="L358" i="3"/>
  <c r="M358" i="3"/>
  <c r="J357" i="3"/>
  <c r="K357" i="3"/>
  <c r="L357" i="3"/>
  <c r="M357" i="3"/>
  <c r="J356" i="3"/>
  <c r="K356" i="3"/>
  <c r="L356" i="3"/>
  <c r="M356" i="3"/>
  <c r="J355" i="3"/>
  <c r="K355" i="3"/>
  <c r="L355" i="3"/>
  <c r="M355" i="3"/>
  <c r="J354" i="3"/>
  <c r="K354" i="3"/>
  <c r="L354" i="3"/>
  <c r="M354" i="3"/>
  <c r="J353" i="3"/>
  <c r="K353" i="3"/>
  <c r="L353" i="3"/>
  <c r="M353" i="3"/>
  <c r="J352" i="3"/>
  <c r="K352" i="3"/>
  <c r="L352" i="3"/>
  <c r="M352" i="3"/>
  <c r="J351" i="3"/>
  <c r="K351" i="3"/>
  <c r="L351" i="3"/>
  <c r="M351" i="3"/>
  <c r="J350" i="3"/>
  <c r="K350" i="3"/>
  <c r="L350" i="3"/>
  <c r="M350" i="3"/>
  <c r="J349" i="3"/>
  <c r="K349" i="3"/>
  <c r="L349" i="3"/>
  <c r="M349" i="3"/>
  <c r="J348" i="3"/>
  <c r="K348" i="3"/>
  <c r="L348" i="3"/>
  <c r="M348" i="3"/>
  <c r="J347" i="3"/>
  <c r="K347" i="3"/>
  <c r="L347" i="3"/>
  <c r="M347" i="3"/>
  <c r="J346" i="3"/>
  <c r="K346" i="3"/>
  <c r="L346" i="3"/>
  <c r="M346" i="3"/>
  <c r="J345" i="3"/>
  <c r="K345" i="3"/>
  <c r="L345" i="3"/>
  <c r="M345" i="3"/>
  <c r="J344" i="3"/>
  <c r="K344" i="3"/>
  <c r="L344" i="3"/>
  <c r="M344" i="3"/>
  <c r="J343" i="3"/>
  <c r="K343" i="3"/>
  <c r="L343" i="3"/>
  <c r="M343" i="3"/>
  <c r="J342" i="3"/>
  <c r="K342" i="3"/>
  <c r="L342" i="3"/>
  <c r="M342" i="3"/>
  <c r="J341" i="3"/>
  <c r="K341" i="3"/>
  <c r="L341" i="3"/>
  <c r="M341" i="3"/>
  <c r="J340" i="3"/>
  <c r="K340" i="3"/>
  <c r="L340" i="3"/>
  <c r="M340" i="3"/>
  <c r="J339" i="3"/>
  <c r="K339" i="3"/>
  <c r="L339" i="3"/>
  <c r="M339" i="3"/>
  <c r="J338" i="3"/>
  <c r="K338" i="3"/>
  <c r="L338" i="3"/>
  <c r="M338" i="3"/>
  <c r="J337" i="3"/>
  <c r="K337" i="3"/>
  <c r="L337" i="3"/>
  <c r="M337" i="3"/>
  <c r="J336" i="3"/>
  <c r="K336" i="3"/>
  <c r="L336" i="3"/>
  <c r="M336" i="3"/>
  <c r="J335" i="3"/>
  <c r="K335" i="3"/>
  <c r="L335" i="3"/>
  <c r="M335" i="3"/>
  <c r="J334" i="3"/>
  <c r="K334" i="3"/>
  <c r="L334" i="3"/>
  <c r="M334" i="3"/>
  <c r="J333" i="3"/>
  <c r="K333" i="3"/>
  <c r="L333" i="3"/>
  <c r="M333" i="3"/>
  <c r="J332" i="3"/>
  <c r="K332" i="3"/>
  <c r="L332" i="3"/>
  <c r="M332" i="3"/>
  <c r="J331" i="3"/>
  <c r="K331" i="3"/>
  <c r="L331" i="3"/>
  <c r="M331" i="3"/>
  <c r="J330" i="3"/>
  <c r="K330" i="3"/>
  <c r="L330" i="3"/>
  <c r="M330" i="3"/>
  <c r="J329" i="3"/>
  <c r="K329" i="3"/>
  <c r="L329" i="3"/>
  <c r="M329" i="3"/>
  <c r="J328" i="3"/>
  <c r="K328" i="3"/>
  <c r="L328" i="3"/>
  <c r="M328" i="3"/>
  <c r="J327" i="3"/>
  <c r="K327" i="3"/>
  <c r="L327" i="3"/>
  <c r="M327" i="3"/>
  <c r="J326" i="3"/>
  <c r="K326" i="3"/>
  <c r="L326" i="3"/>
  <c r="M326" i="3"/>
  <c r="J325" i="3"/>
  <c r="K325" i="3"/>
  <c r="L325" i="3"/>
  <c r="M325" i="3"/>
  <c r="J324" i="3"/>
  <c r="K324" i="3"/>
  <c r="L324" i="3"/>
  <c r="M324" i="3"/>
  <c r="J323" i="3"/>
  <c r="K323" i="3"/>
  <c r="L323" i="3"/>
  <c r="M323" i="3"/>
  <c r="J322" i="3"/>
  <c r="K322" i="3"/>
  <c r="L322" i="3"/>
  <c r="M322" i="3"/>
  <c r="J321" i="3"/>
  <c r="K321" i="3"/>
  <c r="L321" i="3"/>
  <c r="M321" i="3"/>
  <c r="J320" i="3"/>
  <c r="K320" i="3"/>
  <c r="L320" i="3"/>
  <c r="M320" i="3"/>
  <c r="L319" i="3"/>
  <c r="J319" i="3"/>
  <c r="K319" i="3"/>
  <c r="M319" i="3"/>
  <c r="L318" i="3"/>
  <c r="K318" i="3"/>
  <c r="J318" i="3"/>
  <c r="M318" i="3"/>
  <c r="J317" i="3"/>
  <c r="K317" i="3"/>
  <c r="L317" i="3"/>
  <c r="M317" i="3"/>
  <c r="J316" i="3"/>
  <c r="K316" i="3"/>
  <c r="L316" i="3"/>
  <c r="M316" i="3"/>
  <c r="J315" i="3"/>
  <c r="K315" i="3"/>
  <c r="L315" i="3"/>
  <c r="M315" i="3"/>
  <c r="J314" i="3"/>
  <c r="K314" i="3"/>
  <c r="L314" i="3"/>
  <c r="M314" i="3"/>
  <c r="J313" i="3"/>
  <c r="K313" i="3"/>
  <c r="L313" i="3"/>
  <c r="M313" i="3"/>
  <c r="J312" i="3"/>
  <c r="K312" i="3"/>
  <c r="L312" i="3"/>
  <c r="M312" i="3"/>
  <c r="J311" i="3"/>
  <c r="K311" i="3"/>
  <c r="L311" i="3"/>
  <c r="M311" i="3"/>
  <c r="J310" i="3"/>
  <c r="K310" i="3"/>
  <c r="L310" i="3"/>
  <c r="M310" i="3"/>
  <c r="J309" i="3"/>
  <c r="K309" i="3"/>
  <c r="L309" i="3"/>
  <c r="M309" i="3"/>
  <c r="J308" i="3"/>
  <c r="K308" i="3"/>
  <c r="L308" i="3"/>
  <c r="M308" i="3"/>
  <c r="J307" i="3"/>
  <c r="K307" i="3"/>
  <c r="L307" i="3"/>
  <c r="M307" i="3"/>
  <c r="J306" i="3"/>
  <c r="K306" i="3"/>
  <c r="L306" i="3"/>
  <c r="M306" i="3"/>
  <c r="J305" i="3"/>
  <c r="K305" i="3"/>
  <c r="L305" i="3"/>
  <c r="M305" i="3"/>
  <c r="J304" i="3"/>
  <c r="K304" i="3"/>
  <c r="L304" i="3"/>
  <c r="M304" i="3"/>
  <c r="J303" i="3"/>
  <c r="K303" i="3"/>
  <c r="L303" i="3"/>
  <c r="M303" i="3"/>
  <c r="J302" i="3"/>
  <c r="K302" i="3"/>
  <c r="L302" i="3"/>
  <c r="M302" i="3"/>
  <c r="J301" i="3"/>
  <c r="K301" i="3"/>
  <c r="L301" i="3"/>
  <c r="M301" i="3"/>
  <c r="J300" i="3"/>
  <c r="K300" i="3"/>
  <c r="L300" i="3"/>
  <c r="M300" i="3"/>
  <c r="J299" i="3"/>
  <c r="K299" i="3"/>
  <c r="L299" i="3"/>
  <c r="M299" i="3"/>
  <c r="J298" i="3"/>
  <c r="K298" i="3"/>
  <c r="L298" i="3"/>
  <c r="M298" i="3"/>
  <c r="J297" i="3"/>
  <c r="K297" i="3"/>
  <c r="L297" i="3"/>
  <c r="M297" i="3"/>
  <c r="J296" i="3"/>
  <c r="K296" i="3"/>
  <c r="L296" i="3"/>
  <c r="M296" i="3"/>
  <c r="J295" i="3"/>
  <c r="K295" i="3"/>
  <c r="L295" i="3"/>
  <c r="M295" i="3"/>
  <c r="J294" i="3"/>
  <c r="K294" i="3"/>
  <c r="L294" i="3"/>
  <c r="M294" i="3"/>
  <c r="J293" i="3"/>
  <c r="K293" i="3"/>
  <c r="L293" i="3"/>
  <c r="M293" i="3"/>
  <c r="J292" i="3"/>
  <c r="K292" i="3"/>
  <c r="L292" i="3"/>
  <c r="M292" i="3"/>
  <c r="J291" i="3"/>
  <c r="K291" i="3"/>
  <c r="L291" i="3"/>
  <c r="M291" i="3"/>
  <c r="J290" i="3"/>
  <c r="K290" i="3"/>
  <c r="L290" i="3"/>
  <c r="M290" i="3"/>
  <c r="J289" i="3"/>
  <c r="K289" i="3"/>
  <c r="L289" i="3"/>
  <c r="M289" i="3"/>
  <c r="J288" i="3"/>
  <c r="K288" i="3"/>
  <c r="L288" i="3"/>
  <c r="M288" i="3"/>
  <c r="J287" i="3"/>
  <c r="K287" i="3"/>
  <c r="L287" i="3"/>
  <c r="M287" i="3"/>
  <c r="J286" i="3"/>
  <c r="K286" i="3"/>
  <c r="L286" i="3"/>
  <c r="M286" i="3"/>
  <c r="J285" i="3"/>
  <c r="K285" i="3"/>
  <c r="L285" i="3"/>
  <c r="M285" i="3"/>
  <c r="J284" i="3"/>
  <c r="K284" i="3"/>
  <c r="L284" i="3"/>
  <c r="M284" i="3"/>
  <c r="J283" i="3"/>
  <c r="K283" i="3"/>
  <c r="L283" i="3"/>
  <c r="M283" i="3"/>
  <c r="L282" i="3"/>
  <c r="J282" i="3"/>
  <c r="K282" i="3"/>
  <c r="M282" i="3"/>
  <c r="J281" i="3"/>
  <c r="L281" i="3"/>
  <c r="M281" i="3"/>
  <c r="K281" i="3"/>
  <c r="K280" i="3"/>
  <c r="L280" i="3"/>
  <c r="M280" i="3"/>
  <c r="J280" i="3"/>
  <c r="K279" i="3"/>
  <c r="J279" i="3"/>
  <c r="L279" i="3"/>
  <c r="M279" i="3"/>
  <c r="L278" i="3"/>
  <c r="J278" i="3"/>
  <c r="K278" i="3"/>
  <c r="M278" i="3"/>
  <c r="J277" i="3"/>
  <c r="L277" i="3"/>
  <c r="M277" i="3"/>
  <c r="K277" i="3"/>
  <c r="J276" i="3"/>
  <c r="K276" i="3"/>
  <c r="L276" i="3"/>
  <c r="M276" i="3"/>
  <c r="J275" i="3"/>
  <c r="L275" i="3"/>
  <c r="K275" i="3"/>
  <c r="M275" i="3"/>
  <c r="L274" i="3"/>
  <c r="J274" i="3"/>
  <c r="K274" i="3"/>
  <c r="M274" i="3"/>
  <c r="K273" i="3"/>
  <c r="M273" i="3"/>
  <c r="J273" i="3"/>
  <c r="L273" i="3"/>
  <c r="K272" i="3"/>
  <c r="L272" i="3"/>
  <c r="J272" i="3"/>
  <c r="M272" i="3"/>
  <c r="J271" i="3"/>
  <c r="L271" i="3"/>
  <c r="M271" i="3"/>
  <c r="K271" i="3"/>
  <c r="L270" i="3"/>
  <c r="J270" i="3"/>
  <c r="K270" i="3"/>
  <c r="M270" i="3"/>
  <c r="K269" i="3"/>
  <c r="L269" i="3"/>
  <c r="M269" i="3"/>
  <c r="J269" i="3"/>
  <c r="J268" i="3"/>
  <c r="L268" i="3"/>
  <c r="M268" i="3"/>
  <c r="K268" i="3"/>
  <c r="L267" i="3"/>
  <c r="J267" i="3"/>
  <c r="K267" i="3"/>
  <c r="M267" i="3"/>
  <c r="L266" i="3"/>
  <c r="J266" i="3"/>
  <c r="M266" i="3"/>
  <c r="K266" i="3"/>
  <c r="K265" i="3"/>
  <c r="L265" i="3"/>
  <c r="J265" i="3"/>
  <c r="M265" i="3"/>
  <c r="J264" i="3"/>
  <c r="L264" i="3"/>
  <c r="M264" i="3"/>
  <c r="K264" i="3"/>
  <c r="J263" i="3"/>
  <c r="K263" i="3"/>
  <c r="L263" i="3"/>
  <c r="M263" i="3"/>
  <c r="M262" i="3"/>
  <c r="K262" i="3"/>
  <c r="J262" i="3"/>
  <c r="L262" i="3"/>
  <c r="L261" i="3"/>
  <c r="J261" i="3"/>
  <c r="M261" i="3"/>
  <c r="K261" i="3"/>
  <c r="K260" i="3"/>
  <c r="M260" i="3"/>
  <c r="L260" i="3"/>
  <c r="J260" i="3"/>
  <c r="K259" i="3"/>
  <c r="J259" i="3"/>
  <c r="L259" i="3"/>
  <c r="M259" i="3"/>
  <c r="L258" i="3"/>
  <c r="J258" i="3"/>
  <c r="K258" i="3"/>
  <c r="M258" i="3"/>
  <c r="J257" i="3"/>
  <c r="L257" i="3"/>
  <c r="K257" i="3"/>
  <c r="M257" i="3"/>
  <c r="K256" i="3"/>
  <c r="M256" i="3"/>
  <c r="L256" i="3"/>
  <c r="J256" i="3"/>
  <c r="L255" i="3"/>
  <c r="J255" i="3"/>
  <c r="K255" i="3"/>
  <c r="M255" i="3"/>
  <c r="K254" i="3"/>
  <c r="M254" i="3"/>
  <c r="J254" i="3"/>
  <c r="L254" i="3"/>
  <c r="J253" i="3"/>
  <c r="K253" i="3"/>
  <c r="L253" i="3"/>
  <c r="M253" i="3"/>
  <c r="J252" i="3"/>
  <c r="K252" i="3"/>
  <c r="L252" i="3"/>
  <c r="M252" i="3"/>
  <c r="J251" i="3"/>
  <c r="K251" i="3"/>
  <c r="L251" i="3"/>
  <c r="M251" i="3"/>
  <c r="J250" i="3"/>
  <c r="K250" i="3"/>
  <c r="L250" i="3"/>
  <c r="M250" i="3"/>
  <c r="J249" i="3"/>
  <c r="K249" i="3"/>
  <c r="L249" i="3"/>
  <c r="M249" i="3"/>
  <c r="J248" i="3"/>
  <c r="K248" i="3"/>
  <c r="L248" i="3"/>
  <c r="M248" i="3"/>
  <c r="J247" i="3"/>
  <c r="K247" i="3"/>
  <c r="L247" i="3"/>
  <c r="M247" i="3"/>
  <c r="J246" i="3"/>
  <c r="K246" i="3"/>
  <c r="L246" i="3"/>
  <c r="M246" i="3"/>
  <c r="J245" i="3"/>
  <c r="K245" i="3"/>
  <c r="L245" i="3"/>
  <c r="M245" i="3"/>
  <c r="J244" i="3"/>
  <c r="K244" i="3"/>
  <c r="L244" i="3"/>
  <c r="M244" i="3"/>
  <c r="J243" i="3"/>
  <c r="K243" i="3"/>
  <c r="L243" i="3"/>
  <c r="M243" i="3"/>
  <c r="J242" i="3"/>
  <c r="K242" i="3"/>
  <c r="L242" i="3"/>
  <c r="M242" i="3"/>
  <c r="J241" i="3"/>
  <c r="K241" i="3"/>
  <c r="L241" i="3"/>
  <c r="M241" i="3"/>
  <c r="J240" i="3"/>
  <c r="K240" i="3"/>
  <c r="L240" i="3"/>
  <c r="M240" i="3"/>
  <c r="J239" i="3"/>
  <c r="K239" i="3"/>
  <c r="L239" i="3"/>
  <c r="M239" i="3"/>
  <c r="J238" i="3"/>
  <c r="K238" i="3"/>
  <c r="L238" i="3"/>
  <c r="M238" i="3"/>
  <c r="J237" i="3"/>
  <c r="K237" i="3"/>
  <c r="L237" i="3"/>
  <c r="M237" i="3"/>
  <c r="J236" i="3"/>
  <c r="K236" i="3"/>
  <c r="L236" i="3"/>
  <c r="M236" i="3"/>
  <c r="J235" i="3"/>
  <c r="K235" i="3"/>
  <c r="L235" i="3"/>
  <c r="M235" i="3"/>
  <c r="J234" i="3"/>
  <c r="K234" i="3"/>
  <c r="L234" i="3"/>
  <c r="M234" i="3"/>
  <c r="J233" i="3"/>
  <c r="K233" i="3"/>
  <c r="L233" i="3"/>
  <c r="M233" i="3"/>
  <c r="J232" i="3"/>
  <c r="K232" i="3"/>
  <c r="L232" i="3"/>
  <c r="M232" i="3"/>
  <c r="J231" i="3"/>
  <c r="K231" i="3"/>
  <c r="L231" i="3"/>
  <c r="M231" i="3"/>
  <c r="J230" i="3"/>
  <c r="K230" i="3"/>
  <c r="L230" i="3"/>
  <c r="M230" i="3"/>
  <c r="J229" i="3"/>
  <c r="K229" i="3"/>
  <c r="L229" i="3"/>
  <c r="M229" i="3"/>
  <c r="J228" i="3"/>
  <c r="K228" i="3"/>
  <c r="L228" i="3"/>
  <c r="M228" i="3"/>
  <c r="J227" i="3"/>
  <c r="K227" i="3"/>
  <c r="L227" i="3"/>
  <c r="M227" i="3"/>
  <c r="J226" i="3"/>
  <c r="K226" i="3"/>
  <c r="L226" i="3"/>
  <c r="M226" i="3"/>
  <c r="J225" i="3"/>
  <c r="K225" i="3"/>
  <c r="L225" i="3"/>
  <c r="M225" i="3"/>
  <c r="J224" i="3"/>
  <c r="K224" i="3"/>
  <c r="L224" i="3"/>
  <c r="M224" i="3"/>
  <c r="J223" i="3"/>
  <c r="K223" i="3"/>
  <c r="L223" i="3"/>
  <c r="M223" i="3"/>
  <c r="J222" i="3"/>
  <c r="K222" i="3"/>
  <c r="L222" i="3"/>
  <c r="M222" i="3"/>
  <c r="J221" i="3"/>
  <c r="K221" i="3"/>
  <c r="L221" i="3"/>
  <c r="M221" i="3"/>
  <c r="J220" i="3"/>
  <c r="K220" i="3"/>
  <c r="L220" i="3"/>
  <c r="M220" i="3"/>
  <c r="J219" i="3"/>
  <c r="K219" i="3"/>
  <c r="L219" i="3"/>
  <c r="M219" i="3"/>
  <c r="J218" i="3"/>
  <c r="K218" i="3"/>
  <c r="L218" i="3"/>
  <c r="M218" i="3"/>
  <c r="J217" i="3"/>
  <c r="K217" i="3"/>
  <c r="L217" i="3"/>
  <c r="M217" i="3"/>
  <c r="J216" i="3"/>
  <c r="K216" i="3"/>
  <c r="L216" i="3"/>
  <c r="M216" i="3"/>
  <c r="J215" i="3"/>
  <c r="K215" i="3"/>
  <c r="L215" i="3"/>
  <c r="M215" i="3"/>
  <c r="J214" i="3"/>
  <c r="K214" i="3"/>
  <c r="L214" i="3"/>
  <c r="M214" i="3"/>
  <c r="J213" i="3"/>
  <c r="K213" i="3"/>
  <c r="L213" i="3"/>
  <c r="M213" i="3"/>
  <c r="J212" i="3"/>
  <c r="K212" i="3"/>
  <c r="L212" i="3"/>
  <c r="M212" i="3"/>
  <c r="J211" i="3"/>
  <c r="K211" i="3"/>
  <c r="L211" i="3"/>
  <c r="M211" i="3"/>
  <c r="J210" i="3"/>
  <c r="K210" i="3"/>
  <c r="L210" i="3"/>
  <c r="M210" i="3"/>
  <c r="J209" i="3"/>
  <c r="K209" i="3"/>
  <c r="L209" i="3"/>
  <c r="M209" i="3"/>
  <c r="J208" i="3"/>
  <c r="K208" i="3"/>
  <c r="L208" i="3"/>
  <c r="M208" i="3"/>
  <c r="J207" i="3"/>
  <c r="K207" i="3"/>
  <c r="L207" i="3"/>
  <c r="M207" i="3"/>
  <c r="J206" i="3"/>
  <c r="K206" i="3"/>
  <c r="L206" i="3"/>
  <c r="M206" i="3"/>
  <c r="J205" i="3"/>
  <c r="K205" i="3"/>
  <c r="L205" i="3"/>
  <c r="M205" i="3"/>
  <c r="J204" i="3"/>
  <c r="K204" i="3"/>
  <c r="L204" i="3"/>
  <c r="M204" i="3"/>
  <c r="J203" i="3"/>
  <c r="K203" i="3"/>
  <c r="L203" i="3"/>
  <c r="M203" i="3"/>
  <c r="J202" i="3"/>
  <c r="K202" i="3"/>
  <c r="L202" i="3"/>
  <c r="M202" i="3"/>
  <c r="J201" i="3"/>
  <c r="K201" i="3"/>
  <c r="L201" i="3"/>
  <c r="M201" i="3"/>
  <c r="J200" i="3"/>
  <c r="K200" i="3"/>
  <c r="L200" i="3"/>
  <c r="M200" i="3"/>
  <c r="J199" i="3"/>
  <c r="K199" i="3"/>
  <c r="L199" i="3"/>
  <c r="M199" i="3"/>
  <c r="J198" i="3"/>
  <c r="K198" i="3"/>
  <c r="L198" i="3"/>
  <c r="M198" i="3"/>
  <c r="J197" i="3"/>
  <c r="K197" i="3"/>
  <c r="L197" i="3"/>
  <c r="M197" i="3"/>
  <c r="J196" i="3"/>
  <c r="K196" i="3"/>
  <c r="L196" i="3"/>
  <c r="M196" i="3"/>
  <c r="J195" i="3"/>
  <c r="K195" i="3"/>
  <c r="L195" i="3"/>
  <c r="M195" i="3"/>
  <c r="J194" i="3"/>
  <c r="K194" i="3"/>
  <c r="L194" i="3"/>
  <c r="M194" i="3"/>
  <c r="J193" i="3"/>
  <c r="K193" i="3"/>
  <c r="L193" i="3"/>
  <c r="M193" i="3"/>
  <c r="J192" i="3"/>
  <c r="K192" i="3"/>
  <c r="L192" i="3"/>
  <c r="M192" i="3"/>
  <c r="J191" i="3"/>
  <c r="K191" i="3"/>
  <c r="L191" i="3"/>
  <c r="M191" i="3"/>
  <c r="J190" i="3"/>
  <c r="K190" i="3"/>
  <c r="L190" i="3"/>
  <c r="M190" i="3"/>
  <c r="J189" i="3"/>
  <c r="K189" i="3"/>
  <c r="L189" i="3"/>
  <c r="M189" i="3"/>
  <c r="J188" i="3"/>
  <c r="K188" i="3"/>
  <c r="L188" i="3"/>
  <c r="M188" i="3"/>
  <c r="J187" i="3"/>
  <c r="K187" i="3"/>
  <c r="L187" i="3"/>
  <c r="M187" i="3"/>
  <c r="J186" i="3"/>
  <c r="K186" i="3"/>
  <c r="L186" i="3"/>
  <c r="M186" i="3"/>
  <c r="J185" i="3"/>
  <c r="K185" i="3"/>
  <c r="L185" i="3"/>
  <c r="M185" i="3"/>
  <c r="J184" i="3"/>
  <c r="K184" i="3"/>
  <c r="L184" i="3"/>
  <c r="M184" i="3"/>
  <c r="J183" i="3"/>
  <c r="K183" i="3"/>
  <c r="L183" i="3"/>
  <c r="M183" i="3"/>
  <c r="J182" i="3"/>
  <c r="K182" i="3"/>
  <c r="L182" i="3"/>
  <c r="M182" i="3"/>
  <c r="J181" i="3"/>
  <c r="K181" i="3"/>
  <c r="L181" i="3"/>
  <c r="M181" i="3"/>
  <c r="J180" i="3"/>
  <c r="K180" i="3"/>
  <c r="L180" i="3"/>
  <c r="M180" i="3"/>
  <c r="J179" i="3"/>
  <c r="K179" i="3"/>
  <c r="L179" i="3"/>
  <c r="M179" i="3"/>
  <c r="J178" i="3"/>
  <c r="K178" i="3"/>
  <c r="L178" i="3"/>
  <c r="M178" i="3"/>
  <c r="J177" i="3"/>
  <c r="K177" i="3"/>
  <c r="L177" i="3"/>
  <c r="M177" i="3"/>
  <c r="J176" i="3"/>
  <c r="K176" i="3"/>
  <c r="L176" i="3"/>
  <c r="M176" i="3"/>
  <c r="J175" i="3"/>
  <c r="K175" i="3"/>
  <c r="L175" i="3"/>
  <c r="M175" i="3"/>
  <c r="J174" i="3"/>
  <c r="K174" i="3"/>
  <c r="L174" i="3"/>
  <c r="M174" i="3"/>
  <c r="J173" i="3"/>
  <c r="K173" i="3"/>
  <c r="L173" i="3"/>
  <c r="M173" i="3"/>
  <c r="J172" i="3"/>
  <c r="K172" i="3"/>
  <c r="L172" i="3"/>
  <c r="M172" i="3"/>
  <c r="J171" i="3"/>
  <c r="K171" i="3"/>
  <c r="L171" i="3"/>
  <c r="M171" i="3"/>
  <c r="J170" i="3"/>
  <c r="K170" i="3"/>
  <c r="L170" i="3"/>
  <c r="M170" i="3"/>
  <c r="J169" i="3"/>
  <c r="K169" i="3"/>
  <c r="L169" i="3"/>
  <c r="M169" i="3"/>
  <c r="J168" i="3"/>
  <c r="K168" i="3"/>
  <c r="L168" i="3"/>
  <c r="M168" i="3"/>
  <c r="J167" i="3"/>
  <c r="K167" i="3"/>
  <c r="L167" i="3"/>
  <c r="M167" i="3"/>
  <c r="J166" i="3"/>
  <c r="K166" i="3"/>
  <c r="L166" i="3"/>
  <c r="M166" i="3"/>
  <c r="J165" i="3"/>
  <c r="K165" i="3"/>
  <c r="L165" i="3"/>
  <c r="M165" i="3"/>
  <c r="J164" i="3"/>
  <c r="K164" i="3"/>
  <c r="L164" i="3"/>
  <c r="M164" i="3"/>
  <c r="J163" i="3"/>
  <c r="K163" i="3"/>
  <c r="L163" i="3"/>
  <c r="M163" i="3"/>
  <c r="J162" i="3"/>
  <c r="K162" i="3"/>
  <c r="L162" i="3"/>
  <c r="M162" i="3"/>
  <c r="J161" i="3"/>
  <c r="K161" i="3"/>
  <c r="L161" i="3"/>
  <c r="M161" i="3"/>
  <c r="J160" i="3"/>
  <c r="K160" i="3"/>
  <c r="L160" i="3"/>
  <c r="M160" i="3"/>
  <c r="J159" i="3"/>
  <c r="K159" i="3"/>
  <c r="L159" i="3"/>
  <c r="M159" i="3"/>
  <c r="J158" i="3"/>
  <c r="K158" i="3"/>
  <c r="L158" i="3"/>
  <c r="M158" i="3"/>
  <c r="J157" i="3"/>
  <c r="K157" i="3"/>
  <c r="L157" i="3"/>
  <c r="M157" i="3"/>
  <c r="J156" i="3"/>
  <c r="K156" i="3"/>
  <c r="L156" i="3"/>
  <c r="M156" i="3"/>
  <c r="J155" i="3"/>
  <c r="K155" i="3"/>
  <c r="L155" i="3"/>
  <c r="M155" i="3"/>
  <c r="J154" i="3"/>
  <c r="K154" i="3"/>
  <c r="L154" i="3"/>
  <c r="M154" i="3"/>
  <c r="J153" i="3"/>
  <c r="K153" i="3"/>
  <c r="L153" i="3"/>
  <c r="M153" i="3"/>
  <c r="J152" i="3"/>
  <c r="K152" i="3"/>
  <c r="L152" i="3"/>
  <c r="M152" i="3"/>
  <c r="J151" i="3"/>
  <c r="K151" i="3"/>
  <c r="L151" i="3"/>
  <c r="M151" i="3"/>
  <c r="J150" i="3"/>
  <c r="K150" i="3"/>
  <c r="L150" i="3"/>
  <c r="M150" i="3"/>
  <c r="J149" i="3"/>
  <c r="K149" i="3"/>
  <c r="L149" i="3"/>
  <c r="M149" i="3"/>
  <c r="J148" i="3"/>
  <c r="K148" i="3"/>
  <c r="L148" i="3"/>
  <c r="M148" i="3"/>
  <c r="J147" i="3"/>
  <c r="K147" i="3"/>
  <c r="L147" i="3"/>
  <c r="M147" i="3"/>
  <c r="J146" i="3"/>
  <c r="K146" i="3"/>
  <c r="L146" i="3"/>
  <c r="M146" i="3"/>
  <c r="J145" i="3"/>
  <c r="K145" i="3"/>
  <c r="L145" i="3"/>
  <c r="M145" i="3"/>
  <c r="J144" i="3"/>
  <c r="K144" i="3"/>
  <c r="L144" i="3"/>
  <c r="M144" i="3"/>
  <c r="J143" i="3"/>
  <c r="K143" i="3"/>
  <c r="L143" i="3"/>
  <c r="M143" i="3"/>
  <c r="J142" i="3"/>
  <c r="K142" i="3"/>
  <c r="L142" i="3"/>
  <c r="M142" i="3"/>
  <c r="J141" i="3"/>
  <c r="K141" i="3"/>
  <c r="L141" i="3"/>
  <c r="M141" i="3"/>
  <c r="J140" i="3"/>
  <c r="K140" i="3"/>
  <c r="L140" i="3"/>
  <c r="M140" i="3"/>
  <c r="J139" i="3"/>
  <c r="K139" i="3"/>
  <c r="L139" i="3"/>
  <c r="M139" i="3"/>
  <c r="J138" i="3"/>
  <c r="K138" i="3"/>
  <c r="L138" i="3"/>
  <c r="M138" i="3"/>
  <c r="J137" i="3"/>
  <c r="K137" i="3"/>
  <c r="L137" i="3"/>
  <c r="M137" i="3"/>
  <c r="J136" i="3"/>
  <c r="K136" i="3"/>
  <c r="L136" i="3"/>
  <c r="M136" i="3"/>
  <c r="J135" i="3"/>
  <c r="K135" i="3"/>
  <c r="L135" i="3"/>
  <c r="M135" i="3"/>
  <c r="J134" i="3"/>
  <c r="K134" i="3"/>
  <c r="L134" i="3"/>
  <c r="M134" i="3"/>
  <c r="J133" i="3"/>
  <c r="K133" i="3"/>
  <c r="L133" i="3"/>
  <c r="M133" i="3"/>
  <c r="J132" i="3"/>
  <c r="K132" i="3"/>
  <c r="L132" i="3"/>
  <c r="M132" i="3"/>
  <c r="J131" i="3"/>
  <c r="K131" i="3"/>
  <c r="L131" i="3"/>
  <c r="M131" i="3"/>
  <c r="J130" i="3"/>
  <c r="K130" i="3"/>
  <c r="L130" i="3"/>
  <c r="M130" i="3"/>
  <c r="J129" i="3"/>
  <c r="K129" i="3"/>
  <c r="L129" i="3"/>
  <c r="M129" i="3"/>
  <c r="J128" i="3"/>
  <c r="K128" i="3"/>
  <c r="L128" i="3"/>
  <c r="M128" i="3"/>
  <c r="J127" i="3"/>
  <c r="K127" i="3"/>
  <c r="L127" i="3"/>
  <c r="M127" i="3"/>
  <c r="J126" i="3"/>
  <c r="K126" i="3"/>
  <c r="L126" i="3"/>
  <c r="M126" i="3"/>
  <c r="J125" i="3"/>
  <c r="K125" i="3"/>
  <c r="L125" i="3"/>
  <c r="M125" i="3"/>
  <c r="J124" i="3"/>
  <c r="K124" i="3"/>
  <c r="L124" i="3"/>
  <c r="M124" i="3"/>
  <c r="K123" i="3"/>
  <c r="M123" i="3"/>
  <c r="J123" i="3"/>
  <c r="L123" i="3"/>
  <c r="J122" i="3"/>
  <c r="L122" i="3"/>
  <c r="M122" i="3"/>
  <c r="K122" i="3"/>
  <c r="K121" i="3"/>
  <c r="J121" i="3"/>
  <c r="L121" i="3"/>
  <c r="M121" i="3"/>
  <c r="J120" i="3"/>
  <c r="L120" i="3"/>
  <c r="M120" i="3"/>
  <c r="K120" i="3"/>
  <c r="K119" i="3"/>
  <c r="M119" i="3"/>
  <c r="J119" i="3"/>
  <c r="L119" i="3"/>
  <c r="K118" i="3"/>
  <c r="J118" i="3"/>
  <c r="L118" i="3"/>
  <c r="M118" i="3"/>
  <c r="K117" i="3"/>
  <c r="J117" i="3"/>
  <c r="L117" i="3"/>
  <c r="M117" i="3"/>
  <c r="J116" i="3"/>
  <c r="K116" i="3"/>
  <c r="L116" i="3"/>
  <c r="M116" i="3"/>
  <c r="L115" i="3"/>
  <c r="J115" i="3"/>
  <c r="K115" i="3"/>
  <c r="M115" i="3"/>
  <c r="K114" i="3"/>
  <c r="J114" i="3"/>
  <c r="L114" i="3"/>
  <c r="M114" i="3"/>
  <c r="L113" i="3"/>
  <c r="M113" i="3"/>
  <c r="J113" i="3"/>
  <c r="K113" i="3"/>
  <c r="K112" i="3"/>
  <c r="M112" i="3"/>
  <c r="J112" i="3"/>
  <c r="L112" i="3"/>
  <c r="K111" i="3"/>
  <c r="L111" i="3"/>
  <c r="M111" i="3"/>
  <c r="J111" i="3"/>
  <c r="L110" i="3"/>
  <c r="J110" i="3"/>
  <c r="K110" i="3"/>
  <c r="M110" i="3"/>
  <c r="K109" i="3"/>
  <c r="L109" i="3"/>
  <c r="J109" i="3"/>
  <c r="M109" i="3"/>
  <c r="J108" i="3"/>
  <c r="K108" i="3"/>
  <c r="L108" i="3"/>
  <c r="M108" i="3"/>
  <c r="J107" i="3"/>
  <c r="K107" i="3"/>
  <c r="L107" i="3"/>
  <c r="M107" i="3"/>
  <c r="J106" i="3"/>
  <c r="K106" i="3"/>
  <c r="M106" i="3"/>
  <c r="L106" i="3"/>
  <c r="K105" i="3"/>
  <c r="M105" i="3"/>
  <c r="J105" i="3"/>
  <c r="L105" i="3"/>
  <c r="K104" i="3"/>
  <c r="M104" i="3"/>
  <c r="J104" i="3"/>
  <c r="L104" i="3"/>
  <c r="L103" i="3"/>
  <c r="J103" i="3"/>
  <c r="K103" i="3"/>
  <c r="M103" i="3"/>
  <c r="L102" i="3"/>
  <c r="M102" i="3"/>
  <c r="J102" i="3"/>
  <c r="K102" i="3"/>
  <c r="K101" i="3"/>
  <c r="M101" i="3"/>
  <c r="J101" i="3"/>
  <c r="L101" i="3"/>
  <c r="J100" i="3"/>
  <c r="K100" i="3"/>
  <c r="L100" i="3"/>
  <c r="M100" i="3"/>
  <c r="J99" i="3"/>
  <c r="K99" i="3"/>
  <c r="L99" i="3"/>
  <c r="M99" i="3"/>
  <c r="J98" i="3"/>
  <c r="K98" i="3"/>
  <c r="L98" i="3"/>
  <c r="M98" i="3"/>
  <c r="L97" i="3"/>
  <c r="J97" i="3"/>
  <c r="K97" i="3"/>
  <c r="M97" i="3"/>
  <c r="J96" i="3"/>
  <c r="K96" i="3"/>
  <c r="L96" i="3"/>
  <c r="M96" i="3"/>
  <c r="J95" i="3"/>
  <c r="K95" i="3"/>
  <c r="L95" i="3"/>
  <c r="M95" i="3"/>
  <c r="K94" i="3"/>
  <c r="M94" i="3"/>
  <c r="J94" i="3"/>
  <c r="L94" i="3"/>
  <c r="K93" i="3"/>
  <c r="J93" i="3"/>
  <c r="L93" i="3"/>
  <c r="M93" i="3"/>
  <c r="J92" i="3"/>
  <c r="L92" i="3"/>
  <c r="M92" i="3"/>
  <c r="K92" i="3"/>
  <c r="K91" i="3"/>
  <c r="J91" i="3"/>
  <c r="L91" i="3"/>
  <c r="M91" i="3"/>
  <c r="K90" i="3"/>
  <c r="L90" i="3"/>
  <c r="M90" i="3"/>
  <c r="J90" i="3"/>
  <c r="L89" i="3"/>
  <c r="J89" i="3"/>
  <c r="K89" i="3"/>
  <c r="M89" i="3"/>
  <c r="J88" i="3"/>
  <c r="L88" i="3"/>
  <c r="K88" i="3"/>
  <c r="M88" i="3"/>
  <c r="L87" i="3"/>
  <c r="M87" i="3"/>
  <c r="J87" i="3"/>
  <c r="K87" i="3"/>
  <c r="K86" i="3"/>
  <c r="L86" i="3"/>
  <c r="J86" i="3"/>
  <c r="M86" i="3"/>
  <c r="K85" i="3"/>
  <c r="L85" i="3"/>
  <c r="J85" i="3"/>
  <c r="M85" i="3"/>
  <c r="M84" i="3"/>
  <c r="J84" i="3"/>
  <c r="L84" i="3"/>
  <c r="K84" i="3"/>
  <c r="M83" i="3"/>
  <c r="K83" i="3"/>
  <c r="J83" i="3"/>
  <c r="L83" i="3"/>
  <c r="J82" i="3"/>
  <c r="L82" i="3"/>
  <c r="M82" i="3"/>
  <c r="K82" i="3"/>
  <c r="K81" i="3"/>
  <c r="M81" i="3"/>
  <c r="L81" i="3"/>
  <c r="J81" i="3"/>
  <c r="K80" i="3"/>
  <c r="L80" i="3"/>
  <c r="J80" i="3"/>
  <c r="M80" i="3"/>
  <c r="K79" i="3"/>
  <c r="L79" i="3"/>
  <c r="J79" i="3"/>
  <c r="M79" i="3"/>
  <c r="K78" i="3"/>
  <c r="J78" i="3"/>
  <c r="L78" i="3"/>
  <c r="M78" i="3"/>
  <c r="L77" i="3"/>
  <c r="K77" i="3"/>
  <c r="J77" i="3"/>
  <c r="M77" i="3"/>
  <c r="K76" i="3"/>
  <c r="J76" i="3"/>
  <c r="L76" i="3"/>
  <c r="M76" i="3"/>
  <c r="L75" i="3"/>
  <c r="J75" i="3"/>
  <c r="M75" i="3"/>
  <c r="K75" i="3"/>
  <c r="L74" i="3"/>
  <c r="K74" i="3"/>
  <c r="M74" i="3"/>
  <c r="J74" i="3"/>
  <c r="L73" i="3"/>
  <c r="K73" i="3"/>
  <c r="M73" i="3"/>
  <c r="J73" i="3"/>
  <c r="K72" i="3"/>
  <c r="M72" i="3"/>
  <c r="J72" i="3"/>
  <c r="L72" i="3"/>
  <c r="J71" i="3"/>
  <c r="K71" i="3"/>
  <c r="L71" i="3"/>
  <c r="M71" i="3"/>
  <c r="J70" i="3"/>
  <c r="K70" i="3"/>
  <c r="L70" i="3"/>
  <c r="M70" i="3"/>
  <c r="M69" i="3"/>
  <c r="J69" i="3"/>
  <c r="K69" i="3"/>
  <c r="L69" i="3"/>
  <c r="K68" i="3"/>
  <c r="M68" i="3"/>
  <c r="J68" i="3"/>
  <c r="L68" i="3"/>
  <c r="L67" i="3"/>
  <c r="J67" i="3"/>
  <c r="K67" i="3"/>
  <c r="M67" i="3"/>
  <c r="K66" i="3"/>
  <c r="M66" i="3"/>
  <c r="J66" i="3"/>
  <c r="L66" i="3"/>
  <c r="K65" i="3"/>
  <c r="M65" i="3"/>
  <c r="L65" i="3"/>
  <c r="J65" i="3"/>
  <c r="K64" i="3"/>
  <c r="J64" i="3"/>
  <c r="L64" i="3"/>
  <c r="M64" i="3"/>
  <c r="L63" i="3"/>
  <c r="J63" i="3"/>
  <c r="K63" i="3"/>
  <c r="M63" i="3"/>
  <c r="L62" i="3"/>
  <c r="K62" i="3"/>
  <c r="J62" i="3"/>
  <c r="M62" i="3"/>
  <c r="L61" i="3"/>
  <c r="M61" i="3"/>
  <c r="K61" i="3"/>
  <c r="J61" i="3"/>
  <c r="L60" i="3"/>
  <c r="J60" i="3"/>
  <c r="M60" i="3"/>
  <c r="K60" i="3"/>
  <c r="J59" i="3"/>
  <c r="K59" i="3"/>
  <c r="L59" i="3"/>
  <c r="M59" i="3"/>
  <c r="J58" i="3"/>
  <c r="K58" i="3"/>
  <c r="L58" i="3"/>
  <c r="M58" i="3"/>
  <c r="J57" i="3"/>
  <c r="K57" i="3"/>
  <c r="L57" i="3"/>
  <c r="M57" i="3"/>
  <c r="J56" i="3"/>
  <c r="K56" i="3"/>
  <c r="L56" i="3"/>
  <c r="M56" i="3"/>
  <c r="J55" i="3"/>
  <c r="K55" i="3"/>
  <c r="L55" i="3"/>
  <c r="M55" i="3"/>
  <c r="J54" i="3"/>
  <c r="K54" i="3"/>
  <c r="L54" i="3"/>
  <c r="M54" i="3"/>
  <c r="J53" i="3"/>
  <c r="K53" i="3"/>
  <c r="L53" i="3"/>
  <c r="M53" i="3"/>
  <c r="J52" i="3"/>
  <c r="K52" i="3"/>
  <c r="L52" i="3"/>
  <c r="M52" i="3"/>
  <c r="K51" i="3"/>
  <c r="M51" i="3"/>
  <c r="J51" i="3"/>
  <c r="L51" i="3"/>
  <c r="L50" i="3"/>
  <c r="K50" i="3"/>
  <c r="M50" i="3"/>
  <c r="J50" i="3"/>
  <c r="J49" i="3"/>
  <c r="L49" i="3"/>
  <c r="K49" i="3"/>
  <c r="M49" i="3"/>
  <c r="L48" i="3"/>
  <c r="J48" i="3"/>
  <c r="K48" i="3"/>
  <c r="M48" i="3"/>
  <c r="J47" i="3"/>
  <c r="K47" i="3"/>
  <c r="M47" i="3"/>
  <c r="L47" i="3"/>
  <c r="M46" i="3"/>
  <c r="K46" i="3"/>
  <c r="L46" i="3"/>
  <c r="J46" i="3"/>
  <c r="K45" i="3"/>
  <c r="M45" i="3"/>
  <c r="J45" i="3"/>
  <c r="L45" i="3"/>
  <c r="J44" i="3"/>
  <c r="L44" i="3"/>
  <c r="M44" i="3"/>
  <c r="K44" i="3"/>
  <c r="M43" i="3"/>
  <c r="K43" i="3"/>
  <c r="J43" i="3"/>
  <c r="L43" i="3"/>
  <c r="J42" i="3"/>
  <c r="K42" i="3"/>
  <c r="M42" i="3"/>
  <c r="L42" i="3"/>
  <c r="L41" i="3"/>
  <c r="K41" i="3"/>
  <c r="J41" i="3"/>
  <c r="M41" i="3"/>
  <c r="L40" i="3"/>
  <c r="M40" i="3"/>
  <c r="K40" i="3"/>
  <c r="J40" i="3"/>
  <c r="J39" i="3"/>
  <c r="M39" i="3"/>
  <c r="K39" i="3"/>
  <c r="L39" i="3"/>
  <c r="J38" i="3"/>
  <c r="L38" i="3"/>
  <c r="K38" i="3"/>
  <c r="M38" i="3"/>
  <c r="K37" i="3"/>
  <c r="J37" i="3"/>
  <c r="L37" i="3"/>
  <c r="M37" i="3"/>
  <c r="K36" i="3"/>
  <c r="M36" i="3"/>
  <c r="J36" i="3"/>
  <c r="L36" i="3"/>
  <c r="L35" i="3"/>
  <c r="M35" i="3"/>
  <c r="K35" i="3"/>
  <c r="J35" i="3"/>
  <c r="K34" i="3"/>
  <c r="L34" i="3"/>
  <c r="J34" i="3"/>
  <c r="M34" i="3"/>
  <c r="K33" i="3"/>
  <c r="M33" i="3"/>
  <c r="J33" i="3"/>
  <c r="L33" i="3"/>
  <c r="J32" i="3"/>
  <c r="K32" i="3"/>
  <c r="M32" i="3"/>
  <c r="L32" i="3"/>
  <c r="M31" i="3"/>
  <c r="L31" i="3"/>
  <c r="J31" i="3"/>
  <c r="K31" i="3"/>
  <c r="L30" i="3"/>
  <c r="M30" i="3"/>
  <c r="J30" i="3"/>
  <c r="K30" i="3"/>
  <c r="L29" i="3"/>
  <c r="M29" i="3"/>
  <c r="K29" i="3"/>
  <c r="J29" i="3"/>
  <c r="L28" i="3"/>
  <c r="M28" i="3"/>
  <c r="K28" i="3"/>
  <c r="J28" i="3"/>
  <c r="M27" i="3"/>
  <c r="J27" i="3"/>
  <c r="K27" i="3"/>
  <c r="L27" i="3"/>
  <c r="K26" i="3"/>
  <c r="L26" i="3"/>
  <c r="M26" i="3"/>
  <c r="J26" i="3"/>
  <c r="K25" i="3"/>
  <c r="L25" i="3"/>
  <c r="J25" i="3"/>
  <c r="M25" i="3"/>
  <c r="L24" i="3"/>
  <c r="K24" i="3"/>
  <c r="J24" i="3"/>
  <c r="M24" i="3"/>
  <c r="L23" i="3"/>
  <c r="J23" i="3"/>
  <c r="M23" i="3"/>
  <c r="K23" i="3"/>
  <c r="K22" i="3"/>
  <c r="L22" i="3"/>
  <c r="J22" i="3"/>
  <c r="M22" i="3"/>
  <c r="L21" i="3"/>
  <c r="K21" i="3"/>
  <c r="M21" i="3"/>
  <c r="J21" i="3"/>
  <c r="L20" i="3"/>
  <c r="M20" i="3"/>
  <c r="J20" i="3"/>
  <c r="K20" i="3"/>
  <c r="K19" i="3"/>
  <c r="J19" i="3"/>
  <c r="L19" i="3"/>
  <c r="M19" i="3"/>
  <c r="K18" i="3"/>
  <c r="M18" i="3"/>
  <c r="L18" i="3"/>
  <c r="J18" i="3"/>
  <c r="J17" i="3"/>
  <c r="L17" i="3"/>
  <c r="M17" i="3"/>
  <c r="K17" i="3"/>
  <c r="L16" i="3"/>
  <c r="K16" i="3"/>
  <c r="J16" i="3"/>
  <c r="M16" i="3"/>
  <c r="L15" i="3"/>
  <c r="J15" i="3"/>
  <c r="M15" i="3"/>
  <c r="K15" i="3"/>
  <c r="M14" i="3"/>
  <c r="J14" i="3"/>
  <c r="L14" i="3"/>
  <c r="K14" i="3"/>
  <c r="J13" i="3"/>
  <c r="M13" i="3"/>
  <c r="L13" i="3"/>
  <c r="K13" i="3"/>
  <c r="K12" i="3"/>
  <c r="M12" i="3"/>
  <c r="J12" i="3"/>
  <c r="L12" i="3"/>
  <c r="K11" i="3"/>
  <c r="M11" i="3"/>
  <c r="L11" i="3"/>
  <c r="J11" i="3"/>
  <c r="L10" i="3"/>
  <c r="M10" i="3"/>
  <c r="K10" i="3"/>
  <c r="J10" i="3"/>
  <c r="L9" i="3"/>
  <c r="M9" i="3"/>
  <c r="K9" i="3"/>
  <c r="J9" i="3"/>
  <c r="L8" i="3"/>
  <c r="K8" i="3"/>
  <c r="J8" i="3"/>
  <c r="M8" i="3"/>
  <c r="K7" i="3"/>
  <c r="L7" i="3"/>
  <c r="M7" i="3"/>
  <c r="J7" i="3"/>
  <c r="K6" i="3"/>
  <c r="M6" i="3"/>
  <c r="J6" i="3"/>
  <c r="L6" i="3"/>
  <c r="J5" i="3"/>
  <c r="K5" i="3"/>
  <c r="L5" i="3"/>
  <c r="M5" i="3"/>
  <c r="J4" i="3"/>
  <c r="K4" i="3"/>
  <c r="L4" i="3"/>
  <c r="M4" i="3"/>
  <c r="J3" i="3"/>
  <c r="K3" i="3"/>
  <c r="L3" i="3"/>
  <c r="M3" i="3"/>
  <c r="K2" i="3"/>
  <c r="P3" i="3"/>
  <c r="P4" i="3" s="1"/>
  <c r="M2" i="3"/>
  <c r="J2" i="3"/>
  <c r="L2" i="3"/>
  <c r="B5" i="5" l="1"/>
  <c r="B7" i="4"/>
  <c r="B11" i="5"/>
  <c r="B2" i="4"/>
  <c r="B4" i="4"/>
  <c r="B6" i="4"/>
  <c r="B8" i="4"/>
  <c r="B9" i="4"/>
  <c r="B11" i="4" s="1"/>
  <c r="B3" i="4"/>
  <c r="B5" i="4"/>
  <c r="B3" i="6"/>
  <c r="B7" i="6" s="1"/>
  <c r="B12" i="5"/>
  <c r="B4" i="5"/>
  <c r="B5" i="6"/>
  <c r="B6" i="5"/>
  <c r="B4" i="6"/>
  <c r="B3" i="5"/>
  <c r="B10" i="4" l="1"/>
</calcChain>
</file>

<file path=xl/sharedStrings.xml><?xml version="1.0" encoding="utf-8"?>
<sst xmlns="http://schemas.openxmlformats.org/spreadsheetml/2006/main" count="5655" uniqueCount="98">
  <si>
    <t>EDA — Rendimiento estudiantil (versión Excel)</t>
  </si>
  <si>
    <t>Análisis exploratorio sobre la base ya limpia (student_performance_limpio).</t>
  </si>
  <si>
    <t>Mapa del libro</t>
  </si>
  <si>
    <t>Datos</t>
  </si>
  <si>
    <t>Base limpia de estudiantes (una fila por estudiante).</t>
  </si>
  <si>
    <t>Calidad</t>
  </si>
  <si>
    <t>Revisa nulos, duplicados y valores fuera de rango (Paso 2).</t>
  </si>
  <si>
    <t>Univariado</t>
  </si>
  <si>
    <t>Estadísticas de la nota final y conteo por nota (Paso 3).</t>
  </si>
  <si>
    <t>Bivariado</t>
  </si>
  <si>
    <t>Nota promedio por educación de padres y por género (Paso 4).</t>
  </si>
  <si>
    <t>Correlacion</t>
  </si>
  <si>
    <t>Relación de estudio/nota previa/asistencia con la nota final (Paso 5).</t>
  </si>
  <si>
    <t>Conclusiones</t>
  </si>
  <si>
    <t>Hallazgos e hipótesis (Paso 6).</t>
  </si>
  <si>
    <t>Leyenda de colores</t>
  </si>
  <si>
    <t>Texto azul</t>
  </si>
  <si>
    <t>Dato de entrada (la base). Se puede reemplazar por otra base con las mismas columnas.</t>
  </si>
  <si>
    <t>Texto negro</t>
  </si>
  <si>
    <t>Resultado calculado con fórmula.</t>
  </si>
  <si>
    <t>Celda amarilla</t>
  </si>
  <si>
    <t>Conclusión escrita por la estudiante.</t>
  </si>
  <si>
    <t>student_id</t>
  </si>
  <si>
    <t>gender</t>
  </si>
  <si>
    <t>parental_education</t>
  </si>
  <si>
    <t>Internet_Access</t>
  </si>
  <si>
    <t>extracurricular_activities</t>
  </si>
  <si>
    <t>part_time_job</t>
  </si>
  <si>
    <t>final_grade</t>
  </si>
  <si>
    <t>enrollment_date_clean</t>
  </si>
  <si>
    <t>study_time_hours</t>
  </si>
  <si>
    <t>attendance_percent</t>
  </si>
  <si>
    <t>sleep_hours</t>
  </si>
  <si>
    <t>previous_grade</t>
  </si>
  <si>
    <t>final_exam_score</t>
  </si>
  <si>
    <t>Female</t>
  </si>
  <si>
    <t>Masters</t>
  </si>
  <si>
    <t>Yes</t>
  </si>
  <si>
    <t>A</t>
  </si>
  <si>
    <t>PhD</t>
  </si>
  <si>
    <t>No</t>
  </si>
  <si>
    <t>F</t>
  </si>
  <si>
    <t>Bachelors</t>
  </si>
  <si>
    <t>C</t>
  </si>
  <si>
    <t>Male</t>
  </si>
  <si>
    <t>High School</t>
  </si>
  <si>
    <t>D</t>
  </si>
  <si>
    <t>B</t>
  </si>
  <si>
    <t>en_rango</t>
  </si>
  <si>
    <t>nota_v</t>
  </si>
  <si>
    <t>estudio_v</t>
  </si>
  <si>
    <t>prev_v</t>
  </si>
  <si>
    <t>asist_v</t>
  </si>
  <si>
    <t>Resumen de calidad</t>
  </si>
  <si>
    <t>Filas totales</t>
  </si>
  <si>
    <t>Filas válidas (en rango)</t>
  </si>
  <si>
    <t>Filas fuera de rango</t>
  </si>
  <si>
    <t>Nulos en parental_education</t>
  </si>
  <si>
    <t>Nulos en Internet_Access</t>
  </si>
  <si>
    <t>Nulos en enrollment_date</t>
  </si>
  <si>
    <t>Nota: una fila con algún valor imposible (nota, %, horas fuera de rango) se marca en_rango=FALSE y se excluye del análisis.</t>
  </si>
  <si>
    <t>Estadísticas de la nota del examen final (solo filas válidas)</t>
  </si>
  <si>
    <t>Conteo</t>
  </si>
  <si>
    <t>Promedio</t>
  </si>
  <si>
    <t>Mínimo</t>
  </si>
  <si>
    <t>Máximo</t>
  </si>
  <si>
    <t>Desviación estándar</t>
  </si>
  <si>
    <t>Q1</t>
  </si>
  <si>
    <t>Mediana</t>
  </si>
  <si>
    <t>Q3</t>
  </si>
  <si>
    <t>Límite inferior outlier (Q1-1.5·RIC)</t>
  </si>
  <si>
    <t>Límite superior outlier (Q3+1.5·RIC)</t>
  </si>
  <si>
    <t>Nota final</t>
  </si>
  <si>
    <t>Estudiantes</t>
  </si>
  <si>
    <t>Nota promedio según educación de los padres</t>
  </si>
  <si>
    <t>Educación</t>
  </si>
  <si>
    <t>Nota promedio</t>
  </si>
  <si>
    <t>(sin dato de educación se excluye)</t>
  </si>
  <si>
    <t>Nota promedio por género</t>
  </si>
  <si>
    <t>Género</t>
  </si>
  <si>
    <t>Dispersión: horas de estudio vs nota final</t>
  </si>
  <si>
    <t>Correlación con la nota final</t>
  </si>
  <si>
    <t>Variable</t>
  </si>
  <si>
    <t>Coef. correlación (r)</t>
  </si>
  <si>
    <t>Horas de estudio</t>
  </si>
  <si>
    <t>Nota previa</t>
  </si>
  <si>
    <t>Asistencia (%)</t>
  </si>
  <si>
    <t>Interpretación (horas de estudio)</t>
  </si>
  <si>
    <t>Recuerda: correlación no implica causalidad.</t>
  </si>
  <si>
    <t>Hallazgos del análisis exploratorio de la base de rendimiento estudiantil.</t>
  </si>
  <si>
    <t>Hallazgo 1</t>
  </si>
  <si>
    <t>Las horas de estudio son la variable que más se relaciona con la nota final (r ≈ 0.63, correlación moderada). Los que estudian más tienden a sacar mejor nota; le sigue la nota previa (r ≈ 0.42).</t>
  </si>
  <si>
    <t>Hallazgo 2</t>
  </si>
  <si>
    <t>La educación de los padres casi no cambia la nota promedio (todas las categorías quedan entre 73 y 74.5), así que no parece un factor importante aquí. El género tampoco marca diferencia.</t>
  </si>
  <si>
    <t>Hallazgo 3 (calidad)</t>
  </si>
  <si>
    <t>Quedaron valores imposibles de la limpieza: una nota de 999, asistencia de 150% y sueño de 25 h. Se excluyen en la hoja Calidad, pero habría que corregirlos en el origen.</t>
  </si>
  <si>
    <t>Hipótesis a validar</t>
  </si>
  <si>
    <t>Si un estudiante aumenta sus horas de estudio, debería subir su nota final. Habría que comprobarlo con un modelo, no solo con la correlación.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</si>
</sst>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color rgb="FF1F4E78"/>
      <name val="Arial"/>
      <family val="2"/>
    </font>
    <font>
      <i/>
      <sz val="11"/>
      <name val="Arial"/>
      <family val="2"/>
    </font>
    <font>
      <i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1F4E78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2" fontId="2" fillId="0" borderId="0" xfId="0" applyNumberFormat="1" applyFont="1"/>
    <xf numFmtId="165" fontId="2" fillId="0" borderId="0" xfId="0" applyNumberFormat="1" applyFont="1"/>
    <xf numFmtId="0" fontId="7" fillId="0" borderId="0" xfId="0" applyFont="1"/>
    <xf numFmtId="166" fontId="2" fillId="0" borderId="0" xfId="0" applyNumberFormat="1" applyFont="1"/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Estudiantes por nota final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Univariado!$B$13</c:f>
              <c:strCache>
                <c:ptCount val="1"/>
                <c:pt idx="0">
                  <c:v>Estudiantes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Univariado!$A$14:$A$18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Univariado!$B$14:$B$18</c:f>
              <c:numCache>
                <c:formatCode>General</c:formatCode>
                <c:ptCount val="5"/>
                <c:pt idx="0">
                  <c:v>98</c:v>
                </c:pt>
                <c:pt idx="1">
                  <c:v>207</c:v>
                </c:pt>
                <c:pt idx="2">
                  <c:v>292</c:v>
                </c:pt>
                <c:pt idx="3">
                  <c:v>233</c:v>
                </c:pt>
                <c:pt idx="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2-453F-A77B-7B7243D48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90091"/>
        <c:axId val="4952263"/>
      </c:barChart>
      <c:catAx>
        <c:axId val="306900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Nota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4952263"/>
        <c:crosses val="autoZero"/>
        <c:auto val="1"/>
        <c:lblAlgn val="ctr"/>
        <c:lblOffset val="100"/>
        <c:noMultiLvlLbl val="0"/>
      </c:catAx>
      <c:valAx>
        <c:axId val="4952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Estudiantes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06900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Nota promedio por educación de los padres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Bivariado!$B$2</c:f>
              <c:strCache>
                <c:ptCount val="1"/>
                <c:pt idx="0">
                  <c:v>Nota promedio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Bivariado!$A$3:$A$6</c:f>
              <c:strCache>
                <c:ptCount val="4"/>
                <c:pt idx="0">
                  <c:v>High School</c:v>
                </c:pt>
                <c:pt idx="1">
                  <c:v>Bachelors</c:v>
                </c:pt>
                <c:pt idx="2">
                  <c:v>Masters</c:v>
                </c:pt>
                <c:pt idx="3">
                  <c:v>PhD</c:v>
                </c:pt>
              </c:strCache>
            </c:strRef>
          </c:cat>
          <c:val>
            <c:numRef>
              <c:f>Bivariado!$B$3:$B$6</c:f>
              <c:numCache>
                <c:formatCode>0.0</c:formatCode>
                <c:ptCount val="4"/>
                <c:pt idx="0">
                  <c:v>73.850450450450467</c:v>
                </c:pt>
                <c:pt idx="1">
                  <c:v>72.812931034482816</c:v>
                </c:pt>
                <c:pt idx="2">
                  <c:v>74.19032258064523</c:v>
                </c:pt>
                <c:pt idx="3">
                  <c:v>74.470949720670433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2-4C9A-A584-C3C92DE25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85515"/>
        <c:axId val="30822919"/>
      </c:barChart>
      <c:catAx>
        <c:axId val="404855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0822919"/>
        <c:crosses val="autoZero"/>
        <c:auto val="1"/>
        <c:lblAlgn val="ctr"/>
        <c:lblOffset val="100"/>
        <c:noMultiLvlLbl val="0"/>
      </c:catAx>
      <c:valAx>
        <c:axId val="308229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Nota promedio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404855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Horas de estudio vs nota final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estudiantes</c:v>
          </c:tx>
          <c:spPr>
            <a:ln w="28440">
              <a:noFill/>
            </a:ln>
          </c:spPr>
          <c:marker>
            <c:symbol val="circle"/>
            <c:size val="3"/>
            <c:spPr>
              <a:solidFill>
                <a:schemeClr val="accent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Calidad!$K$2:$K$961</c:f>
              <c:strCache>
                <c:ptCount val="960"/>
                <c:pt idx="0">
                  <c:v>6,3</c:v>
                </c:pt>
                <c:pt idx="1">
                  <c:v>2</c:v>
                </c:pt>
                <c:pt idx="2">
                  <c:v>4,7</c:v>
                </c:pt>
                <c:pt idx="3">
                  <c:v>3,3</c:v>
                </c:pt>
                <c:pt idx="4">
                  <c:v>6,2</c:v>
                </c:pt>
                <c:pt idx="5">
                  <c:v>6</c:v>
                </c:pt>
                <c:pt idx="6">
                  <c:v>1,2</c:v>
                </c:pt>
                <c:pt idx="7">
                  <c:v>2,3</c:v>
                </c:pt>
                <c:pt idx="8">
                  <c:v>7</c:v>
                </c:pt>
                <c:pt idx="9">
                  <c:v>4,5</c:v>
                </c:pt>
                <c:pt idx="10">
                  <c:v>5</c:v>
                </c:pt>
                <c:pt idx="11">
                  <c:v>5,6</c:v>
                </c:pt>
                <c:pt idx="12">
                  <c:v>2,6</c:v>
                </c:pt>
                <c:pt idx="13">
                  <c:v>3,5</c:v>
                </c:pt>
                <c:pt idx="14">
                  <c:v>4,8</c:v>
                </c:pt>
                <c:pt idx="15">
                  <c:v>6,2</c:v>
                </c:pt>
                <c:pt idx="16">
                  <c:v>6,1</c:v>
                </c:pt>
                <c:pt idx="17">
                  <c:v>3,5</c:v>
                </c:pt>
                <c:pt idx="18">
                  <c:v>2,7</c:v>
                </c:pt>
                <c:pt idx="19">
                  <c:v>1,9</c:v>
                </c:pt>
                <c:pt idx="20">
                  <c:v>5,7</c:v>
                </c:pt>
                <c:pt idx="21">
                  <c:v>3,4</c:v>
                </c:pt>
                <c:pt idx="22">
                  <c:v>3,4</c:v>
                </c:pt>
                <c:pt idx="23">
                  <c:v>1</c:v>
                </c:pt>
                <c:pt idx="24">
                  <c:v>3,6</c:v>
                </c:pt>
                <c:pt idx="25">
                  <c:v>6,9</c:v>
                </c:pt>
                <c:pt idx="26">
                  <c:v>4,8</c:v>
                </c:pt>
                <c:pt idx="27">
                  <c:v>5</c:v>
                </c:pt>
                <c:pt idx="28">
                  <c:v>1,1</c:v>
                </c:pt>
                <c:pt idx="29">
                  <c:v>4</c:v>
                </c:pt>
                <c:pt idx="30">
                  <c:v>1</c:v>
                </c:pt>
                <c:pt idx="31">
                  <c:v>1,6</c:v>
                </c:pt>
                <c:pt idx="32">
                  <c:v>3,3</c:v>
                </c:pt>
                <c:pt idx="33">
                  <c:v>4,6</c:v>
                </c:pt>
                <c:pt idx="34">
                  <c:v>2,3</c:v>
                </c:pt>
                <c:pt idx="35">
                  <c:v>0,6</c:v>
                </c:pt>
                <c:pt idx="36">
                  <c:v>1,4</c:v>
                </c:pt>
                <c:pt idx="37">
                  <c:v>1,7</c:v>
                </c:pt>
                <c:pt idx="38">
                  <c:v>5,8</c:v>
                </c:pt>
                <c:pt idx="39">
                  <c:v>5,8</c:v>
                </c:pt>
                <c:pt idx="40">
                  <c:v>1,7</c:v>
                </c:pt>
                <c:pt idx="41">
                  <c:v>1,4</c:v>
                </c:pt>
                <c:pt idx="42">
                  <c:v>0,7</c:v>
                </c:pt>
                <c:pt idx="43">
                  <c:v>1,7</c:v>
                </c:pt>
                <c:pt idx="44">
                  <c:v>2,4</c:v>
                </c:pt>
                <c:pt idx="45">
                  <c:v>5,1</c:v>
                </c:pt>
                <c:pt idx="46">
                  <c:v>5,7</c:v>
                </c:pt>
                <c:pt idx="47">
                  <c:v>3,6</c:v>
                </c:pt>
                <c:pt idx="48">
                  <c:v>2,1</c:v>
                </c:pt>
                <c:pt idx="49">
                  <c:v>0,9</c:v>
                </c:pt>
                <c:pt idx="50">
                  <c:v>4,6</c:v>
                </c:pt>
                <c:pt idx="51">
                  <c:v>5,1</c:v>
                </c:pt>
                <c:pt idx="52">
                  <c:v>1,4</c:v>
                </c:pt>
                <c:pt idx="53">
                  <c:v>6,4</c:v>
                </c:pt>
                <c:pt idx="54">
                  <c:v>2,9</c:v>
                </c:pt>
                <c:pt idx="55">
                  <c:v>2,6</c:v>
                </c:pt>
                <c:pt idx="56">
                  <c:v>2,6</c:v>
                </c:pt>
                <c:pt idx="57">
                  <c:v>4,6</c:v>
                </c:pt>
                <c:pt idx="58">
                  <c:v>4,1</c:v>
                </c:pt>
                <c:pt idx="59">
                  <c:v>6</c:v>
                </c:pt>
                <c:pt idx="60">
                  <c:v>5</c:v>
                </c:pt>
                <c:pt idx="61">
                  <c:v>3,4</c:v>
                </c:pt>
                <c:pt idx="62">
                  <c:v>4,7</c:v>
                </c:pt>
                <c:pt idx="63">
                  <c:v>6,7</c:v>
                </c:pt>
                <c:pt idx="64">
                  <c:v>0,6</c:v>
                </c:pt>
                <c:pt idx="65">
                  <c:v>2,9</c:v>
                </c:pt>
                <c:pt idx="66">
                  <c:v>2,1</c:v>
                </c:pt>
                <c:pt idx="67">
                  <c:v>3,1</c:v>
                </c:pt>
                <c:pt idx="68">
                  <c:v>4,4</c:v>
                </c:pt>
                <c:pt idx="69">
                  <c:v>1,8</c:v>
                </c:pt>
                <c:pt idx="70">
                  <c:v>6,5</c:v>
                </c:pt>
                <c:pt idx="71">
                  <c:v>0,7</c:v>
                </c:pt>
                <c:pt idx="72">
                  <c:v>1,3</c:v>
                </c:pt>
                <c:pt idx="73">
                  <c:v>3,3</c:v>
                </c:pt>
                <c:pt idx="74">
                  <c:v>1,7</c:v>
                </c:pt>
                <c:pt idx="75">
                  <c:v>2,4</c:v>
                </c:pt>
                <c:pt idx="76">
                  <c:v>4,7</c:v>
                </c:pt>
                <c:pt idx="77">
                  <c:v>6,5</c:v>
                </c:pt>
                <c:pt idx="78">
                  <c:v>5,7</c:v>
                </c:pt>
                <c:pt idx="79">
                  <c:v>4,3</c:v>
                </c:pt>
                <c:pt idx="80">
                  <c:v>5,8</c:v>
                </c:pt>
                <c:pt idx="81">
                  <c:v>6,9</c:v>
                </c:pt>
                <c:pt idx="82">
                  <c:v>5,2</c:v>
                </c:pt>
                <c:pt idx="83">
                  <c:v>2,4</c:v>
                </c:pt>
                <c:pt idx="84">
                  <c:v>5,5</c:v>
                </c:pt>
                <c:pt idx="85">
                  <c:v>1,2</c:v>
                </c:pt>
                <c:pt idx="86">
                  <c:v>4,4</c:v>
                </c:pt>
                <c:pt idx="87">
                  <c:v>1,3</c:v>
                </c:pt>
                <c:pt idx="88">
                  <c:v>4,1</c:v>
                </c:pt>
                <c:pt idx="89">
                  <c:v>3,4</c:v>
                </c:pt>
                <c:pt idx="90">
                  <c:v>6,7</c:v>
                </c:pt>
                <c:pt idx="91">
                  <c:v>6,7</c:v>
                </c:pt>
                <c:pt idx="92">
                  <c:v>3</c:v>
                </c:pt>
                <c:pt idx="93">
                  <c:v>3,6</c:v>
                </c:pt>
                <c:pt idx="94">
                  <c:v>2,8</c:v>
                </c:pt>
                <c:pt idx="95">
                  <c:v>1,7</c:v>
                </c:pt>
                <c:pt idx="96">
                  <c:v>3,8</c:v>
                </c:pt>
                <c:pt idx="97">
                  <c:v>3,8</c:v>
                </c:pt>
                <c:pt idx="98">
                  <c:v>5,5</c:v>
                </c:pt>
                <c:pt idx="99">
                  <c:v>3,2</c:v>
                </c:pt>
                <c:pt idx="100">
                  <c:v>4</c:v>
                </c:pt>
                <c:pt idx="101">
                  <c:v>2,2</c:v>
                </c:pt>
                <c:pt idx="102">
                  <c:v>2,7</c:v>
                </c:pt>
                <c:pt idx="103">
                  <c:v>3,8</c:v>
                </c:pt>
                <c:pt idx="104">
                  <c:v>4,4</c:v>
                </c:pt>
                <c:pt idx="105">
                  <c:v>1,5</c:v>
                </c:pt>
                <c:pt idx="106">
                  <c:v>1,7</c:v>
                </c:pt>
                <c:pt idx="107">
                  <c:v>1,1</c:v>
                </c:pt>
                <c:pt idx="108">
                  <c:v>1,2</c:v>
                </c:pt>
                <c:pt idx="109">
                  <c:v>3,9</c:v>
                </c:pt>
                <c:pt idx="110">
                  <c:v>1,7</c:v>
                </c:pt>
                <c:pt idx="111">
                  <c:v>6,8</c:v>
                </c:pt>
                <c:pt idx="112">
                  <c:v>3</c:v>
                </c:pt>
                <c:pt idx="113">
                  <c:v>2,3</c:v>
                </c:pt>
                <c:pt idx="114">
                  <c:v>0,8</c:v>
                </c:pt>
                <c:pt idx="115">
                  <c:v>4,2</c:v>
                </c:pt>
                <c:pt idx="116">
                  <c:v>5,3</c:v>
                </c:pt>
                <c:pt idx="117">
                  <c:v>1,7</c:v>
                </c:pt>
                <c:pt idx="118">
                  <c:v>2</c:v>
                </c:pt>
                <c:pt idx="119">
                  <c:v>0,6</c:v>
                </c:pt>
                <c:pt idx="120">
                  <c:v>3,4</c:v>
                </c:pt>
                <c:pt idx="122">
                  <c:v>6,6</c:v>
                </c:pt>
                <c:pt idx="123">
                  <c:v>1,3</c:v>
                </c:pt>
                <c:pt idx="124">
                  <c:v>3,1</c:v>
                </c:pt>
                <c:pt idx="125">
                  <c:v>2,7</c:v>
                </c:pt>
                <c:pt idx="126">
                  <c:v>5,3</c:v>
                </c:pt>
                <c:pt idx="127">
                  <c:v>1,5</c:v>
                </c:pt>
                <c:pt idx="128">
                  <c:v>5,8</c:v>
                </c:pt>
                <c:pt idx="129">
                  <c:v>6,4</c:v>
                </c:pt>
                <c:pt idx="130">
                  <c:v>0,8</c:v>
                </c:pt>
                <c:pt idx="131">
                  <c:v>6,7</c:v>
                </c:pt>
                <c:pt idx="132">
                  <c:v>0,7</c:v>
                </c:pt>
                <c:pt idx="133">
                  <c:v>4,7</c:v>
                </c:pt>
                <c:pt idx="134">
                  <c:v>4</c:v>
                </c:pt>
                <c:pt idx="135">
                  <c:v>1,7</c:v>
                </c:pt>
                <c:pt idx="136">
                  <c:v>4,3</c:v>
                </c:pt>
                <c:pt idx="137">
                  <c:v>2,4</c:v>
                </c:pt>
                <c:pt idx="138">
                  <c:v>5,5</c:v>
                </c:pt>
                <c:pt idx="139">
                  <c:v>2,1</c:v>
                </c:pt>
                <c:pt idx="140">
                  <c:v>6,1</c:v>
                </c:pt>
                <c:pt idx="141">
                  <c:v>6,9</c:v>
                </c:pt>
                <c:pt idx="142">
                  <c:v>4,9</c:v>
                </c:pt>
                <c:pt idx="143">
                  <c:v>5</c:v>
                </c:pt>
                <c:pt idx="144">
                  <c:v>1,1</c:v>
                </c:pt>
                <c:pt idx="145">
                  <c:v>3,3</c:v>
                </c:pt>
                <c:pt idx="146">
                  <c:v>1,2</c:v>
                </c:pt>
                <c:pt idx="147">
                  <c:v>2,5</c:v>
                </c:pt>
                <c:pt idx="148">
                  <c:v>6,7</c:v>
                </c:pt>
                <c:pt idx="149">
                  <c:v>4,7</c:v>
                </c:pt>
                <c:pt idx="150">
                  <c:v>1</c:v>
                </c:pt>
                <c:pt idx="151">
                  <c:v>1,3</c:v>
                </c:pt>
                <c:pt idx="152">
                  <c:v>7</c:v>
                </c:pt>
                <c:pt idx="153">
                  <c:v>4,1</c:v>
                </c:pt>
                <c:pt idx="154">
                  <c:v>4,2</c:v>
                </c:pt>
                <c:pt idx="155">
                  <c:v>2,5</c:v>
                </c:pt>
                <c:pt idx="156">
                  <c:v>3,6</c:v>
                </c:pt>
                <c:pt idx="157">
                  <c:v>1,5</c:v>
                </c:pt>
                <c:pt idx="158">
                  <c:v>1,3</c:v>
                </c:pt>
                <c:pt idx="159">
                  <c:v>4,5</c:v>
                </c:pt>
                <c:pt idx="160">
                  <c:v>0,8</c:v>
                </c:pt>
                <c:pt idx="161">
                  <c:v>3,6</c:v>
                </c:pt>
                <c:pt idx="162">
                  <c:v>2</c:v>
                </c:pt>
                <c:pt idx="163">
                  <c:v>4,1</c:v>
                </c:pt>
                <c:pt idx="164">
                  <c:v>3,4</c:v>
                </c:pt>
                <c:pt idx="165">
                  <c:v>3,2</c:v>
                </c:pt>
                <c:pt idx="166">
                  <c:v>3,8</c:v>
                </c:pt>
                <c:pt idx="167">
                  <c:v>4,9</c:v>
                </c:pt>
                <c:pt idx="168">
                  <c:v>2,7</c:v>
                </c:pt>
                <c:pt idx="169">
                  <c:v>1</c:v>
                </c:pt>
                <c:pt idx="170">
                  <c:v>4,2</c:v>
                </c:pt>
                <c:pt idx="171">
                  <c:v>2,6</c:v>
                </c:pt>
                <c:pt idx="172">
                  <c:v>5,9</c:v>
                </c:pt>
                <c:pt idx="173">
                  <c:v>6,9</c:v>
                </c:pt>
                <c:pt idx="174">
                  <c:v>2,7</c:v>
                </c:pt>
                <c:pt idx="175">
                  <c:v>4,5</c:v>
                </c:pt>
                <c:pt idx="176">
                  <c:v>2,2</c:v>
                </c:pt>
                <c:pt idx="177">
                  <c:v>5,2</c:v>
                </c:pt>
                <c:pt idx="179">
                  <c:v>5,7</c:v>
                </c:pt>
                <c:pt idx="180">
                  <c:v>1,7</c:v>
                </c:pt>
                <c:pt idx="181">
                  <c:v>4,6</c:v>
                </c:pt>
                <c:pt idx="182">
                  <c:v>6,9</c:v>
                </c:pt>
                <c:pt idx="183">
                  <c:v>6,9</c:v>
                </c:pt>
                <c:pt idx="184">
                  <c:v>6,5</c:v>
                </c:pt>
                <c:pt idx="185">
                  <c:v>4,1</c:v>
                </c:pt>
                <c:pt idx="186">
                  <c:v>6,6</c:v>
                </c:pt>
                <c:pt idx="187">
                  <c:v>3,2</c:v>
                </c:pt>
                <c:pt idx="188">
                  <c:v>0,8</c:v>
                </c:pt>
                <c:pt idx="189">
                  <c:v>3,2</c:v>
                </c:pt>
                <c:pt idx="190">
                  <c:v>2,2</c:v>
                </c:pt>
                <c:pt idx="191">
                  <c:v>3,3</c:v>
                </c:pt>
                <c:pt idx="192">
                  <c:v>5,8</c:v>
                </c:pt>
                <c:pt idx="193">
                  <c:v>5</c:v>
                </c:pt>
                <c:pt idx="194">
                  <c:v>6,6</c:v>
                </c:pt>
                <c:pt idx="195">
                  <c:v>1,6</c:v>
                </c:pt>
                <c:pt idx="196">
                  <c:v>3,7</c:v>
                </c:pt>
                <c:pt idx="197">
                  <c:v>6,6</c:v>
                </c:pt>
                <c:pt idx="198">
                  <c:v>3,4</c:v>
                </c:pt>
                <c:pt idx="199">
                  <c:v>6,8</c:v>
                </c:pt>
                <c:pt idx="200">
                  <c:v>2,6</c:v>
                </c:pt>
                <c:pt idx="201">
                  <c:v>1,3</c:v>
                </c:pt>
                <c:pt idx="202">
                  <c:v>1,6</c:v>
                </c:pt>
                <c:pt idx="203">
                  <c:v>0,6</c:v>
                </c:pt>
                <c:pt idx="204">
                  <c:v>5</c:v>
                </c:pt>
                <c:pt idx="205">
                  <c:v>4,8</c:v>
                </c:pt>
                <c:pt idx="206">
                  <c:v>3,2</c:v>
                </c:pt>
                <c:pt idx="207">
                  <c:v>4,8</c:v>
                </c:pt>
                <c:pt idx="208">
                  <c:v>1,5</c:v>
                </c:pt>
                <c:pt idx="209">
                  <c:v>5,1</c:v>
                </c:pt>
                <c:pt idx="210">
                  <c:v>4,5</c:v>
                </c:pt>
                <c:pt idx="211">
                  <c:v>6,4</c:v>
                </c:pt>
                <c:pt idx="212">
                  <c:v>2,2</c:v>
                </c:pt>
                <c:pt idx="213">
                  <c:v>1,6</c:v>
                </c:pt>
                <c:pt idx="214">
                  <c:v>2,6</c:v>
                </c:pt>
                <c:pt idx="215">
                  <c:v>5,1</c:v>
                </c:pt>
                <c:pt idx="216">
                  <c:v>2,6</c:v>
                </c:pt>
                <c:pt idx="217">
                  <c:v>1,4</c:v>
                </c:pt>
                <c:pt idx="218">
                  <c:v>4,9</c:v>
                </c:pt>
                <c:pt idx="219">
                  <c:v>5,6</c:v>
                </c:pt>
                <c:pt idx="220">
                  <c:v>6,6</c:v>
                </c:pt>
                <c:pt idx="221">
                  <c:v>6</c:v>
                </c:pt>
                <c:pt idx="222">
                  <c:v>0,8</c:v>
                </c:pt>
                <c:pt idx="223">
                  <c:v>0,8</c:v>
                </c:pt>
                <c:pt idx="224">
                  <c:v>3,8</c:v>
                </c:pt>
                <c:pt idx="225">
                  <c:v>2,7</c:v>
                </c:pt>
                <c:pt idx="226">
                  <c:v>1,8</c:v>
                </c:pt>
                <c:pt idx="227">
                  <c:v>6,2</c:v>
                </c:pt>
                <c:pt idx="228">
                  <c:v>6,4</c:v>
                </c:pt>
                <c:pt idx="229">
                  <c:v>1,3</c:v>
                </c:pt>
                <c:pt idx="230">
                  <c:v>3,5</c:v>
                </c:pt>
                <c:pt idx="231">
                  <c:v>2,4</c:v>
                </c:pt>
                <c:pt idx="232">
                  <c:v>6,9</c:v>
                </c:pt>
                <c:pt idx="233">
                  <c:v>1,2</c:v>
                </c:pt>
                <c:pt idx="234">
                  <c:v>6,8</c:v>
                </c:pt>
                <c:pt idx="235">
                  <c:v>5,8</c:v>
                </c:pt>
                <c:pt idx="236">
                  <c:v>5,8</c:v>
                </c:pt>
                <c:pt idx="237">
                  <c:v>5,1</c:v>
                </c:pt>
                <c:pt idx="239">
                  <c:v>3,8</c:v>
                </c:pt>
                <c:pt idx="240">
                  <c:v>6,2</c:v>
                </c:pt>
                <c:pt idx="241">
                  <c:v>6,1</c:v>
                </c:pt>
                <c:pt idx="242">
                  <c:v>1,4</c:v>
                </c:pt>
                <c:pt idx="243">
                  <c:v>5,7</c:v>
                </c:pt>
                <c:pt idx="244">
                  <c:v>2,9</c:v>
                </c:pt>
                <c:pt idx="245">
                  <c:v>1,6</c:v>
                </c:pt>
                <c:pt idx="246">
                  <c:v>6,2</c:v>
                </c:pt>
                <c:pt idx="247">
                  <c:v>0,7</c:v>
                </c:pt>
                <c:pt idx="248">
                  <c:v>6,9</c:v>
                </c:pt>
                <c:pt idx="249">
                  <c:v>6,1</c:v>
                </c:pt>
                <c:pt idx="250">
                  <c:v>1,8</c:v>
                </c:pt>
                <c:pt idx="251">
                  <c:v>6,6</c:v>
                </c:pt>
                <c:pt idx="252">
                  <c:v>0,9</c:v>
                </c:pt>
                <c:pt idx="253">
                  <c:v>2,8</c:v>
                </c:pt>
                <c:pt idx="254">
                  <c:v>2</c:v>
                </c:pt>
                <c:pt idx="255">
                  <c:v>6,7</c:v>
                </c:pt>
                <c:pt idx="256">
                  <c:v>1,2</c:v>
                </c:pt>
                <c:pt idx="257">
                  <c:v>6,1</c:v>
                </c:pt>
                <c:pt idx="258">
                  <c:v>3,9</c:v>
                </c:pt>
                <c:pt idx="259">
                  <c:v>4,5</c:v>
                </c:pt>
                <c:pt idx="260">
                  <c:v>3,2</c:v>
                </c:pt>
                <c:pt idx="261">
                  <c:v>1,5</c:v>
                </c:pt>
                <c:pt idx="262">
                  <c:v>3,8</c:v>
                </c:pt>
                <c:pt idx="263">
                  <c:v>6,2</c:v>
                </c:pt>
                <c:pt idx="264">
                  <c:v>1,4</c:v>
                </c:pt>
                <c:pt idx="265">
                  <c:v>1,8</c:v>
                </c:pt>
                <c:pt idx="266">
                  <c:v>1,2</c:v>
                </c:pt>
                <c:pt idx="267">
                  <c:v>6,1</c:v>
                </c:pt>
                <c:pt idx="268">
                  <c:v>4,4</c:v>
                </c:pt>
                <c:pt idx="269">
                  <c:v>4,1</c:v>
                </c:pt>
                <c:pt idx="270">
                  <c:v>4,1</c:v>
                </c:pt>
                <c:pt idx="271">
                  <c:v>4,2</c:v>
                </c:pt>
                <c:pt idx="272">
                  <c:v>3,7</c:v>
                </c:pt>
                <c:pt idx="273">
                  <c:v>4,1</c:v>
                </c:pt>
                <c:pt idx="274">
                  <c:v>2,7</c:v>
                </c:pt>
                <c:pt idx="275">
                  <c:v>5</c:v>
                </c:pt>
                <c:pt idx="276">
                  <c:v>3,2</c:v>
                </c:pt>
                <c:pt idx="277">
                  <c:v>3,3</c:v>
                </c:pt>
                <c:pt idx="278">
                  <c:v>4,1</c:v>
                </c:pt>
                <c:pt idx="279">
                  <c:v>6,7</c:v>
                </c:pt>
                <c:pt idx="280">
                  <c:v>4,7</c:v>
                </c:pt>
                <c:pt idx="281">
                  <c:v>3,9</c:v>
                </c:pt>
                <c:pt idx="282">
                  <c:v>4,3</c:v>
                </c:pt>
                <c:pt idx="283">
                  <c:v>3,1</c:v>
                </c:pt>
                <c:pt idx="284">
                  <c:v>6,8</c:v>
                </c:pt>
                <c:pt idx="285">
                  <c:v>3,4</c:v>
                </c:pt>
                <c:pt idx="286">
                  <c:v>4,7</c:v>
                </c:pt>
                <c:pt idx="287">
                  <c:v>1,7</c:v>
                </c:pt>
                <c:pt idx="288">
                  <c:v>3,5</c:v>
                </c:pt>
                <c:pt idx="289">
                  <c:v>3</c:v>
                </c:pt>
                <c:pt idx="290">
                  <c:v>6,8</c:v>
                </c:pt>
                <c:pt idx="291">
                  <c:v>2,2</c:v>
                </c:pt>
                <c:pt idx="292">
                  <c:v>6,2</c:v>
                </c:pt>
                <c:pt idx="293">
                  <c:v>2,5</c:v>
                </c:pt>
                <c:pt idx="294">
                  <c:v>6,1</c:v>
                </c:pt>
                <c:pt idx="295">
                  <c:v>2,3</c:v>
                </c:pt>
                <c:pt idx="296">
                  <c:v>1,4</c:v>
                </c:pt>
                <c:pt idx="297">
                  <c:v>3,1</c:v>
                </c:pt>
                <c:pt idx="298">
                  <c:v>4,1</c:v>
                </c:pt>
                <c:pt idx="299">
                  <c:v>5,1</c:v>
                </c:pt>
                <c:pt idx="300">
                  <c:v>1,2</c:v>
                </c:pt>
                <c:pt idx="301">
                  <c:v>1,8</c:v>
                </c:pt>
                <c:pt idx="302">
                  <c:v>5,8</c:v>
                </c:pt>
                <c:pt idx="303">
                  <c:v>3,9</c:v>
                </c:pt>
                <c:pt idx="304">
                  <c:v>2,3</c:v>
                </c:pt>
                <c:pt idx="305">
                  <c:v>6,2</c:v>
                </c:pt>
                <c:pt idx="306">
                  <c:v>6,2</c:v>
                </c:pt>
                <c:pt idx="307">
                  <c:v>1,6</c:v>
                </c:pt>
                <c:pt idx="308">
                  <c:v>4,9</c:v>
                </c:pt>
                <c:pt idx="309">
                  <c:v>3</c:v>
                </c:pt>
                <c:pt idx="310">
                  <c:v>2,1</c:v>
                </c:pt>
                <c:pt idx="311">
                  <c:v>6,9</c:v>
                </c:pt>
                <c:pt idx="312">
                  <c:v>0,6</c:v>
                </c:pt>
                <c:pt idx="313">
                  <c:v>5,5</c:v>
                </c:pt>
                <c:pt idx="314">
                  <c:v>0,7</c:v>
                </c:pt>
                <c:pt idx="315">
                  <c:v>0,8</c:v>
                </c:pt>
                <c:pt idx="316">
                  <c:v>6,2</c:v>
                </c:pt>
                <c:pt idx="317">
                  <c:v>6,1</c:v>
                </c:pt>
                <c:pt idx="318">
                  <c:v>1,8</c:v>
                </c:pt>
                <c:pt idx="319">
                  <c:v>6,6</c:v>
                </c:pt>
                <c:pt idx="320">
                  <c:v>6,5</c:v>
                </c:pt>
                <c:pt idx="321">
                  <c:v>6,9</c:v>
                </c:pt>
                <c:pt idx="322">
                  <c:v>2,8</c:v>
                </c:pt>
                <c:pt idx="323">
                  <c:v>6,7</c:v>
                </c:pt>
                <c:pt idx="324">
                  <c:v>4,7</c:v>
                </c:pt>
                <c:pt idx="325">
                  <c:v>2,7</c:v>
                </c:pt>
                <c:pt idx="326">
                  <c:v>6,7</c:v>
                </c:pt>
                <c:pt idx="327">
                  <c:v>5,3</c:v>
                </c:pt>
                <c:pt idx="328">
                  <c:v>5,1</c:v>
                </c:pt>
                <c:pt idx="329">
                  <c:v>2,2</c:v>
                </c:pt>
                <c:pt idx="330">
                  <c:v>1,8</c:v>
                </c:pt>
                <c:pt idx="331">
                  <c:v>4,5</c:v>
                </c:pt>
                <c:pt idx="332">
                  <c:v>5,4</c:v>
                </c:pt>
                <c:pt idx="333">
                  <c:v>6,9</c:v>
                </c:pt>
                <c:pt idx="334">
                  <c:v>1,2</c:v>
                </c:pt>
                <c:pt idx="335">
                  <c:v>5,6</c:v>
                </c:pt>
                <c:pt idx="336">
                  <c:v>5,6</c:v>
                </c:pt>
                <c:pt idx="337">
                  <c:v>6,1</c:v>
                </c:pt>
                <c:pt idx="338">
                  <c:v>6,8</c:v>
                </c:pt>
                <c:pt idx="339">
                  <c:v>5,4</c:v>
                </c:pt>
                <c:pt idx="340">
                  <c:v>6,9</c:v>
                </c:pt>
                <c:pt idx="341">
                  <c:v>4,2</c:v>
                </c:pt>
                <c:pt idx="342">
                  <c:v>5,5</c:v>
                </c:pt>
                <c:pt idx="343">
                  <c:v>4,4</c:v>
                </c:pt>
                <c:pt idx="344">
                  <c:v>2,1</c:v>
                </c:pt>
                <c:pt idx="345">
                  <c:v>3,5</c:v>
                </c:pt>
                <c:pt idx="346">
                  <c:v>2,6</c:v>
                </c:pt>
                <c:pt idx="347">
                  <c:v>2,4</c:v>
                </c:pt>
                <c:pt idx="348">
                  <c:v>0,7</c:v>
                </c:pt>
                <c:pt idx="349">
                  <c:v>1,9</c:v>
                </c:pt>
                <c:pt idx="350">
                  <c:v>3,1</c:v>
                </c:pt>
                <c:pt idx="351">
                  <c:v>0,6</c:v>
                </c:pt>
                <c:pt idx="352">
                  <c:v>3,1</c:v>
                </c:pt>
                <c:pt idx="353">
                  <c:v>4,2</c:v>
                </c:pt>
                <c:pt idx="354">
                  <c:v>1,2</c:v>
                </c:pt>
                <c:pt idx="355">
                  <c:v>2,7</c:v>
                </c:pt>
                <c:pt idx="356">
                  <c:v>2,6</c:v>
                </c:pt>
                <c:pt idx="357">
                  <c:v>0,7</c:v>
                </c:pt>
                <c:pt idx="358">
                  <c:v>5,4</c:v>
                </c:pt>
                <c:pt idx="359">
                  <c:v>4,5</c:v>
                </c:pt>
                <c:pt idx="360">
                  <c:v>5,6</c:v>
                </c:pt>
                <c:pt idx="361">
                  <c:v>0,7</c:v>
                </c:pt>
                <c:pt idx="362">
                  <c:v>2,5</c:v>
                </c:pt>
                <c:pt idx="363">
                  <c:v>4,3</c:v>
                </c:pt>
                <c:pt idx="364">
                  <c:v>5,2</c:v>
                </c:pt>
                <c:pt idx="365">
                  <c:v>2,7</c:v>
                </c:pt>
                <c:pt idx="366">
                  <c:v>3,4</c:v>
                </c:pt>
                <c:pt idx="367">
                  <c:v>4,8</c:v>
                </c:pt>
                <c:pt idx="368">
                  <c:v>0,8</c:v>
                </c:pt>
                <c:pt idx="369">
                  <c:v>1,7</c:v>
                </c:pt>
                <c:pt idx="370">
                  <c:v>3,4</c:v>
                </c:pt>
                <c:pt idx="371">
                  <c:v>3,5</c:v>
                </c:pt>
                <c:pt idx="372">
                  <c:v>5,3</c:v>
                </c:pt>
                <c:pt idx="373">
                  <c:v>4,1</c:v>
                </c:pt>
                <c:pt idx="374">
                  <c:v>7</c:v>
                </c:pt>
                <c:pt idx="375">
                  <c:v>2,4</c:v>
                </c:pt>
                <c:pt idx="376">
                  <c:v>1,7</c:v>
                </c:pt>
                <c:pt idx="377">
                  <c:v>4,5</c:v>
                </c:pt>
                <c:pt idx="378">
                  <c:v>4,5</c:v>
                </c:pt>
                <c:pt idx="379">
                  <c:v>0,6</c:v>
                </c:pt>
                <c:pt idx="380">
                  <c:v>2</c:v>
                </c:pt>
                <c:pt idx="381">
                  <c:v>3,6</c:v>
                </c:pt>
                <c:pt idx="382">
                  <c:v>4,8</c:v>
                </c:pt>
                <c:pt idx="383">
                  <c:v>3,7</c:v>
                </c:pt>
                <c:pt idx="384">
                  <c:v>3,4</c:v>
                </c:pt>
                <c:pt idx="385">
                  <c:v>2,4</c:v>
                </c:pt>
                <c:pt idx="386">
                  <c:v>1,7</c:v>
                </c:pt>
                <c:pt idx="387">
                  <c:v>2,7</c:v>
                </c:pt>
                <c:pt idx="388">
                  <c:v>4,1</c:v>
                </c:pt>
                <c:pt idx="389">
                  <c:v>3,3</c:v>
                </c:pt>
                <c:pt idx="390">
                  <c:v>2,8</c:v>
                </c:pt>
                <c:pt idx="391">
                  <c:v>3,1</c:v>
                </c:pt>
                <c:pt idx="392">
                  <c:v>5,7</c:v>
                </c:pt>
                <c:pt idx="393">
                  <c:v>4,6</c:v>
                </c:pt>
                <c:pt idx="394">
                  <c:v>0,6</c:v>
                </c:pt>
                <c:pt idx="395">
                  <c:v>1,6</c:v>
                </c:pt>
                <c:pt idx="396">
                  <c:v>7</c:v>
                </c:pt>
                <c:pt idx="397">
                  <c:v>6,5</c:v>
                </c:pt>
                <c:pt idx="398">
                  <c:v>4</c:v>
                </c:pt>
                <c:pt idx="399">
                  <c:v>0,7</c:v>
                </c:pt>
                <c:pt idx="400">
                  <c:v>6,5</c:v>
                </c:pt>
                <c:pt idx="401">
                  <c:v>2,5</c:v>
                </c:pt>
                <c:pt idx="402">
                  <c:v>0,6</c:v>
                </c:pt>
                <c:pt idx="403">
                  <c:v>6,4</c:v>
                </c:pt>
                <c:pt idx="404">
                  <c:v>2,9</c:v>
                </c:pt>
                <c:pt idx="405">
                  <c:v>4,4</c:v>
                </c:pt>
                <c:pt idx="406">
                  <c:v>3</c:v>
                </c:pt>
                <c:pt idx="407">
                  <c:v>0,7</c:v>
                </c:pt>
                <c:pt idx="408">
                  <c:v>3,5</c:v>
                </c:pt>
                <c:pt idx="409">
                  <c:v>2,4</c:v>
                </c:pt>
                <c:pt idx="410">
                  <c:v>5,9</c:v>
                </c:pt>
                <c:pt idx="411">
                  <c:v>1</c:v>
                </c:pt>
                <c:pt idx="412">
                  <c:v>3,8</c:v>
                </c:pt>
                <c:pt idx="413">
                  <c:v>1,9</c:v>
                </c:pt>
                <c:pt idx="414">
                  <c:v>2,4</c:v>
                </c:pt>
                <c:pt idx="415">
                  <c:v>1,1</c:v>
                </c:pt>
                <c:pt idx="416">
                  <c:v>5,3</c:v>
                </c:pt>
                <c:pt idx="417">
                  <c:v>1,1</c:v>
                </c:pt>
                <c:pt idx="418">
                  <c:v>3</c:v>
                </c:pt>
                <c:pt idx="419">
                  <c:v>2,6</c:v>
                </c:pt>
                <c:pt idx="420">
                  <c:v>6,9</c:v>
                </c:pt>
                <c:pt idx="421">
                  <c:v>2,9</c:v>
                </c:pt>
                <c:pt idx="422">
                  <c:v>6</c:v>
                </c:pt>
                <c:pt idx="423">
                  <c:v>1,9</c:v>
                </c:pt>
                <c:pt idx="424">
                  <c:v>1,6</c:v>
                </c:pt>
                <c:pt idx="425">
                  <c:v>1,6</c:v>
                </c:pt>
                <c:pt idx="426">
                  <c:v>4,7</c:v>
                </c:pt>
                <c:pt idx="427">
                  <c:v>6,2</c:v>
                </c:pt>
                <c:pt idx="428">
                  <c:v>4,5</c:v>
                </c:pt>
                <c:pt idx="429">
                  <c:v>6,6</c:v>
                </c:pt>
                <c:pt idx="430">
                  <c:v>3,3</c:v>
                </c:pt>
                <c:pt idx="431">
                  <c:v>3,4</c:v>
                </c:pt>
                <c:pt idx="432">
                  <c:v>4,3</c:v>
                </c:pt>
                <c:pt idx="433">
                  <c:v>4,3</c:v>
                </c:pt>
                <c:pt idx="434">
                  <c:v>5,4</c:v>
                </c:pt>
                <c:pt idx="435">
                  <c:v>2,1</c:v>
                </c:pt>
                <c:pt idx="436">
                  <c:v>6,7</c:v>
                </c:pt>
                <c:pt idx="437">
                  <c:v>5,7</c:v>
                </c:pt>
                <c:pt idx="438">
                  <c:v>3,3</c:v>
                </c:pt>
                <c:pt idx="439">
                  <c:v>2,4</c:v>
                </c:pt>
                <c:pt idx="440">
                  <c:v>1,4</c:v>
                </c:pt>
                <c:pt idx="441">
                  <c:v>2,2</c:v>
                </c:pt>
                <c:pt idx="442">
                  <c:v>3,7</c:v>
                </c:pt>
                <c:pt idx="443">
                  <c:v>2,9</c:v>
                </c:pt>
                <c:pt idx="444">
                  <c:v>0,7</c:v>
                </c:pt>
                <c:pt idx="445">
                  <c:v>1,5</c:v>
                </c:pt>
                <c:pt idx="446">
                  <c:v>4,5</c:v>
                </c:pt>
                <c:pt idx="447">
                  <c:v>5,6</c:v>
                </c:pt>
                <c:pt idx="448">
                  <c:v>0,9</c:v>
                </c:pt>
                <c:pt idx="449">
                  <c:v>3,9</c:v>
                </c:pt>
                <c:pt idx="450">
                  <c:v>4,9</c:v>
                </c:pt>
                <c:pt idx="451">
                  <c:v>3,7</c:v>
                </c:pt>
                <c:pt idx="452">
                  <c:v>4,7</c:v>
                </c:pt>
                <c:pt idx="453">
                  <c:v>4,8</c:v>
                </c:pt>
                <c:pt idx="454">
                  <c:v>6,1</c:v>
                </c:pt>
                <c:pt idx="455">
                  <c:v>1</c:v>
                </c:pt>
                <c:pt idx="456">
                  <c:v>1,8</c:v>
                </c:pt>
                <c:pt idx="457">
                  <c:v>4,4</c:v>
                </c:pt>
                <c:pt idx="458">
                  <c:v>2,5</c:v>
                </c:pt>
                <c:pt idx="459">
                  <c:v>2,8</c:v>
                </c:pt>
                <c:pt idx="460">
                  <c:v>3,7</c:v>
                </c:pt>
                <c:pt idx="461">
                  <c:v>4,9</c:v>
                </c:pt>
                <c:pt idx="462">
                  <c:v>4,3</c:v>
                </c:pt>
                <c:pt idx="463">
                  <c:v>3,9</c:v>
                </c:pt>
                <c:pt idx="464">
                  <c:v>5,4</c:v>
                </c:pt>
                <c:pt idx="465">
                  <c:v>1,7</c:v>
                </c:pt>
                <c:pt idx="466">
                  <c:v>3,9</c:v>
                </c:pt>
                <c:pt idx="467">
                  <c:v>6,1</c:v>
                </c:pt>
                <c:pt idx="468">
                  <c:v>6,2</c:v>
                </c:pt>
                <c:pt idx="469">
                  <c:v>3,3</c:v>
                </c:pt>
                <c:pt idx="470">
                  <c:v>4,4</c:v>
                </c:pt>
                <c:pt idx="471">
                  <c:v>3,1</c:v>
                </c:pt>
                <c:pt idx="472">
                  <c:v>2,3</c:v>
                </c:pt>
                <c:pt idx="473">
                  <c:v>4,2</c:v>
                </c:pt>
                <c:pt idx="474">
                  <c:v>5,2</c:v>
                </c:pt>
                <c:pt idx="475">
                  <c:v>5</c:v>
                </c:pt>
                <c:pt idx="476">
                  <c:v>5,3</c:v>
                </c:pt>
                <c:pt idx="477">
                  <c:v>1,6</c:v>
                </c:pt>
                <c:pt idx="478">
                  <c:v>4,5</c:v>
                </c:pt>
                <c:pt idx="479">
                  <c:v>0,6</c:v>
                </c:pt>
                <c:pt idx="480">
                  <c:v>3,1</c:v>
                </c:pt>
                <c:pt idx="481">
                  <c:v>1,3</c:v>
                </c:pt>
                <c:pt idx="482">
                  <c:v>5,2</c:v>
                </c:pt>
                <c:pt idx="483">
                  <c:v>3,2</c:v>
                </c:pt>
                <c:pt idx="484">
                  <c:v>2,7</c:v>
                </c:pt>
                <c:pt idx="485">
                  <c:v>1,4</c:v>
                </c:pt>
                <c:pt idx="486">
                  <c:v>5</c:v>
                </c:pt>
                <c:pt idx="487">
                  <c:v>5,4</c:v>
                </c:pt>
                <c:pt idx="488">
                  <c:v>3,2</c:v>
                </c:pt>
                <c:pt idx="489">
                  <c:v>3,3</c:v>
                </c:pt>
                <c:pt idx="490">
                  <c:v>0,5</c:v>
                </c:pt>
                <c:pt idx="491">
                  <c:v>5</c:v>
                </c:pt>
                <c:pt idx="492">
                  <c:v>4,8</c:v>
                </c:pt>
                <c:pt idx="493">
                  <c:v>1,1</c:v>
                </c:pt>
                <c:pt idx="494">
                  <c:v>6,1</c:v>
                </c:pt>
                <c:pt idx="495">
                  <c:v>2,7</c:v>
                </c:pt>
                <c:pt idx="496">
                  <c:v>3,2</c:v>
                </c:pt>
                <c:pt idx="497">
                  <c:v>0,9</c:v>
                </c:pt>
                <c:pt idx="498">
                  <c:v>5</c:v>
                </c:pt>
                <c:pt idx="499">
                  <c:v>1,4</c:v>
                </c:pt>
                <c:pt idx="500">
                  <c:v>1,2</c:v>
                </c:pt>
                <c:pt idx="501">
                  <c:v>5,4</c:v>
                </c:pt>
                <c:pt idx="502">
                  <c:v>3,1</c:v>
                </c:pt>
                <c:pt idx="503">
                  <c:v>3,4</c:v>
                </c:pt>
                <c:pt idx="504">
                  <c:v>4,3</c:v>
                </c:pt>
                <c:pt idx="505">
                  <c:v>5,6</c:v>
                </c:pt>
                <c:pt idx="506">
                  <c:v>2,4</c:v>
                </c:pt>
                <c:pt idx="507">
                  <c:v>0,8</c:v>
                </c:pt>
                <c:pt idx="508">
                  <c:v>3,5</c:v>
                </c:pt>
                <c:pt idx="509">
                  <c:v>5,5</c:v>
                </c:pt>
                <c:pt idx="510">
                  <c:v>3,1</c:v>
                </c:pt>
                <c:pt idx="511">
                  <c:v>5,4</c:v>
                </c:pt>
                <c:pt idx="512">
                  <c:v>6,1</c:v>
                </c:pt>
                <c:pt idx="513">
                  <c:v>3,2</c:v>
                </c:pt>
                <c:pt idx="514">
                  <c:v>5,2</c:v>
                </c:pt>
                <c:pt idx="515">
                  <c:v>2,5</c:v>
                </c:pt>
                <c:pt idx="516">
                  <c:v>6,6</c:v>
                </c:pt>
                <c:pt idx="517">
                  <c:v>2</c:v>
                </c:pt>
                <c:pt idx="518">
                  <c:v>4,8</c:v>
                </c:pt>
                <c:pt idx="519">
                  <c:v>5,7</c:v>
                </c:pt>
                <c:pt idx="520">
                  <c:v>2,5</c:v>
                </c:pt>
                <c:pt idx="521">
                  <c:v>6,5</c:v>
                </c:pt>
                <c:pt idx="522">
                  <c:v>2,3</c:v>
                </c:pt>
                <c:pt idx="523">
                  <c:v>3,4</c:v>
                </c:pt>
                <c:pt idx="524">
                  <c:v>1,1</c:v>
                </c:pt>
                <c:pt idx="525">
                  <c:v>6,1</c:v>
                </c:pt>
                <c:pt idx="526">
                  <c:v>2,1</c:v>
                </c:pt>
                <c:pt idx="527">
                  <c:v>5,4</c:v>
                </c:pt>
                <c:pt idx="528">
                  <c:v>2,5</c:v>
                </c:pt>
                <c:pt idx="529">
                  <c:v>5,8</c:v>
                </c:pt>
                <c:pt idx="530">
                  <c:v>2,9</c:v>
                </c:pt>
                <c:pt idx="531">
                  <c:v>2,4</c:v>
                </c:pt>
                <c:pt idx="532">
                  <c:v>0,7</c:v>
                </c:pt>
                <c:pt idx="533">
                  <c:v>5</c:v>
                </c:pt>
                <c:pt idx="534">
                  <c:v>5,8</c:v>
                </c:pt>
                <c:pt idx="535">
                  <c:v>3,2</c:v>
                </c:pt>
                <c:pt idx="536">
                  <c:v>3,3</c:v>
                </c:pt>
                <c:pt idx="537">
                  <c:v>5</c:v>
                </c:pt>
                <c:pt idx="538">
                  <c:v>6,8</c:v>
                </c:pt>
                <c:pt idx="539">
                  <c:v>3,3</c:v>
                </c:pt>
                <c:pt idx="540">
                  <c:v>6,1</c:v>
                </c:pt>
                <c:pt idx="541">
                  <c:v>4,1</c:v>
                </c:pt>
                <c:pt idx="542">
                  <c:v>5,9</c:v>
                </c:pt>
                <c:pt idx="543">
                  <c:v>5,2</c:v>
                </c:pt>
                <c:pt idx="544">
                  <c:v>4,7</c:v>
                </c:pt>
                <c:pt idx="545">
                  <c:v>5</c:v>
                </c:pt>
                <c:pt idx="546">
                  <c:v>0,5</c:v>
                </c:pt>
                <c:pt idx="547">
                  <c:v>1,8</c:v>
                </c:pt>
                <c:pt idx="548">
                  <c:v>5,1</c:v>
                </c:pt>
                <c:pt idx="549">
                  <c:v>6,7</c:v>
                </c:pt>
                <c:pt idx="550">
                  <c:v>5,2</c:v>
                </c:pt>
                <c:pt idx="551">
                  <c:v>2,1</c:v>
                </c:pt>
                <c:pt idx="552">
                  <c:v>6,6</c:v>
                </c:pt>
                <c:pt idx="553">
                  <c:v>2,5</c:v>
                </c:pt>
                <c:pt idx="554">
                  <c:v>5,1</c:v>
                </c:pt>
                <c:pt idx="555">
                  <c:v>1,2</c:v>
                </c:pt>
                <c:pt idx="556">
                  <c:v>1,1</c:v>
                </c:pt>
                <c:pt idx="557">
                  <c:v>0,8</c:v>
                </c:pt>
                <c:pt idx="558">
                  <c:v>5,7</c:v>
                </c:pt>
                <c:pt idx="559">
                  <c:v>4</c:v>
                </c:pt>
                <c:pt idx="560">
                  <c:v>2,4</c:v>
                </c:pt>
                <c:pt idx="561">
                  <c:v>2,6</c:v>
                </c:pt>
                <c:pt idx="562">
                  <c:v>1,2</c:v>
                </c:pt>
                <c:pt idx="563">
                  <c:v>6,2</c:v>
                </c:pt>
                <c:pt idx="564">
                  <c:v>4,5</c:v>
                </c:pt>
                <c:pt idx="565">
                  <c:v>5,2</c:v>
                </c:pt>
                <c:pt idx="566">
                  <c:v>4,8</c:v>
                </c:pt>
                <c:pt idx="567">
                  <c:v>5,3</c:v>
                </c:pt>
                <c:pt idx="568">
                  <c:v>4,3</c:v>
                </c:pt>
                <c:pt idx="569">
                  <c:v>0,8</c:v>
                </c:pt>
                <c:pt idx="570">
                  <c:v>4</c:v>
                </c:pt>
                <c:pt idx="571">
                  <c:v>6,5</c:v>
                </c:pt>
                <c:pt idx="572">
                  <c:v>2,7</c:v>
                </c:pt>
                <c:pt idx="573">
                  <c:v>6,3</c:v>
                </c:pt>
                <c:pt idx="574">
                  <c:v>4,4</c:v>
                </c:pt>
                <c:pt idx="575">
                  <c:v>2,1</c:v>
                </c:pt>
                <c:pt idx="576">
                  <c:v>5</c:v>
                </c:pt>
                <c:pt idx="577">
                  <c:v>3,2</c:v>
                </c:pt>
                <c:pt idx="578">
                  <c:v>5,8</c:v>
                </c:pt>
                <c:pt idx="579">
                  <c:v>4,2</c:v>
                </c:pt>
                <c:pt idx="580">
                  <c:v>2,1</c:v>
                </c:pt>
                <c:pt idx="581">
                  <c:v>4,3</c:v>
                </c:pt>
                <c:pt idx="582">
                  <c:v>4,5</c:v>
                </c:pt>
                <c:pt idx="583">
                  <c:v>2,6</c:v>
                </c:pt>
                <c:pt idx="584">
                  <c:v>6,4</c:v>
                </c:pt>
                <c:pt idx="585">
                  <c:v>5,2</c:v>
                </c:pt>
                <c:pt idx="586">
                  <c:v>3,5</c:v>
                </c:pt>
                <c:pt idx="587">
                  <c:v>4,7</c:v>
                </c:pt>
                <c:pt idx="588">
                  <c:v>1,7</c:v>
                </c:pt>
                <c:pt idx="589">
                  <c:v>5,7</c:v>
                </c:pt>
                <c:pt idx="590">
                  <c:v>2,1</c:v>
                </c:pt>
                <c:pt idx="591">
                  <c:v>6,7</c:v>
                </c:pt>
                <c:pt idx="592">
                  <c:v>4,7</c:v>
                </c:pt>
                <c:pt idx="593">
                  <c:v>0,6</c:v>
                </c:pt>
                <c:pt idx="594">
                  <c:v>3,7</c:v>
                </c:pt>
                <c:pt idx="595">
                  <c:v>4</c:v>
                </c:pt>
                <c:pt idx="596">
                  <c:v>6,5</c:v>
                </c:pt>
                <c:pt idx="597">
                  <c:v>5</c:v>
                </c:pt>
                <c:pt idx="598">
                  <c:v>2,4</c:v>
                </c:pt>
                <c:pt idx="599">
                  <c:v>2,6</c:v>
                </c:pt>
                <c:pt idx="600">
                  <c:v>1,4</c:v>
                </c:pt>
                <c:pt idx="601">
                  <c:v>4,6</c:v>
                </c:pt>
                <c:pt idx="602">
                  <c:v>1,4</c:v>
                </c:pt>
                <c:pt idx="603">
                  <c:v>6,1</c:v>
                </c:pt>
                <c:pt idx="604">
                  <c:v>1,2</c:v>
                </c:pt>
                <c:pt idx="605">
                  <c:v>6,5</c:v>
                </c:pt>
                <c:pt idx="606">
                  <c:v>2,6</c:v>
                </c:pt>
                <c:pt idx="607">
                  <c:v>4,9</c:v>
                </c:pt>
                <c:pt idx="608">
                  <c:v>6,6</c:v>
                </c:pt>
                <c:pt idx="609">
                  <c:v>5,8</c:v>
                </c:pt>
                <c:pt idx="610">
                  <c:v>2,1</c:v>
                </c:pt>
                <c:pt idx="611">
                  <c:v>3,8</c:v>
                </c:pt>
                <c:pt idx="612">
                  <c:v>4,7</c:v>
                </c:pt>
                <c:pt idx="613">
                  <c:v>6,3</c:v>
                </c:pt>
                <c:pt idx="614">
                  <c:v>6,8</c:v>
                </c:pt>
                <c:pt idx="615">
                  <c:v>5,1</c:v>
                </c:pt>
                <c:pt idx="616">
                  <c:v>2,7</c:v>
                </c:pt>
                <c:pt idx="617">
                  <c:v>1,3</c:v>
                </c:pt>
                <c:pt idx="618">
                  <c:v>0,7</c:v>
                </c:pt>
                <c:pt idx="619">
                  <c:v>4,3</c:v>
                </c:pt>
                <c:pt idx="620">
                  <c:v>2,5</c:v>
                </c:pt>
                <c:pt idx="621">
                  <c:v>6,9</c:v>
                </c:pt>
                <c:pt idx="622">
                  <c:v>6,2</c:v>
                </c:pt>
                <c:pt idx="623">
                  <c:v>2,1</c:v>
                </c:pt>
                <c:pt idx="624">
                  <c:v>6,2</c:v>
                </c:pt>
                <c:pt idx="625">
                  <c:v>3</c:v>
                </c:pt>
                <c:pt idx="626">
                  <c:v>3,9</c:v>
                </c:pt>
                <c:pt idx="627">
                  <c:v>4</c:v>
                </c:pt>
                <c:pt idx="628">
                  <c:v>1,1</c:v>
                </c:pt>
                <c:pt idx="629">
                  <c:v>2,2</c:v>
                </c:pt>
                <c:pt idx="630">
                  <c:v>5</c:v>
                </c:pt>
                <c:pt idx="631">
                  <c:v>4,6</c:v>
                </c:pt>
                <c:pt idx="632">
                  <c:v>4,2</c:v>
                </c:pt>
                <c:pt idx="633">
                  <c:v>2,8</c:v>
                </c:pt>
                <c:pt idx="634">
                  <c:v>0,8</c:v>
                </c:pt>
                <c:pt idx="635">
                  <c:v>4,3</c:v>
                </c:pt>
                <c:pt idx="636">
                  <c:v>4,3</c:v>
                </c:pt>
                <c:pt idx="637">
                  <c:v>4</c:v>
                </c:pt>
                <c:pt idx="638">
                  <c:v>4,3</c:v>
                </c:pt>
                <c:pt idx="639">
                  <c:v>4,2</c:v>
                </c:pt>
                <c:pt idx="640">
                  <c:v>2</c:v>
                </c:pt>
                <c:pt idx="641">
                  <c:v>6,9</c:v>
                </c:pt>
                <c:pt idx="642">
                  <c:v>4</c:v>
                </c:pt>
                <c:pt idx="643">
                  <c:v>6</c:v>
                </c:pt>
                <c:pt idx="644">
                  <c:v>3,8</c:v>
                </c:pt>
                <c:pt idx="645">
                  <c:v>5,1</c:v>
                </c:pt>
                <c:pt idx="646">
                  <c:v>1,9</c:v>
                </c:pt>
                <c:pt idx="647">
                  <c:v>2,4</c:v>
                </c:pt>
                <c:pt idx="648">
                  <c:v>6,3</c:v>
                </c:pt>
                <c:pt idx="649">
                  <c:v>3,8</c:v>
                </c:pt>
                <c:pt idx="650">
                  <c:v>6,5</c:v>
                </c:pt>
                <c:pt idx="651">
                  <c:v>2,6</c:v>
                </c:pt>
                <c:pt idx="652">
                  <c:v>4,5</c:v>
                </c:pt>
                <c:pt idx="653">
                  <c:v>5,7</c:v>
                </c:pt>
                <c:pt idx="654">
                  <c:v>2,4</c:v>
                </c:pt>
                <c:pt idx="655">
                  <c:v>1,1</c:v>
                </c:pt>
                <c:pt idx="656">
                  <c:v>5,9</c:v>
                </c:pt>
                <c:pt idx="657">
                  <c:v>5,2</c:v>
                </c:pt>
                <c:pt idx="658">
                  <c:v>4,1</c:v>
                </c:pt>
                <c:pt idx="659">
                  <c:v>4,5</c:v>
                </c:pt>
                <c:pt idx="660">
                  <c:v>2,4</c:v>
                </c:pt>
                <c:pt idx="661">
                  <c:v>1,6</c:v>
                </c:pt>
                <c:pt idx="662">
                  <c:v>1,2</c:v>
                </c:pt>
                <c:pt idx="663">
                  <c:v>5,1</c:v>
                </c:pt>
                <c:pt idx="664">
                  <c:v>6,3</c:v>
                </c:pt>
                <c:pt idx="665">
                  <c:v>6,4</c:v>
                </c:pt>
                <c:pt idx="666">
                  <c:v>5,5</c:v>
                </c:pt>
                <c:pt idx="667">
                  <c:v>5,9</c:v>
                </c:pt>
                <c:pt idx="668">
                  <c:v>6,4</c:v>
                </c:pt>
                <c:pt idx="669">
                  <c:v>2,2</c:v>
                </c:pt>
                <c:pt idx="670">
                  <c:v>2,9</c:v>
                </c:pt>
                <c:pt idx="671">
                  <c:v>2,9</c:v>
                </c:pt>
                <c:pt idx="672">
                  <c:v>3,9</c:v>
                </c:pt>
                <c:pt idx="673">
                  <c:v>2,6</c:v>
                </c:pt>
                <c:pt idx="674">
                  <c:v>6,2</c:v>
                </c:pt>
                <c:pt idx="675">
                  <c:v>4,1</c:v>
                </c:pt>
                <c:pt idx="676">
                  <c:v>1,7</c:v>
                </c:pt>
                <c:pt idx="677">
                  <c:v>3,2</c:v>
                </c:pt>
                <c:pt idx="678">
                  <c:v>7</c:v>
                </c:pt>
                <c:pt idx="679">
                  <c:v>3,9</c:v>
                </c:pt>
                <c:pt idx="680">
                  <c:v>6,4</c:v>
                </c:pt>
                <c:pt idx="681">
                  <c:v>2,6</c:v>
                </c:pt>
                <c:pt idx="682">
                  <c:v>2,7</c:v>
                </c:pt>
                <c:pt idx="683">
                  <c:v>4,3</c:v>
                </c:pt>
                <c:pt idx="684">
                  <c:v>5,1</c:v>
                </c:pt>
                <c:pt idx="685">
                  <c:v>3,4</c:v>
                </c:pt>
                <c:pt idx="686">
                  <c:v>2</c:v>
                </c:pt>
                <c:pt idx="687">
                  <c:v>5,4</c:v>
                </c:pt>
                <c:pt idx="688">
                  <c:v>6,8</c:v>
                </c:pt>
                <c:pt idx="689">
                  <c:v>2,6</c:v>
                </c:pt>
                <c:pt idx="690">
                  <c:v>5,6</c:v>
                </c:pt>
                <c:pt idx="691">
                  <c:v>1,3</c:v>
                </c:pt>
                <c:pt idx="692">
                  <c:v>7</c:v>
                </c:pt>
                <c:pt idx="693">
                  <c:v>4,9</c:v>
                </c:pt>
                <c:pt idx="694">
                  <c:v>4,2</c:v>
                </c:pt>
                <c:pt idx="695">
                  <c:v>3,3</c:v>
                </c:pt>
                <c:pt idx="696">
                  <c:v>2,9</c:v>
                </c:pt>
                <c:pt idx="697">
                  <c:v>6,3</c:v>
                </c:pt>
                <c:pt idx="698">
                  <c:v>3,5</c:v>
                </c:pt>
                <c:pt idx="699">
                  <c:v>0,8</c:v>
                </c:pt>
                <c:pt idx="700">
                  <c:v>1,8</c:v>
                </c:pt>
                <c:pt idx="701">
                  <c:v>4,1</c:v>
                </c:pt>
                <c:pt idx="702">
                  <c:v>1,3</c:v>
                </c:pt>
                <c:pt idx="703">
                  <c:v>1</c:v>
                </c:pt>
                <c:pt idx="704">
                  <c:v>6,1</c:v>
                </c:pt>
                <c:pt idx="705">
                  <c:v>2,8</c:v>
                </c:pt>
                <c:pt idx="706">
                  <c:v>5</c:v>
                </c:pt>
                <c:pt idx="707">
                  <c:v>4,9</c:v>
                </c:pt>
                <c:pt idx="708">
                  <c:v>6</c:v>
                </c:pt>
                <c:pt idx="709">
                  <c:v>5,1</c:v>
                </c:pt>
                <c:pt idx="710">
                  <c:v>6,4</c:v>
                </c:pt>
                <c:pt idx="711">
                  <c:v>2,2</c:v>
                </c:pt>
                <c:pt idx="712">
                  <c:v>2,1</c:v>
                </c:pt>
                <c:pt idx="713">
                  <c:v>3,1</c:v>
                </c:pt>
                <c:pt idx="714">
                  <c:v>3,7</c:v>
                </c:pt>
                <c:pt idx="715">
                  <c:v>2,6</c:v>
                </c:pt>
                <c:pt idx="716">
                  <c:v>6,8</c:v>
                </c:pt>
                <c:pt idx="717">
                  <c:v>2,6</c:v>
                </c:pt>
                <c:pt idx="718">
                  <c:v>1,1</c:v>
                </c:pt>
                <c:pt idx="719">
                  <c:v>3,8</c:v>
                </c:pt>
                <c:pt idx="720">
                  <c:v>6,1</c:v>
                </c:pt>
                <c:pt idx="721">
                  <c:v>0,8</c:v>
                </c:pt>
                <c:pt idx="722">
                  <c:v>2,5</c:v>
                </c:pt>
                <c:pt idx="723">
                  <c:v>3,7</c:v>
                </c:pt>
                <c:pt idx="724">
                  <c:v>5,7</c:v>
                </c:pt>
                <c:pt idx="725">
                  <c:v>6,1</c:v>
                </c:pt>
                <c:pt idx="726">
                  <c:v>3,4</c:v>
                </c:pt>
                <c:pt idx="727">
                  <c:v>5,4</c:v>
                </c:pt>
                <c:pt idx="728">
                  <c:v>5,6</c:v>
                </c:pt>
                <c:pt idx="729">
                  <c:v>2,3</c:v>
                </c:pt>
                <c:pt idx="730">
                  <c:v>3,2</c:v>
                </c:pt>
                <c:pt idx="731">
                  <c:v>0,9</c:v>
                </c:pt>
                <c:pt idx="732">
                  <c:v>4</c:v>
                </c:pt>
                <c:pt idx="733">
                  <c:v>1,1</c:v>
                </c:pt>
                <c:pt idx="734">
                  <c:v>5,1</c:v>
                </c:pt>
                <c:pt idx="735">
                  <c:v>6,2</c:v>
                </c:pt>
                <c:pt idx="736">
                  <c:v>1,1</c:v>
                </c:pt>
                <c:pt idx="737">
                  <c:v>3,7</c:v>
                </c:pt>
                <c:pt idx="738">
                  <c:v>1,8</c:v>
                </c:pt>
                <c:pt idx="739">
                  <c:v>1,1</c:v>
                </c:pt>
                <c:pt idx="740">
                  <c:v>4,4</c:v>
                </c:pt>
                <c:pt idx="741">
                  <c:v>6,5</c:v>
                </c:pt>
                <c:pt idx="742">
                  <c:v>5,9</c:v>
                </c:pt>
                <c:pt idx="743">
                  <c:v>3,8</c:v>
                </c:pt>
                <c:pt idx="744">
                  <c:v>4,3</c:v>
                </c:pt>
                <c:pt idx="745">
                  <c:v>1,5</c:v>
                </c:pt>
                <c:pt idx="746">
                  <c:v>2,7</c:v>
                </c:pt>
                <c:pt idx="747">
                  <c:v>5,3</c:v>
                </c:pt>
                <c:pt idx="748">
                  <c:v>1,2</c:v>
                </c:pt>
                <c:pt idx="749">
                  <c:v>3,1</c:v>
                </c:pt>
                <c:pt idx="750">
                  <c:v>4,7</c:v>
                </c:pt>
                <c:pt idx="751">
                  <c:v>5,2</c:v>
                </c:pt>
                <c:pt idx="752">
                  <c:v>5,8</c:v>
                </c:pt>
                <c:pt idx="753">
                  <c:v>1,5</c:v>
                </c:pt>
                <c:pt idx="754">
                  <c:v>4,8</c:v>
                </c:pt>
                <c:pt idx="755">
                  <c:v>5,2</c:v>
                </c:pt>
                <c:pt idx="756">
                  <c:v>2,9</c:v>
                </c:pt>
                <c:pt idx="757">
                  <c:v>1,1</c:v>
                </c:pt>
                <c:pt idx="758">
                  <c:v>1,9</c:v>
                </c:pt>
                <c:pt idx="759">
                  <c:v>1,9</c:v>
                </c:pt>
                <c:pt idx="760">
                  <c:v>2,8</c:v>
                </c:pt>
                <c:pt idx="761">
                  <c:v>6,7</c:v>
                </c:pt>
                <c:pt idx="762">
                  <c:v>4,6</c:v>
                </c:pt>
                <c:pt idx="763">
                  <c:v>2,5</c:v>
                </c:pt>
                <c:pt idx="764">
                  <c:v>4</c:v>
                </c:pt>
                <c:pt idx="765">
                  <c:v>4,1</c:v>
                </c:pt>
                <c:pt idx="766">
                  <c:v>1,8</c:v>
                </c:pt>
                <c:pt idx="767">
                  <c:v>6,3</c:v>
                </c:pt>
                <c:pt idx="768">
                  <c:v>1,4</c:v>
                </c:pt>
                <c:pt idx="769">
                  <c:v>4,1</c:v>
                </c:pt>
                <c:pt idx="770">
                  <c:v>1,2</c:v>
                </c:pt>
                <c:pt idx="771">
                  <c:v>2</c:v>
                </c:pt>
                <c:pt idx="772">
                  <c:v>1</c:v>
                </c:pt>
                <c:pt idx="773">
                  <c:v>3,9</c:v>
                </c:pt>
                <c:pt idx="774">
                  <c:v>1,7</c:v>
                </c:pt>
                <c:pt idx="775">
                  <c:v>1,9</c:v>
                </c:pt>
                <c:pt idx="776">
                  <c:v>1,4</c:v>
                </c:pt>
                <c:pt idx="777">
                  <c:v>5,6</c:v>
                </c:pt>
                <c:pt idx="778">
                  <c:v>1,1</c:v>
                </c:pt>
                <c:pt idx="779">
                  <c:v>6,6</c:v>
                </c:pt>
                <c:pt idx="780">
                  <c:v>6,7</c:v>
                </c:pt>
                <c:pt idx="781">
                  <c:v>2,5</c:v>
                </c:pt>
                <c:pt idx="782">
                  <c:v>2,7</c:v>
                </c:pt>
                <c:pt idx="783">
                  <c:v>1,7</c:v>
                </c:pt>
                <c:pt idx="784">
                  <c:v>1,2</c:v>
                </c:pt>
                <c:pt idx="785">
                  <c:v>1,6</c:v>
                </c:pt>
                <c:pt idx="786">
                  <c:v>4</c:v>
                </c:pt>
                <c:pt idx="787">
                  <c:v>3,4</c:v>
                </c:pt>
                <c:pt idx="788">
                  <c:v>1,6</c:v>
                </c:pt>
                <c:pt idx="789">
                  <c:v>2,1</c:v>
                </c:pt>
                <c:pt idx="790">
                  <c:v>1,1</c:v>
                </c:pt>
                <c:pt idx="791">
                  <c:v>3,4</c:v>
                </c:pt>
                <c:pt idx="792">
                  <c:v>4,6</c:v>
                </c:pt>
                <c:pt idx="793">
                  <c:v>1,5</c:v>
                </c:pt>
                <c:pt idx="794">
                  <c:v>5,8</c:v>
                </c:pt>
                <c:pt idx="795">
                  <c:v>6,3</c:v>
                </c:pt>
                <c:pt idx="796">
                  <c:v>2,2</c:v>
                </c:pt>
                <c:pt idx="797">
                  <c:v>3,4</c:v>
                </c:pt>
                <c:pt idx="798">
                  <c:v>5,3</c:v>
                </c:pt>
                <c:pt idx="799">
                  <c:v>6,4</c:v>
                </c:pt>
                <c:pt idx="800">
                  <c:v>6,1</c:v>
                </c:pt>
                <c:pt idx="801">
                  <c:v>1,5</c:v>
                </c:pt>
                <c:pt idx="802">
                  <c:v>2</c:v>
                </c:pt>
                <c:pt idx="803">
                  <c:v>4,5</c:v>
                </c:pt>
                <c:pt idx="804">
                  <c:v>3,5</c:v>
                </c:pt>
                <c:pt idx="805">
                  <c:v>3,9</c:v>
                </c:pt>
                <c:pt idx="806">
                  <c:v>0,8</c:v>
                </c:pt>
                <c:pt idx="807">
                  <c:v>6,4</c:v>
                </c:pt>
                <c:pt idx="808">
                  <c:v>1,5</c:v>
                </c:pt>
                <c:pt idx="809">
                  <c:v>1,8</c:v>
                </c:pt>
                <c:pt idx="810">
                  <c:v>6,4</c:v>
                </c:pt>
                <c:pt idx="811">
                  <c:v>5,2</c:v>
                </c:pt>
                <c:pt idx="812">
                  <c:v>5,5</c:v>
                </c:pt>
                <c:pt idx="813">
                  <c:v>5,8</c:v>
                </c:pt>
                <c:pt idx="814">
                  <c:v>0,6</c:v>
                </c:pt>
                <c:pt idx="815">
                  <c:v>4,4</c:v>
                </c:pt>
                <c:pt idx="816">
                  <c:v>3,5</c:v>
                </c:pt>
                <c:pt idx="817">
                  <c:v>5,9</c:v>
                </c:pt>
                <c:pt idx="818">
                  <c:v>4,8</c:v>
                </c:pt>
                <c:pt idx="819">
                  <c:v>1,1</c:v>
                </c:pt>
                <c:pt idx="820">
                  <c:v>1,6</c:v>
                </c:pt>
                <c:pt idx="821">
                  <c:v>4,7</c:v>
                </c:pt>
                <c:pt idx="822">
                  <c:v>3,9</c:v>
                </c:pt>
                <c:pt idx="823">
                  <c:v>1,9</c:v>
                </c:pt>
                <c:pt idx="824">
                  <c:v>4,2</c:v>
                </c:pt>
                <c:pt idx="825">
                  <c:v>5,9</c:v>
                </c:pt>
                <c:pt idx="826">
                  <c:v>0,7</c:v>
                </c:pt>
                <c:pt idx="827">
                  <c:v>4,5</c:v>
                </c:pt>
                <c:pt idx="828">
                  <c:v>0,9</c:v>
                </c:pt>
                <c:pt idx="829">
                  <c:v>3,6</c:v>
                </c:pt>
                <c:pt idx="830">
                  <c:v>3,6</c:v>
                </c:pt>
                <c:pt idx="831">
                  <c:v>4,1</c:v>
                </c:pt>
                <c:pt idx="832">
                  <c:v>2,2</c:v>
                </c:pt>
                <c:pt idx="833">
                  <c:v>4,7</c:v>
                </c:pt>
                <c:pt idx="834">
                  <c:v>2,8</c:v>
                </c:pt>
                <c:pt idx="835">
                  <c:v>5</c:v>
                </c:pt>
                <c:pt idx="836">
                  <c:v>1,1</c:v>
                </c:pt>
                <c:pt idx="837">
                  <c:v>1,6</c:v>
                </c:pt>
                <c:pt idx="838">
                  <c:v>5,7</c:v>
                </c:pt>
                <c:pt idx="839">
                  <c:v>6,6</c:v>
                </c:pt>
                <c:pt idx="840">
                  <c:v>6,2</c:v>
                </c:pt>
                <c:pt idx="841">
                  <c:v>2,8</c:v>
                </c:pt>
                <c:pt idx="842">
                  <c:v>4,3</c:v>
                </c:pt>
                <c:pt idx="843">
                  <c:v>0,8</c:v>
                </c:pt>
                <c:pt idx="845">
                  <c:v>2,9</c:v>
                </c:pt>
                <c:pt idx="846">
                  <c:v>1,3</c:v>
                </c:pt>
                <c:pt idx="847">
                  <c:v>3,8</c:v>
                </c:pt>
                <c:pt idx="848">
                  <c:v>2,8</c:v>
                </c:pt>
                <c:pt idx="849">
                  <c:v>4,3</c:v>
                </c:pt>
                <c:pt idx="850">
                  <c:v>3,2</c:v>
                </c:pt>
                <c:pt idx="851">
                  <c:v>6,3</c:v>
                </c:pt>
                <c:pt idx="852">
                  <c:v>0,5</c:v>
                </c:pt>
                <c:pt idx="853">
                  <c:v>0,8</c:v>
                </c:pt>
                <c:pt idx="854">
                  <c:v>6,8</c:v>
                </c:pt>
                <c:pt idx="855">
                  <c:v>4,6</c:v>
                </c:pt>
                <c:pt idx="856">
                  <c:v>3,9</c:v>
                </c:pt>
                <c:pt idx="857">
                  <c:v>3,7</c:v>
                </c:pt>
                <c:pt idx="858">
                  <c:v>0,9</c:v>
                </c:pt>
                <c:pt idx="859">
                  <c:v>6,9</c:v>
                </c:pt>
                <c:pt idx="860">
                  <c:v>3,1</c:v>
                </c:pt>
                <c:pt idx="861">
                  <c:v>3</c:v>
                </c:pt>
                <c:pt idx="862">
                  <c:v>3,4</c:v>
                </c:pt>
                <c:pt idx="863">
                  <c:v>1</c:v>
                </c:pt>
                <c:pt idx="864">
                  <c:v>4,3</c:v>
                </c:pt>
                <c:pt idx="865">
                  <c:v>1,3</c:v>
                </c:pt>
                <c:pt idx="866">
                  <c:v>4,1</c:v>
                </c:pt>
                <c:pt idx="867">
                  <c:v>5,5</c:v>
                </c:pt>
                <c:pt idx="868">
                  <c:v>6,1</c:v>
                </c:pt>
                <c:pt idx="869">
                  <c:v>1,5</c:v>
                </c:pt>
                <c:pt idx="870">
                  <c:v>6,1</c:v>
                </c:pt>
                <c:pt idx="871">
                  <c:v>6,9</c:v>
                </c:pt>
                <c:pt idx="872">
                  <c:v>6,5</c:v>
                </c:pt>
                <c:pt idx="873">
                  <c:v>1,7</c:v>
                </c:pt>
                <c:pt idx="874">
                  <c:v>6,9</c:v>
                </c:pt>
                <c:pt idx="875">
                  <c:v>2,8</c:v>
                </c:pt>
                <c:pt idx="876">
                  <c:v>3</c:v>
                </c:pt>
                <c:pt idx="877">
                  <c:v>6,7</c:v>
                </c:pt>
                <c:pt idx="878">
                  <c:v>3</c:v>
                </c:pt>
                <c:pt idx="879">
                  <c:v>0,6</c:v>
                </c:pt>
                <c:pt idx="880">
                  <c:v>4,4</c:v>
                </c:pt>
                <c:pt idx="881">
                  <c:v>6,9</c:v>
                </c:pt>
                <c:pt idx="882">
                  <c:v>3,1</c:v>
                </c:pt>
                <c:pt idx="883">
                  <c:v>6,7</c:v>
                </c:pt>
                <c:pt idx="884">
                  <c:v>0,8</c:v>
                </c:pt>
                <c:pt idx="885">
                  <c:v>1,9</c:v>
                </c:pt>
                <c:pt idx="886">
                  <c:v>1,9</c:v>
                </c:pt>
                <c:pt idx="887">
                  <c:v>2,3</c:v>
                </c:pt>
                <c:pt idx="888">
                  <c:v>1,8</c:v>
                </c:pt>
                <c:pt idx="889">
                  <c:v>2,6</c:v>
                </c:pt>
                <c:pt idx="890">
                  <c:v>4,8</c:v>
                </c:pt>
                <c:pt idx="891">
                  <c:v>5,5</c:v>
                </c:pt>
                <c:pt idx="892">
                  <c:v>6,3</c:v>
                </c:pt>
                <c:pt idx="893">
                  <c:v>1,8</c:v>
                </c:pt>
                <c:pt idx="894">
                  <c:v>6,8</c:v>
                </c:pt>
                <c:pt idx="895">
                  <c:v>1,1</c:v>
                </c:pt>
                <c:pt idx="896">
                  <c:v>5,5</c:v>
                </c:pt>
                <c:pt idx="897">
                  <c:v>4,9</c:v>
                </c:pt>
                <c:pt idx="898">
                  <c:v>6,6</c:v>
                </c:pt>
                <c:pt idx="899">
                  <c:v>3,1</c:v>
                </c:pt>
                <c:pt idx="900">
                  <c:v>2,3</c:v>
                </c:pt>
                <c:pt idx="901">
                  <c:v>1,3</c:v>
                </c:pt>
                <c:pt idx="902">
                  <c:v>1,3</c:v>
                </c:pt>
                <c:pt idx="903">
                  <c:v>6,6</c:v>
                </c:pt>
                <c:pt idx="904">
                  <c:v>3,1</c:v>
                </c:pt>
                <c:pt idx="905">
                  <c:v>5,5</c:v>
                </c:pt>
                <c:pt idx="906">
                  <c:v>3,7</c:v>
                </c:pt>
                <c:pt idx="907">
                  <c:v>1,6</c:v>
                </c:pt>
                <c:pt idx="908">
                  <c:v>1,6</c:v>
                </c:pt>
                <c:pt idx="909">
                  <c:v>6,6</c:v>
                </c:pt>
                <c:pt idx="910">
                  <c:v>4,8</c:v>
                </c:pt>
                <c:pt idx="911">
                  <c:v>2,6</c:v>
                </c:pt>
                <c:pt idx="912">
                  <c:v>2,3</c:v>
                </c:pt>
                <c:pt idx="913">
                  <c:v>1</c:v>
                </c:pt>
                <c:pt idx="914">
                  <c:v>5,3</c:v>
                </c:pt>
                <c:pt idx="915">
                  <c:v>2,3</c:v>
                </c:pt>
                <c:pt idx="916">
                  <c:v>1,9</c:v>
                </c:pt>
                <c:pt idx="917">
                  <c:v>4,2</c:v>
                </c:pt>
                <c:pt idx="918">
                  <c:v>1,5</c:v>
                </c:pt>
                <c:pt idx="919">
                  <c:v>2,8</c:v>
                </c:pt>
                <c:pt idx="920">
                  <c:v>4,8</c:v>
                </c:pt>
                <c:pt idx="921">
                  <c:v>4,8</c:v>
                </c:pt>
                <c:pt idx="922">
                  <c:v>2,6</c:v>
                </c:pt>
                <c:pt idx="923">
                  <c:v>1,8</c:v>
                </c:pt>
                <c:pt idx="924">
                  <c:v>6,9</c:v>
                </c:pt>
                <c:pt idx="925">
                  <c:v>6,5</c:v>
                </c:pt>
                <c:pt idx="926">
                  <c:v>5</c:v>
                </c:pt>
                <c:pt idx="927">
                  <c:v>3,2</c:v>
                </c:pt>
                <c:pt idx="928">
                  <c:v>3,8</c:v>
                </c:pt>
                <c:pt idx="929">
                  <c:v>5,7</c:v>
                </c:pt>
                <c:pt idx="930">
                  <c:v>5</c:v>
                </c:pt>
                <c:pt idx="931">
                  <c:v>1,1</c:v>
                </c:pt>
                <c:pt idx="932">
                  <c:v>4,5</c:v>
                </c:pt>
                <c:pt idx="933">
                  <c:v>6,5</c:v>
                </c:pt>
                <c:pt idx="934">
                  <c:v>1,4</c:v>
                </c:pt>
                <c:pt idx="935">
                  <c:v>6,4</c:v>
                </c:pt>
                <c:pt idx="936">
                  <c:v>1,2</c:v>
                </c:pt>
                <c:pt idx="937">
                  <c:v>2</c:v>
                </c:pt>
                <c:pt idx="938">
                  <c:v>6,5</c:v>
                </c:pt>
                <c:pt idx="939">
                  <c:v>6,2</c:v>
                </c:pt>
                <c:pt idx="940">
                  <c:v>4,2</c:v>
                </c:pt>
                <c:pt idx="941">
                  <c:v>6</c:v>
                </c:pt>
                <c:pt idx="942">
                  <c:v>5</c:v>
                </c:pt>
                <c:pt idx="943">
                  <c:v>6</c:v>
                </c:pt>
                <c:pt idx="944">
                  <c:v>4</c:v>
                </c:pt>
                <c:pt idx="945">
                  <c:v>5,5</c:v>
                </c:pt>
                <c:pt idx="946">
                  <c:v>3,6</c:v>
                </c:pt>
                <c:pt idx="947">
                  <c:v>5</c:v>
                </c:pt>
                <c:pt idx="948">
                  <c:v>2,4</c:v>
                </c:pt>
                <c:pt idx="949">
                  <c:v>0,6</c:v>
                </c:pt>
                <c:pt idx="950">
                  <c:v>1,1</c:v>
                </c:pt>
                <c:pt idx="951">
                  <c:v>0,9</c:v>
                </c:pt>
                <c:pt idx="952">
                  <c:v>3,1</c:v>
                </c:pt>
                <c:pt idx="953">
                  <c:v>1,7</c:v>
                </c:pt>
                <c:pt idx="954">
                  <c:v>3,9</c:v>
                </c:pt>
                <c:pt idx="955">
                  <c:v>1,9</c:v>
                </c:pt>
                <c:pt idx="956">
                  <c:v>4,9</c:v>
                </c:pt>
                <c:pt idx="957">
                  <c:v>6,9</c:v>
                </c:pt>
                <c:pt idx="958">
                  <c:v>5,4</c:v>
                </c:pt>
                <c:pt idx="959">
                  <c:v>6,8</c:v>
                </c:pt>
              </c:strCache>
            </c:strRef>
          </c:xVal>
          <c:yVal>
            <c:numRef>
              <c:f>Calidad!$J$2:$J$961</c:f>
              <c:numCache>
                <c:formatCode>General</c:formatCode>
                <c:ptCount val="960"/>
                <c:pt idx="0">
                  <c:v>100</c:v>
                </c:pt>
                <c:pt idx="1">
                  <c:v>56.6</c:v>
                </c:pt>
                <c:pt idx="2">
                  <c:v>74.2</c:v>
                </c:pt>
                <c:pt idx="3">
                  <c:v>74.8</c:v>
                </c:pt>
                <c:pt idx="4">
                  <c:v>76</c:v>
                </c:pt>
                <c:pt idx="5">
                  <c:v>100</c:v>
                </c:pt>
                <c:pt idx="6">
                  <c:v>65.8</c:v>
                </c:pt>
                <c:pt idx="7">
                  <c:v>70.2</c:v>
                </c:pt>
                <c:pt idx="8">
                  <c:v>83.4</c:v>
                </c:pt>
                <c:pt idx="9">
                  <c:v>61</c:v>
                </c:pt>
                <c:pt idx="10">
                  <c:v>87.8</c:v>
                </c:pt>
                <c:pt idx="11">
                  <c:v>61.5</c:v>
                </c:pt>
                <c:pt idx="12">
                  <c:v>73</c:v>
                </c:pt>
                <c:pt idx="13">
                  <c:v>74.099999999999994</c:v>
                </c:pt>
                <c:pt idx="14">
                  <c:v>82.7</c:v>
                </c:pt>
                <c:pt idx="15">
                  <c:v>72.900000000000006</c:v>
                </c:pt>
                <c:pt idx="16">
                  <c:v>79.8</c:v>
                </c:pt>
                <c:pt idx="17">
                  <c:v>74.2</c:v>
                </c:pt>
                <c:pt idx="18">
                  <c:v>57.8</c:v>
                </c:pt>
                <c:pt idx="19">
                  <c:v>74.099999999999994</c:v>
                </c:pt>
                <c:pt idx="20">
                  <c:v>80.5</c:v>
                </c:pt>
                <c:pt idx="21">
                  <c:v>62.6</c:v>
                </c:pt>
                <c:pt idx="22">
                  <c:v>71.5</c:v>
                </c:pt>
                <c:pt idx="23">
                  <c:v>69.8</c:v>
                </c:pt>
                <c:pt idx="24">
                  <c:v>65.2</c:v>
                </c:pt>
                <c:pt idx="25">
                  <c:v>74.099999999999994</c:v>
                </c:pt>
                <c:pt idx="26">
                  <c:v>94.5</c:v>
                </c:pt>
                <c:pt idx="27">
                  <c:v>72.099999999999994</c:v>
                </c:pt>
                <c:pt idx="28">
                  <c:v>58.9</c:v>
                </c:pt>
                <c:pt idx="29">
                  <c:v>81.599999999999994</c:v>
                </c:pt>
                <c:pt idx="30">
                  <c:v>57.5</c:v>
                </c:pt>
                <c:pt idx="31">
                  <c:v>57.9</c:v>
                </c:pt>
                <c:pt idx="32">
                  <c:v>73.099999999999994</c:v>
                </c:pt>
                <c:pt idx="33">
                  <c:v>78.5</c:v>
                </c:pt>
                <c:pt idx="34">
                  <c:v>79.599999999999994</c:v>
                </c:pt>
                <c:pt idx="35">
                  <c:v>66.400000000000006</c:v>
                </c:pt>
                <c:pt idx="36">
                  <c:v>57.2</c:v>
                </c:pt>
                <c:pt idx="37">
                  <c:v>78.2</c:v>
                </c:pt>
                <c:pt idx="38">
                  <c:v>83.4</c:v>
                </c:pt>
                <c:pt idx="39">
                  <c:v>83.7</c:v>
                </c:pt>
                <c:pt idx="40">
                  <c:v>65.099999999999994</c:v>
                </c:pt>
                <c:pt idx="41">
                  <c:v>61.3</c:v>
                </c:pt>
                <c:pt idx="42">
                  <c:v>66.7</c:v>
                </c:pt>
                <c:pt idx="43">
                  <c:v>61.2</c:v>
                </c:pt>
                <c:pt idx="44">
                  <c:v>63.8</c:v>
                </c:pt>
                <c:pt idx="45">
                  <c:v>97.5</c:v>
                </c:pt>
                <c:pt idx="46">
                  <c:v>80.8</c:v>
                </c:pt>
                <c:pt idx="47">
                  <c:v>67.8</c:v>
                </c:pt>
                <c:pt idx="48">
                  <c:v>71.599999999999994</c:v>
                </c:pt>
                <c:pt idx="49">
                  <c:v>74.2</c:v>
                </c:pt>
                <c:pt idx="50">
                  <c:v>79.5</c:v>
                </c:pt>
                <c:pt idx="51">
                  <c:v>97.5</c:v>
                </c:pt>
                <c:pt idx="52">
                  <c:v>67.2</c:v>
                </c:pt>
                <c:pt idx="53">
                  <c:v>100</c:v>
                </c:pt>
                <c:pt idx="54">
                  <c:v>75.099999999999994</c:v>
                </c:pt>
                <c:pt idx="55">
                  <c:v>67.599999999999994</c:v>
                </c:pt>
                <c:pt idx="56">
                  <c:v>60.4</c:v>
                </c:pt>
                <c:pt idx="57">
                  <c:v>91.2</c:v>
                </c:pt>
                <c:pt idx="58">
                  <c:v>78.900000000000006</c:v>
                </c:pt>
                <c:pt idx="59">
                  <c:v>95.6</c:v>
                </c:pt>
                <c:pt idx="60">
                  <c:v>80</c:v>
                </c:pt>
                <c:pt idx="61">
                  <c:v>82.7</c:v>
                </c:pt>
                <c:pt idx="62">
                  <c:v>74</c:v>
                </c:pt>
                <c:pt idx="63">
                  <c:v>85</c:v>
                </c:pt>
                <c:pt idx="64">
                  <c:v>64.7</c:v>
                </c:pt>
                <c:pt idx="65">
                  <c:v>68.5</c:v>
                </c:pt>
                <c:pt idx="66">
                  <c:v>61.3</c:v>
                </c:pt>
                <c:pt idx="67">
                  <c:v>62.4</c:v>
                </c:pt>
                <c:pt idx="68">
                  <c:v>81.400000000000006</c:v>
                </c:pt>
                <c:pt idx="69">
                  <c:v>69.099999999999994</c:v>
                </c:pt>
                <c:pt idx="70">
                  <c:v>80.7</c:v>
                </c:pt>
                <c:pt idx="71">
                  <c:v>65.5</c:v>
                </c:pt>
                <c:pt idx="72">
                  <c:v>67.599999999999994</c:v>
                </c:pt>
                <c:pt idx="73">
                  <c:v>69</c:v>
                </c:pt>
                <c:pt idx="74">
                  <c:v>54.2</c:v>
                </c:pt>
                <c:pt idx="75">
                  <c:v>65.599999999999994</c:v>
                </c:pt>
                <c:pt idx="76">
                  <c:v>77</c:v>
                </c:pt>
                <c:pt idx="77">
                  <c:v>76.2</c:v>
                </c:pt>
                <c:pt idx="78">
                  <c:v>96.7</c:v>
                </c:pt>
                <c:pt idx="79">
                  <c:v>69.3</c:v>
                </c:pt>
                <c:pt idx="80">
                  <c:v>83.8</c:v>
                </c:pt>
                <c:pt idx="81">
                  <c:v>89.4</c:v>
                </c:pt>
                <c:pt idx="82">
                  <c:v>64.900000000000006</c:v>
                </c:pt>
                <c:pt idx="83">
                  <c:v>77.400000000000006</c:v>
                </c:pt>
                <c:pt idx="84">
                  <c:v>77.2</c:v>
                </c:pt>
                <c:pt idx="85">
                  <c:v>64.400000000000006</c:v>
                </c:pt>
                <c:pt idx="86">
                  <c:v>86.3</c:v>
                </c:pt>
                <c:pt idx="87">
                  <c:v>60.2</c:v>
                </c:pt>
                <c:pt idx="88">
                  <c:v>73</c:v>
                </c:pt>
                <c:pt idx="89">
                  <c:v>63.7</c:v>
                </c:pt>
                <c:pt idx="90">
                  <c:v>92.2</c:v>
                </c:pt>
                <c:pt idx="91">
                  <c:v>91.1</c:v>
                </c:pt>
                <c:pt idx="92">
                  <c:v>59.8</c:v>
                </c:pt>
                <c:pt idx="93">
                  <c:v>73.099999999999994</c:v>
                </c:pt>
                <c:pt idx="94">
                  <c:v>58.5</c:v>
                </c:pt>
                <c:pt idx="95">
                  <c:v>69</c:v>
                </c:pt>
                <c:pt idx="96">
                  <c:v>72.5</c:v>
                </c:pt>
                <c:pt idx="97">
                  <c:v>82.4</c:v>
                </c:pt>
                <c:pt idx="98">
                  <c:v>61.3</c:v>
                </c:pt>
                <c:pt idx="99">
                  <c:v>69.8</c:v>
                </c:pt>
                <c:pt idx="100">
                  <c:v>71.900000000000006</c:v>
                </c:pt>
                <c:pt idx="101">
                  <c:v>60.4</c:v>
                </c:pt>
                <c:pt idx="102">
                  <c:v>75.400000000000006</c:v>
                </c:pt>
                <c:pt idx="103">
                  <c:v>67.5</c:v>
                </c:pt>
                <c:pt idx="104">
                  <c:v>91.3</c:v>
                </c:pt>
                <c:pt idx="105">
                  <c:v>60</c:v>
                </c:pt>
                <c:pt idx="106">
                  <c:v>55.3</c:v>
                </c:pt>
                <c:pt idx="107">
                  <c:v>65.2</c:v>
                </c:pt>
                <c:pt idx="108">
                  <c:v>44.2</c:v>
                </c:pt>
                <c:pt idx="109">
                  <c:v>64</c:v>
                </c:pt>
                <c:pt idx="110">
                  <c:v>53.6</c:v>
                </c:pt>
                <c:pt idx="111">
                  <c:v>96.9</c:v>
                </c:pt>
                <c:pt idx="112">
                  <c:v>65.400000000000006</c:v>
                </c:pt>
                <c:pt idx="113">
                  <c:v>67.3</c:v>
                </c:pt>
                <c:pt idx="114">
                  <c:v>71.599999999999994</c:v>
                </c:pt>
                <c:pt idx="115">
                  <c:v>72.7</c:v>
                </c:pt>
                <c:pt idx="116">
                  <c:v>84.2</c:v>
                </c:pt>
                <c:pt idx="117">
                  <c:v>73</c:v>
                </c:pt>
                <c:pt idx="118">
                  <c:v>56.8</c:v>
                </c:pt>
                <c:pt idx="119">
                  <c:v>62.8</c:v>
                </c:pt>
                <c:pt idx="120">
                  <c:v>76.5</c:v>
                </c:pt>
                <c:pt idx="121">
                  <c:v>0</c:v>
                </c:pt>
                <c:pt idx="122">
                  <c:v>82.9</c:v>
                </c:pt>
                <c:pt idx="123">
                  <c:v>48.5</c:v>
                </c:pt>
                <c:pt idx="124">
                  <c:v>72.5</c:v>
                </c:pt>
                <c:pt idx="125">
                  <c:v>67.099999999999994</c:v>
                </c:pt>
                <c:pt idx="126">
                  <c:v>100</c:v>
                </c:pt>
                <c:pt idx="127">
                  <c:v>73.3</c:v>
                </c:pt>
                <c:pt idx="128">
                  <c:v>74.099999999999994</c:v>
                </c:pt>
                <c:pt idx="129">
                  <c:v>84.6</c:v>
                </c:pt>
                <c:pt idx="130">
                  <c:v>58.4</c:v>
                </c:pt>
                <c:pt idx="131">
                  <c:v>88.3</c:v>
                </c:pt>
                <c:pt idx="132">
                  <c:v>82.8</c:v>
                </c:pt>
                <c:pt idx="133">
                  <c:v>76</c:v>
                </c:pt>
                <c:pt idx="134">
                  <c:v>73.099999999999994</c:v>
                </c:pt>
                <c:pt idx="135">
                  <c:v>64.8</c:v>
                </c:pt>
                <c:pt idx="136">
                  <c:v>86.1</c:v>
                </c:pt>
                <c:pt idx="137">
                  <c:v>63.2</c:v>
                </c:pt>
                <c:pt idx="138">
                  <c:v>81.3</c:v>
                </c:pt>
                <c:pt idx="139">
                  <c:v>54.9</c:v>
                </c:pt>
                <c:pt idx="140">
                  <c:v>85.4</c:v>
                </c:pt>
                <c:pt idx="141">
                  <c:v>87.6</c:v>
                </c:pt>
                <c:pt idx="142">
                  <c:v>90.5</c:v>
                </c:pt>
                <c:pt idx="143">
                  <c:v>74.099999999999994</c:v>
                </c:pt>
                <c:pt idx="144">
                  <c:v>55.2</c:v>
                </c:pt>
                <c:pt idx="145">
                  <c:v>74.7</c:v>
                </c:pt>
                <c:pt idx="146">
                  <c:v>78.8</c:v>
                </c:pt>
                <c:pt idx="147">
                  <c:v>71.099999999999994</c:v>
                </c:pt>
                <c:pt idx="148">
                  <c:v>92.6</c:v>
                </c:pt>
                <c:pt idx="149">
                  <c:v>86.4</c:v>
                </c:pt>
                <c:pt idx="150">
                  <c:v>53.1</c:v>
                </c:pt>
                <c:pt idx="151">
                  <c:v>64.599999999999994</c:v>
                </c:pt>
                <c:pt idx="152">
                  <c:v>92.6</c:v>
                </c:pt>
                <c:pt idx="153">
                  <c:v>73.099999999999994</c:v>
                </c:pt>
                <c:pt idx="154">
                  <c:v>73.900000000000006</c:v>
                </c:pt>
                <c:pt idx="155">
                  <c:v>87.6</c:v>
                </c:pt>
                <c:pt idx="156">
                  <c:v>56.8</c:v>
                </c:pt>
                <c:pt idx="157">
                  <c:v>50.7</c:v>
                </c:pt>
                <c:pt idx="158">
                  <c:v>59.8</c:v>
                </c:pt>
                <c:pt idx="159">
                  <c:v>86</c:v>
                </c:pt>
                <c:pt idx="160">
                  <c:v>66.099999999999994</c:v>
                </c:pt>
                <c:pt idx="161">
                  <c:v>63.8</c:v>
                </c:pt>
                <c:pt idx="162">
                  <c:v>66</c:v>
                </c:pt>
                <c:pt idx="163">
                  <c:v>77.599999999999994</c:v>
                </c:pt>
                <c:pt idx="164">
                  <c:v>71.099999999999994</c:v>
                </c:pt>
                <c:pt idx="165">
                  <c:v>80.599999999999994</c:v>
                </c:pt>
                <c:pt idx="166">
                  <c:v>67.400000000000006</c:v>
                </c:pt>
                <c:pt idx="167">
                  <c:v>69.099999999999994</c:v>
                </c:pt>
                <c:pt idx="168">
                  <c:v>65.599999999999994</c:v>
                </c:pt>
                <c:pt idx="169">
                  <c:v>66.5</c:v>
                </c:pt>
                <c:pt idx="170">
                  <c:v>66.5</c:v>
                </c:pt>
                <c:pt idx="171">
                  <c:v>64.7</c:v>
                </c:pt>
                <c:pt idx="172">
                  <c:v>99</c:v>
                </c:pt>
                <c:pt idx="173">
                  <c:v>100</c:v>
                </c:pt>
                <c:pt idx="174">
                  <c:v>58.2</c:v>
                </c:pt>
                <c:pt idx="175">
                  <c:v>69</c:v>
                </c:pt>
                <c:pt idx="176">
                  <c:v>72</c:v>
                </c:pt>
                <c:pt idx="177">
                  <c:v>88.2</c:v>
                </c:pt>
                <c:pt idx="178">
                  <c:v>0</c:v>
                </c:pt>
                <c:pt idx="179">
                  <c:v>83.6</c:v>
                </c:pt>
                <c:pt idx="180">
                  <c:v>73.2</c:v>
                </c:pt>
                <c:pt idx="181">
                  <c:v>80.2</c:v>
                </c:pt>
                <c:pt idx="182">
                  <c:v>75.2</c:v>
                </c:pt>
                <c:pt idx="183">
                  <c:v>82.4</c:v>
                </c:pt>
                <c:pt idx="184">
                  <c:v>83.3</c:v>
                </c:pt>
                <c:pt idx="185">
                  <c:v>78.5</c:v>
                </c:pt>
                <c:pt idx="186">
                  <c:v>75.5</c:v>
                </c:pt>
                <c:pt idx="187">
                  <c:v>68.5</c:v>
                </c:pt>
                <c:pt idx="188">
                  <c:v>49.2</c:v>
                </c:pt>
                <c:pt idx="189">
                  <c:v>68.7</c:v>
                </c:pt>
                <c:pt idx="190">
                  <c:v>84.4</c:v>
                </c:pt>
                <c:pt idx="191">
                  <c:v>79</c:v>
                </c:pt>
                <c:pt idx="192">
                  <c:v>81.099999999999994</c:v>
                </c:pt>
                <c:pt idx="193">
                  <c:v>79.3</c:v>
                </c:pt>
                <c:pt idx="194">
                  <c:v>95.3</c:v>
                </c:pt>
                <c:pt idx="195">
                  <c:v>84.5</c:v>
                </c:pt>
                <c:pt idx="196">
                  <c:v>90.1</c:v>
                </c:pt>
                <c:pt idx="197">
                  <c:v>91.2</c:v>
                </c:pt>
                <c:pt idx="198">
                  <c:v>86.5</c:v>
                </c:pt>
                <c:pt idx="199">
                  <c:v>87.6</c:v>
                </c:pt>
                <c:pt idx="200">
                  <c:v>77.5</c:v>
                </c:pt>
                <c:pt idx="201">
                  <c:v>57</c:v>
                </c:pt>
                <c:pt idx="202">
                  <c:v>50.5</c:v>
                </c:pt>
                <c:pt idx="203">
                  <c:v>63.6</c:v>
                </c:pt>
                <c:pt idx="204">
                  <c:v>60.6</c:v>
                </c:pt>
                <c:pt idx="205">
                  <c:v>84.5</c:v>
                </c:pt>
                <c:pt idx="206">
                  <c:v>74.099999999999994</c:v>
                </c:pt>
                <c:pt idx="207">
                  <c:v>75.599999999999994</c:v>
                </c:pt>
                <c:pt idx="208">
                  <c:v>55.9</c:v>
                </c:pt>
                <c:pt idx="209">
                  <c:v>74.099999999999994</c:v>
                </c:pt>
                <c:pt idx="210">
                  <c:v>75.599999999999994</c:v>
                </c:pt>
                <c:pt idx="211">
                  <c:v>73</c:v>
                </c:pt>
                <c:pt idx="212">
                  <c:v>77.5</c:v>
                </c:pt>
                <c:pt idx="213">
                  <c:v>61.9</c:v>
                </c:pt>
                <c:pt idx="214">
                  <c:v>57</c:v>
                </c:pt>
                <c:pt idx="215">
                  <c:v>70</c:v>
                </c:pt>
                <c:pt idx="216">
                  <c:v>80.900000000000006</c:v>
                </c:pt>
                <c:pt idx="217">
                  <c:v>51.4</c:v>
                </c:pt>
                <c:pt idx="218">
                  <c:v>64.5</c:v>
                </c:pt>
                <c:pt idx="219">
                  <c:v>89.3</c:v>
                </c:pt>
                <c:pt idx="220">
                  <c:v>77</c:v>
                </c:pt>
                <c:pt idx="221">
                  <c:v>91.1</c:v>
                </c:pt>
                <c:pt idx="222">
                  <c:v>48.6</c:v>
                </c:pt>
                <c:pt idx="223">
                  <c:v>61.2</c:v>
                </c:pt>
                <c:pt idx="224">
                  <c:v>73</c:v>
                </c:pt>
                <c:pt idx="225">
                  <c:v>73.900000000000006</c:v>
                </c:pt>
                <c:pt idx="226">
                  <c:v>55.9</c:v>
                </c:pt>
                <c:pt idx="227">
                  <c:v>90.4</c:v>
                </c:pt>
                <c:pt idx="228">
                  <c:v>82.2</c:v>
                </c:pt>
                <c:pt idx="229">
                  <c:v>65.900000000000006</c:v>
                </c:pt>
                <c:pt idx="230">
                  <c:v>76.099999999999994</c:v>
                </c:pt>
                <c:pt idx="231">
                  <c:v>61.2</c:v>
                </c:pt>
                <c:pt idx="232">
                  <c:v>91.7</c:v>
                </c:pt>
                <c:pt idx="233">
                  <c:v>55.4</c:v>
                </c:pt>
                <c:pt idx="234">
                  <c:v>75.5</c:v>
                </c:pt>
                <c:pt idx="235">
                  <c:v>67.7</c:v>
                </c:pt>
                <c:pt idx="236">
                  <c:v>78.900000000000006</c:v>
                </c:pt>
                <c:pt idx="237">
                  <c:v>88.3</c:v>
                </c:pt>
                <c:pt idx="238">
                  <c:v>0</c:v>
                </c:pt>
                <c:pt idx="239">
                  <c:v>96.3</c:v>
                </c:pt>
                <c:pt idx="240">
                  <c:v>78.7</c:v>
                </c:pt>
                <c:pt idx="241">
                  <c:v>81.099999999999994</c:v>
                </c:pt>
                <c:pt idx="242">
                  <c:v>61.8</c:v>
                </c:pt>
                <c:pt idx="243">
                  <c:v>70.7</c:v>
                </c:pt>
                <c:pt idx="244">
                  <c:v>49.4</c:v>
                </c:pt>
                <c:pt idx="245">
                  <c:v>63.5</c:v>
                </c:pt>
                <c:pt idx="246">
                  <c:v>74.099999999999994</c:v>
                </c:pt>
                <c:pt idx="247">
                  <c:v>51.3</c:v>
                </c:pt>
                <c:pt idx="248">
                  <c:v>89.5</c:v>
                </c:pt>
                <c:pt idx="249">
                  <c:v>88.9</c:v>
                </c:pt>
                <c:pt idx="250">
                  <c:v>52.3</c:v>
                </c:pt>
                <c:pt idx="251">
                  <c:v>100</c:v>
                </c:pt>
                <c:pt idx="252">
                  <c:v>55.8</c:v>
                </c:pt>
                <c:pt idx="253">
                  <c:v>79</c:v>
                </c:pt>
                <c:pt idx="254">
                  <c:v>69</c:v>
                </c:pt>
                <c:pt idx="255">
                  <c:v>93.2</c:v>
                </c:pt>
                <c:pt idx="256">
                  <c:v>67.5</c:v>
                </c:pt>
                <c:pt idx="257">
                  <c:v>80.7</c:v>
                </c:pt>
                <c:pt idx="258">
                  <c:v>76.099999999999994</c:v>
                </c:pt>
                <c:pt idx="259">
                  <c:v>65.099999999999994</c:v>
                </c:pt>
                <c:pt idx="260">
                  <c:v>87.2</c:v>
                </c:pt>
                <c:pt idx="261">
                  <c:v>54.9</c:v>
                </c:pt>
                <c:pt idx="262">
                  <c:v>81.2</c:v>
                </c:pt>
                <c:pt idx="263">
                  <c:v>81.7</c:v>
                </c:pt>
                <c:pt idx="264">
                  <c:v>57.6</c:v>
                </c:pt>
                <c:pt idx="265">
                  <c:v>71.8</c:v>
                </c:pt>
                <c:pt idx="266">
                  <c:v>52.5</c:v>
                </c:pt>
                <c:pt idx="267">
                  <c:v>62.8</c:v>
                </c:pt>
                <c:pt idx="268">
                  <c:v>72</c:v>
                </c:pt>
                <c:pt idx="269">
                  <c:v>70</c:v>
                </c:pt>
                <c:pt idx="270">
                  <c:v>77.400000000000006</c:v>
                </c:pt>
                <c:pt idx="271">
                  <c:v>70.2</c:v>
                </c:pt>
                <c:pt idx="272">
                  <c:v>73</c:v>
                </c:pt>
                <c:pt idx="273">
                  <c:v>81.099999999999994</c:v>
                </c:pt>
                <c:pt idx="274">
                  <c:v>88.1</c:v>
                </c:pt>
                <c:pt idx="275">
                  <c:v>98.9</c:v>
                </c:pt>
                <c:pt idx="276">
                  <c:v>88.1</c:v>
                </c:pt>
                <c:pt idx="277">
                  <c:v>79.7</c:v>
                </c:pt>
                <c:pt idx="278">
                  <c:v>88.6</c:v>
                </c:pt>
                <c:pt idx="279">
                  <c:v>81.900000000000006</c:v>
                </c:pt>
                <c:pt idx="280">
                  <c:v>72.3</c:v>
                </c:pt>
                <c:pt idx="281">
                  <c:v>82.2</c:v>
                </c:pt>
                <c:pt idx="282">
                  <c:v>79.900000000000006</c:v>
                </c:pt>
                <c:pt idx="283">
                  <c:v>76</c:v>
                </c:pt>
                <c:pt idx="284">
                  <c:v>78.7</c:v>
                </c:pt>
                <c:pt idx="285">
                  <c:v>79.3</c:v>
                </c:pt>
                <c:pt idx="286">
                  <c:v>55.1</c:v>
                </c:pt>
                <c:pt idx="287">
                  <c:v>63.2</c:v>
                </c:pt>
                <c:pt idx="288">
                  <c:v>63.2</c:v>
                </c:pt>
                <c:pt idx="289">
                  <c:v>75.3</c:v>
                </c:pt>
                <c:pt idx="290">
                  <c:v>100</c:v>
                </c:pt>
                <c:pt idx="291">
                  <c:v>69.2</c:v>
                </c:pt>
                <c:pt idx="292">
                  <c:v>80.7</c:v>
                </c:pt>
                <c:pt idx="293">
                  <c:v>71.400000000000006</c:v>
                </c:pt>
                <c:pt idx="294">
                  <c:v>87.9</c:v>
                </c:pt>
                <c:pt idx="295">
                  <c:v>78.3</c:v>
                </c:pt>
                <c:pt idx="296">
                  <c:v>63.1</c:v>
                </c:pt>
                <c:pt idx="297">
                  <c:v>73.5</c:v>
                </c:pt>
                <c:pt idx="298">
                  <c:v>81.099999999999994</c:v>
                </c:pt>
                <c:pt idx="299">
                  <c:v>76.8</c:v>
                </c:pt>
                <c:pt idx="300">
                  <c:v>68.7</c:v>
                </c:pt>
                <c:pt idx="301">
                  <c:v>45.1</c:v>
                </c:pt>
                <c:pt idx="302">
                  <c:v>79.900000000000006</c:v>
                </c:pt>
                <c:pt idx="303">
                  <c:v>70.8</c:v>
                </c:pt>
                <c:pt idx="304">
                  <c:v>56</c:v>
                </c:pt>
                <c:pt idx="305">
                  <c:v>78.2</c:v>
                </c:pt>
                <c:pt idx="306">
                  <c:v>74.099999999999994</c:v>
                </c:pt>
                <c:pt idx="307">
                  <c:v>78.3</c:v>
                </c:pt>
                <c:pt idx="308">
                  <c:v>59.1</c:v>
                </c:pt>
                <c:pt idx="309">
                  <c:v>79.3</c:v>
                </c:pt>
                <c:pt idx="310">
                  <c:v>54.8</c:v>
                </c:pt>
                <c:pt idx="311">
                  <c:v>79.7</c:v>
                </c:pt>
                <c:pt idx="312">
                  <c:v>82.9</c:v>
                </c:pt>
                <c:pt idx="313">
                  <c:v>89</c:v>
                </c:pt>
                <c:pt idx="314">
                  <c:v>65.5</c:v>
                </c:pt>
                <c:pt idx="315">
                  <c:v>75.599999999999994</c:v>
                </c:pt>
                <c:pt idx="316">
                  <c:v>85</c:v>
                </c:pt>
                <c:pt idx="317">
                  <c:v>83.4</c:v>
                </c:pt>
                <c:pt idx="318">
                  <c:v>63.6</c:v>
                </c:pt>
                <c:pt idx="319">
                  <c:v>67.099999999999994</c:v>
                </c:pt>
                <c:pt idx="320">
                  <c:v>73</c:v>
                </c:pt>
                <c:pt idx="321">
                  <c:v>92</c:v>
                </c:pt>
                <c:pt idx="322">
                  <c:v>81.599999999999994</c:v>
                </c:pt>
                <c:pt idx="323">
                  <c:v>81.900000000000006</c:v>
                </c:pt>
                <c:pt idx="324">
                  <c:v>74.400000000000006</c:v>
                </c:pt>
                <c:pt idx="325">
                  <c:v>54.8</c:v>
                </c:pt>
                <c:pt idx="326">
                  <c:v>90.5</c:v>
                </c:pt>
                <c:pt idx="327">
                  <c:v>79.599999999999994</c:v>
                </c:pt>
                <c:pt idx="328">
                  <c:v>94.8</c:v>
                </c:pt>
                <c:pt idx="329">
                  <c:v>70.2</c:v>
                </c:pt>
                <c:pt idx="330">
                  <c:v>69.8</c:v>
                </c:pt>
                <c:pt idx="331">
                  <c:v>70.2</c:v>
                </c:pt>
                <c:pt idx="332">
                  <c:v>75</c:v>
                </c:pt>
                <c:pt idx="333">
                  <c:v>100</c:v>
                </c:pt>
                <c:pt idx="334">
                  <c:v>64.900000000000006</c:v>
                </c:pt>
                <c:pt idx="335">
                  <c:v>71.099999999999994</c:v>
                </c:pt>
                <c:pt idx="336">
                  <c:v>78.599999999999994</c:v>
                </c:pt>
                <c:pt idx="337">
                  <c:v>96.1</c:v>
                </c:pt>
                <c:pt idx="338">
                  <c:v>83.6</c:v>
                </c:pt>
                <c:pt idx="339">
                  <c:v>94.9</c:v>
                </c:pt>
                <c:pt idx="340">
                  <c:v>95</c:v>
                </c:pt>
                <c:pt idx="341">
                  <c:v>72.599999999999994</c:v>
                </c:pt>
                <c:pt idx="342">
                  <c:v>61.3</c:v>
                </c:pt>
                <c:pt idx="343">
                  <c:v>83.7</c:v>
                </c:pt>
                <c:pt idx="344">
                  <c:v>79.599999999999994</c:v>
                </c:pt>
                <c:pt idx="345">
                  <c:v>87.5</c:v>
                </c:pt>
                <c:pt idx="346">
                  <c:v>44.2</c:v>
                </c:pt>
                <c:pt idx="347">
                  <c:v>64.5</c:v>
                </c:pt>
                <c:pt idx="348">
                  <c:v>49.6</c:v>
                </c:pt>
                <c:pt idx="349">
                  <c:v>71.599999999999994</c:v>
                </c:pt>
                <c:pt idx="350">
                  <c:v>73</c:v>
                </c:pt>
                <c:pt idx="351">
                  <c:v>71.3</c:v>
                </c:pt>
                <c:pt idx="352">
                  <c:v>67.599999999999994</c:v>
                </c:pt>
                <c:pt idx="353">
                  <c:v>76</c:v>
                </c:pt>
                <c:pt idx="354">
                  <c:v>53.2</c:v>
                </c:pt>
                <c:pt idx="355">
                  <c:v>74.400000000000006</c:v>
                </c:pt>
                <c:pt idx="356">
                  <c:v>66</c:v>
                </c:pt>
                <c:pt idx="357">
                  <c:v>43.1</c:v>
                </c:pt>
                <c:pt idx="358">
                  <c:v>80</c:v>
                </c:pt>
                <c:pt idx="359">
                  <c:v>84.6</c:v>
                </c:pt>
                <c:pt idx="360">
                  <c:v>77.5</c:v>
                </c:pt>
                <c:pt idx="361">
                  <c:v>53</c:v>
                </c:pt>
                <c:pt idx="362">
                  <c:v>77.099999999999994</c:v>
                </c:pt>
                <c:pt idx="363">
                  <c:v>76.599999999999994</c:v>
                </c:pt>
                <c:pt idx="364">
                  <c:v>46.5</c:v>
                </c:pt>
                <c:pt idx="365">
                  <c:v>65</c:v>
                </c:pt>
                <c:pt idx="366">
                  <c:v>76.400000000000006</c:v>
                </c:pt>
                <c:pt idx="367">
                  <c:v>90.4</c:v>
                </c:pt>
                <c:pt idx="368">
                  <c:v>63.4</c:v>
                </c:pt>
                <c:pt idx="369">
                  <c:v>50.4</c:v>
                </c:pt>
                <c:pt idx="370">
                  <c:v>54.6</c:v>
                </c:pt>
                <c:pt idx="371">
                  <c:v>72.599999999999994</c:v>
                </c:pt>
                <c:pt idx="372">
                  <c:v>82.4</c:v>
                </c:pt>
                <c:pt idx="373">
                  <c:v>70.7</c:v>
                </c:pt>
                <c:pt idx="374">
                  <c:v>85.5</c:v>
                </c:pt>
                <c:pt idx="375">
                  <c:v>63.4</c:v>
                </c:pt>
                <c:pt idx="376">
                  <c:v>64.900000000000006</c:v>
                </c:pt>
                <c:pt idx="377">
                  <c:v>76.7</c:v>
                </c:pt>
                <c:pt idx="378">
                  <c:v>75.7</c:v>
                </c:pt>
                <c:pt idx="379">
                  <c:v>61.2</c:v>
                </c:pt>
                <c:pt idx="380">
                  <c:v>73.7</c:v>
                </c:pt>
                <c:pt idx="381">
                  <c:v>63.8</c:v>
                </c:pt>
                <c:pt idx="382">
                  <c:v>81.599999999999994</c:v>
                </c:pt>
                <c:pt idx="383">
                  <c:v>53.9</c:v>
                </c:pt>
                <c:pt idx="384">
                  <c:v>73</c:v>
                </c:pt>
                <c:pt idx="385">
                  <c:v>46.9</c:v>
                </c:pt>
                <c:pt idx="386">
                  <c:v>59.4</c:v>
                </c:pt>
                <c:pt idx="387">
                  <c:v>63.4</c:v>
                </c:pt>
                <c:pt idx="388">
                  <c:v>68.900000000000006</c:v>
                </c:pt>
                <c:pt idx="389">
                  <c:v>63.1</c:v>
                </c:pt>
                <c:pt idx="390">
                  <c:v>72.099999999999994</c:v>
                </c:pt>
                <c:pt idx="391">
                  <c:v>70.8</c:v>
                </c:pt>
                <c:pt idx="392">
                  <c:v>92.2</c:v>
                </c:pt>
                <c:pt idx="393">
                  <c:v>71.5</c:v>
                </c:pt>
                <c:pt idx="394">
                  <c:v>72.3</c:v>
                </c:pt>
                <c:pt idx="395">
                  <c:v>75.099999999999994</c:v>
                </c:pt>
                <c:pt idx="396">
                  <c:v>76.7</c:v>
                </c:pt>
                <c:pt idx="397">
                  <c:v>90.3</c:v>
                </c:pt>
                <c:pt idx="398">
                  <c:v>73.5</c:v>
                </c:pt>
                <c:pt idx="399">
                  <c:v>70.599999999999994</c:v>
                </c:pt>
                <c:pt idx="400">
                  <c:v>92.8</c:v>
                </c:pt>
                <c:pt idx="401">
                  <c:v>55.3</c:v>
                </c:pt>
                <c:pt idx="402">
                  <c:v>48.6</c:v>
                </c:pt>
                <c:pt idx="403">
                  <c:v>95.9</c:v>
                </c:pt>
                <c:pt idx="404">
                  <c:v>71.2</c:v>
                </c:pt>
                <c:pt idx="405">
                  <c:v>64</c:v>
                </c:pt>
                <c:pt idx="406">
                  <c:v>84.5</c:v>
                </c:pt>
                <c:pt idx="407">
                  <c:v>74</c:v>
                </c:pt>
                <c:pt idx="408">
                  <c:v>65.099999999999994</c:v>
                </c:pt>
                <c:pt idx="409">
                  <c:v>82.3</c:v>
                </c:pt>
                <c:pt idx="410">
                  <c:v>73</c:v>
                </c:pt>
                <c:pt idx="411">
                  <c:v>54.9</c:v>
                </c:pt>
                <c:pt idx="412">
                  <c:v>74.2</c:v>
                </c:pt>
                <c:pt idx="413">
                  <c:v>65.099999999999994</c:v>
                </c:pt>
                <c:pt idx="414">
                  <c:v>72.8</c:v>
                </c:pt>
                <c:pt idx="415">
                  <c:v>54.7</c:v>
                </c:pt>
                <c:pt idx="416">
                  <c:v>78.900000000000006</c:v>
                </c:pt>
                <c:pt idx="417">
                  <c:v>78</c:v>
                </c:pt>
                <c:pt idx="418">
                  <c:v>77.099999999999994</c:v>
                </c:pt>
                <c:pt idx="419">
                  <c:v>63.2</c:v>
                </c:pt>
                <c:pt idx="420">
                  <c:v>82.7</c:v>
                </c:pt>
                <c:pt idx="421">
                  <c:v>73</c:v>
                </c:pt>
                <c:pt idx="422">
                  <c:v>68.900000000000006</c:v>
                </c:pt>
                <c:pt idx="423">
                  <c:v>68.599999999999994</c:v>
                </c:pt>
                <c:pt idx="424">
                  <c:v>71.3</c:v>
                </c:pt>
                <c:pt idx="425">
                  <c:v>81</c:v>
                </c:pt>
                <c:pt idx="426">
                  <c:v>82.8</c:v>
                </c:pt>
                <c:pt idx="427">
                  <c:v>99.1</c:v>
                </c:pt>
                <c:pt idx="428">
                  <c:v>85.7</c:v>
                </c:pt>
                <c:pt idx="429">
                  <c:v>80.7</c:v>
                </c:pt>
                <c:pt idx="430">
                  <c:v>84.7</c:v>
                </c:pt>
                <c:pt idx="431">
                  <c:v>92.1</c:v>
                </c:pt>
                <c:pt idx="432">
                  <c:v>81.7</c:v>
                </c:pt>
                <c:pt idx="433">
                  <c:v>59.4</c:v>
                </c:pt>
                <c:pt idx="434">
                  <c:v>80.400000000000006</c:v>
                </c:pt>
                <c:pt idx="435">
                  <c:v>73.3</c:v>
                </c:pt>
                <c:pt idx="436">
                  <c:v>77.3</c:v>
                </c:pt>
                <c:pt idx="437">
                  <c:v>82.2</c:v>
                </c:pt>
                <c:pt idx="438">
                  <c:v>71.7</c:v>
                </c:pt>
                <c:pt idx="439">
                  <c:v>65.7</c:v>
                </c:pt>
                <c:pt idx="440">
                  <c:v>60.6</c:v>
                </c:pt>
                <c:pt idx="441">
                  <c:v>69.400000000000006</c:v>
                </c:pt>
                <c:pt idx="442">
                  <c:v>71.5</c:v>
                </c:pt>
                <c:pt idx="443">
                  <c:v>69.2</c:v>
                </c:pt>
                <c:pt idx="444">
                  <c:v>60</c:v>
                </c:pt>
                <c:pt idx="445">
                  <c:v>71</c:v>
                </c:pt>
                <c:pt idx="446">
                  <c:v>56.3</c:v>
                </c:pt>
                <c:pt idx="447">
                  <c:v>81.8</c:v>
                </c:pt>
                <c:pt idx="448">
                  <c:v>51.6</c:v>
                </c:pt>
                <c:pt idx="449">
                  <c:v>69.7</c:v>
                </c:pt>
                <c:pt idx="450">
                  <c:v>73.3</c:v>
                </c:pt>
                <c:pt idx="451">
                  <c:v>79.900000000000006</c:v>
                </c:pt>
                <c:pt idx="452">
                  <c:v>81.2</c:v>
                </c:pt>
                <c:pt idx="453">
                  <c:v>65.900000000000006</c:v>
                </c:pt>
                <c:pt idx="454">
                  <c:v>80.2</c:v>
                </c:pt>
                <c:pt idx="455">
                  <c:v>49</c:v>
                </c:pt>
                <c:pt idx="456">
                  <c:v>59.1</c:v>
                </c:pt>
                <c:pt idx="457">
                  <c:v>98.6</c:v>
                </c:pt>
                <c:pt idx="458">
                  <c:v>53.4</c:v>
                </c:pt>
                <c:pt idx="459">
                  <c:v>69.7</c:v>
                </c:pt>
                <c:pt idx="460">
                  <c:v>63.9</c:v>
                </c:pt>
                <c:pt idx="461">
                  <c:v>78.400000000000006</c:v>
                </c:pt>
                <c:pt idx="462">
                  <c:v>76.599999999999994</c:v>
                </c:pt>
                <c:pt idx="463">
                  <c:v>81.599999999999994</c:v>
                </c:pt>
                <c:pt idx="464">
                  <c:v>93.7</c:v>
                </c:pt>
                <c:pt idx="465">
                  <c:v>67.5</c:v>
                </c:pt>
                <c:pt idx="466">
                  <c:v>73</c:v>
                </c:pt>
                <c:pt idx="467">
                  <c:v>79.2</c:v>
                </c:pt>
                <c:pt idx="468">
                  <c:v>70</c:v>
                </c:pt>
                <c:pt idx="469">
                  <c:v>64</c:v>
                </c:pt>
                <c:pt idx="470">
                  <c:v>83.7</c:v>
                </c:pt>
                <c:pt idx="471">
                  <c:v>80</c:v>
                </c:pt>
                <c:pt idx="472">
                  <c:v>85.7</c:v>
                </c:pt>
                <c:pt idx="473">
                  <c:v>76</c:v>
                </c:pt>
                <c:pt idx="474">
                  <c:v>83.8</c:v>
                </c:pt>
                <c:pt idx="475">
                  <c:v>65.400000000000006</c:v>
                </c:pt>
                <c:pt idx="476">
                  <c:v>67.7</c:v>
                </c:pt>
                <c:pt idx="477">
                  <c:v>61.6</c:v>
                </c:pt>
                <c:pt idx="478">
                  <c:v>81.2</c:v>
                </c:pt>
                <c:pt idx="479">
                  <c:v>64.2</c:v>
                </c:pt>
                <c:pt idx="480">
                  <c:v>62.7</c:v>
                </c:pt>
                <c:pt idx="481">
                  <c:v>64.8</c:v>
                </c:pt>
                <c:pt idx="482">
                  <c:v>65</c:v>
                </c:pt>
                <c:pt idx="483">
                  <c:v>78</c:v>
                </c:pt>
                <c:pt idx="484">
                  <c:v>58</c:v>
                </c:pt>
                <c:pt idx="485">
                  <c:v>73.2</c:v>
                </c:pt>
                <c:pt idx="486">
                  <c:v>79.8</c:v>
                </c:pt>
                <c:pt idx="487">
                  <c:v>85.4</c:v>
                </c:pt>
                <c:pt idx="488">
                  <c:v>63.8</c:v>
                </c:pt>
                <c:pt idx="489">
                  <c:v>63.1</c:v>
                </c:pt>
                <c:pt idx="490">
                  <c:v>48.3</c:v>
                </c:pt>
                <c:pt idx="491">
                  <c:v>72.5</c:v>
                </c:pt>
                <c:pt idx="492">
                  <c:v>85.9</c:v>
                </c:pt>
                <c:pt idx="493">
                  <c:v>66.400000000000006</c:v>
                </c:pt>
                <c:pt idx="494">
                  <c:v>100</c:v>
                </c:pt>
                <c:pt idx="495">
                  <c:v>56.1</c:v>
                </c:pt>
                <c:pt idx="496">
                  <c:v>57.3</c:v>
                </c:pt>
                <c:pt idx="497">
                  <c:v>70.599999999999994</c:v>
                </c:pt>
                <c:pt idx="498">
                  <c:v>92.7</c:v>
                </c:pt>
                <c:pt idx="499">
                  <c:v>55.9</c:v>
                </c:pt>
                <c:pt idx="500">
                  <c:v>72.400000000000006</c:v>
                </c:pt>
                <c:pt idx="501">
                  <c:v>60.1</c:v>
                </c:pt>
                <c:pt idx="502">
                  <c:v>74.099999999999994</c:v>
                </c:pt>
                <c:pt idx="503">
                  <c:v>60.1</c:v>
                </c:pt>
                <c:pt idx="504">
                  <c:v>65.099999999999994</c:v>
                </c:pt>
                <c:pt idx="505">
                  <c:v>86.8</c:v>
                </c:pt>
                <c:pt idx="506">
                  <c:v>86</c:v>
                </c:pt>
                <c:pt idx="507">
                  <c:v>72.5</c:v>
                </c:pt>
                <c:pt idx="508">
                  <c:v>66.400000000000006</c:v>
                </c:pt>
                <c:pt idx="509">
                  <c:v>78.8</c:v>
                </c:pt>
                <c:pt idx="510">
                  <c:v>89.5</c:v>
                </c:pt>
                <c:pt idx="511">
                  <c:v>90.5</c:v>
                </c:pt>
                <c:pt idx="512">
                  <c:v>70.5</c:v>
                </c:pt>
                <c:pt idx="513">
                  <c:v>56.7</c:v>
                </c:pt>
                <c:pt idx="514">
                  <c:v>85.2</c:v>
                </c:pt>
                <c:pt idx="515">
                  <c:v>82.6</c:v>
                </c:pt>
                <c:pt idx="516">
                  <c:v>79.599999999999994</c:v>
                </c:pt>
                <c:pt idx="517">
                  <c:v>73</c:v>
                </c:pt>
                <c:pt idx="518">
                  <c:v>81.8</c:v>
                </c:pt>
                <c:pt idx="519">
                  <c:v>86.4</c:v>
                </c:pt>
                <c:pt idx="520">
                  <c:v>49.4</c:v>
                </c:pt>
                <c:pt idx="521">
                  <c:v>87.9</c:v>
                </c:pt>
                <c:pt idx="522">
                  <c:v>66.099999999999994</c:v>
                </c:pt>
                <c:pt idx="523">
                  <c:v>78.5</c:v>
                </c:pt>
                <c:pt idx="524">
                  <c:v>71.7</c:v>
                </c:pt>
                <c:pt idx="525">
                  <c:v>94.1</c:v>
                </c:pt>
                <c:pt idx="526">
                  <c:v>75.099999999999994</c:v>
                </c:pt>
                <c:pt idx="527">
                  <c:v>75.8</c:v>
                </c:pt>
                <c:pt idx="528">
                  <c:v>60.4</c:v>
                </c:pt>
                <c:pt idx="529">
                  <c:v>94</c:v>
                </c:pt>
                <c:pt idx="530">
                  <c:v>63.2</c:v>
                </c:pt>
                <c:pt idx="531">
                  <c:v>70.900000000000006</c:v>
                </c:pt>
                <c:pt idx="532">
                  <c:v>60.2</c:v>
                </c:pt>
                <c:pt idx="533">
                  <c:v>74.900000000000006</c:v>
                </c:pt>
                <c:pt idx="534">
                  <c:v>86.2</c:v>
                </c:pt>
                <c:pt idx="535">
                  <c:v>82.7</c:v>
                </c:pt>
                <c:pt idx="536">
                  <c:v>58.6</c:v>
                </c:pt>
                <c:pt idx="537">
                  <c:v>82</c:v>
                </c:pt>
                <c:pt idx="538">
                  <c:v>74</c:v>
                </c:pt>
                <c:pt idx="539">
                  <c:v>84.7</c:v>
                </c:pt>
                <c:pt idx="540">
                  <c:v>76.099999999999994</c:v>
                </c:pt>
                <c:pt idx="541">
                  <c:v>67</c:v>
                </c:pt>
                <c:pt idx="542">
                  <c:v>75.599999999999994</c:v>
                </c:pt>
                <c:pt idx="543">
                  <c:v>78</c:v>
                </c:pt>
                <c:pt idx="544">
                  <c:v>68.099999999999994</c:v>
                </c:pt>
                <c:pt idx="545">
                  <c:v>78.900000000000006</c:v>
                </c:pt>
                <c:pt idx="546">
                  <c:v>66.8</c:v>
                </c:pt>
                <c:pt idx="547">
                  <c:v>59.4</c:v>
                </c:pt>
                <c:pt idx="548">
                  <c:v>73.2</c:v>
                </c:pt>
                <c:pt idx="549">
                  <c:v>74.099999999999994</c:v>
                </c:pt>
                <c:pt idx="550">
                  <c:v>81.900000000000006</c:v>
                </c:pt>
                <c:pt idx="551">
                  <c:v>64.2</c:v>
                </c:pt>
                <c:pt idx="552">
                  <c:v>84.3</c:v>
                </c:pt>
                <c:pt idx="553">
                  <c:v>68.599999999999994</c:v>
                </c:pt>
                <c:pt idx="554">
                  <c:v>97.3</c:v>
                </c:pt>
                <c:pt idx="555">
                  <c:v>60.2</c:v>
                </c:pt>
                <c:pt idx="556">
                  <c:v>70.3</c:v>
                </c:pt>
                <c:pt idx="557">
                  <c:v>60.1</c:v>
                </c:pt>
                <c:pt idx="558">
                  <c:v>87.2</c:v>
                </c:pt>
                <c:pt idx="559">
                  <c:v>70.900000000000006</c:v>
                </c:pt>
                <c:pt idx="560">
                  <c:v>61.9</c:v>
                </c:pt>
                <c:pt idx="561">
                  <c:v>72</c:v>
                </c:pt>
                <c:pt idx="562">
                  <c:v>65.8</c:v>
                </c:pt>
                <c:pt idx="563">
                  <c:v>83.7</c:v>
                </c:pt>
                <c:pt idx="564">
                  <c:v>74.099999999999994</c:v>
                </c:pt>
                <c:pt idx="565">
                  <c:v>67.900000000000006</c:v>
                </c:pt>
                <c:pt idx="566">
                  <c:v>75.7</c:v>
                </c:pt>
                <c:pt idx="567">
                  <c:v>64.2</c:v>
                </c:pt>
                <c:pt idx="568">
                  <c:v>58.5</c:v>
                </c:pt>
                <c:pt idx="569">
                  <c:v>48.9</c:v>
                </c:pt>
                <c:pt idx="570">
                  <c:v>65</c:v>
                </c:pt>
                <c:pt idx="571">
                  <c:v>76.400000000000006</c:v>
                </c:pt>
                <c:pt idx="572">
                  <c:v>74.099999999999994</c:v>
                </c:pt>
                <c:pt idx="573">
                  <c:v>83.8</c:v>
                </c:pt>
                <c:pt idx="574">
                  <c:v>80.8</c:v>
                </c:pt>
                <c:pt idx="575">
                  <c:v>76.599999999999994</c:v>
                </c:pt>
                <c:pt idx="576">
                  <c:v>91.9</c:v>
                </c:pt>
                <c:pt idx="577">
                  <c:v>67.599999999999994</c:v>
                </c:pt>
                <c:pt idx="578">
                  <c:v>74.099999999999994</c:v>
                </c:pt>
                <c:pt idx="579">
                  <c:v>69.599999999999994</c:v>
                </c:pt>
                <c:pt idx="580">
                  <c:v>59.8</c:v>
                </c:pt>
                <c:pt idx="581">
                  <c:v>74.5</c:v>
                </c:pt>
                <c:pt idx="582">
                  <c:v>70.5</c:v>
                </c:pt>
                <c:pt idx="583">
                  <c:v>80.2</c:v>
                </c:pt>
                <c:pt idx="584">
                  <c:v>78.400000000000006</c:v>
                </c:pt>
                <c:pt idx="585">
                  <c:v>73.400000000000006</c:v>
                </c:pt>
                <c:pt idx="586">
                  <c:v>69</c:v>
                </c:pt>
                <c:pt idx="587">
                  <c:v>97.8</c:v>
                </c:pt>
                <c:pt idx="588">
                  <c:v>66.8</c:v>
                </c:pt>
                <c:pt idx="589">
                  <c:v>74.099999999999994</c:v>
                </c:pt>
                <c:pt idx="590">
                  <c:v>78.7</c:v>
                </c:pt>
                <c:pt idx="591">
                  <c:v>72.400000000000006</c:v>
                </c:pt>
                <c:pt idx="592">
                  <c:v>76.599999999999994</c:v>
                </c:pt>
                <c:pt idx="593">
                  <c:v>63.5</c:v>
                </c:pt>
                <c:pt idx="594">
                  <c:v>62.8</c:v>
                </c:pt>
                <c:pt idx="595">
                  <c:v>69.8</c:v>
                </c:pt>
                <c:pt idx="596">
                  <c:v>80.8</c:v>
                </c:pt>
                <c:pt idx="597">
                  <c:v>94.6</c:v>
                </c:pt>
                <c:pt idx="598">
                  <c:v>42.8</c:v>
                </c:pt>
                <c:pt idx="599">
                  <c:v>67.5</c:v>
                </c:pt>
                <c:pt idx="600">
                  <c:v>55.3</c:v>
                </c:pt>
                <c:pt idx="601">
                  <c:v>92.7</c:v>
                </c:pt>
                <c:pt idx="602">
                  <c:v>55.7</c:v>
                </c:pt>
                <c:pt idx="603">
                  <c:v>92.4</c:v>
                </c:pt>
                <c:pt idx="604">
                  <c:v>53.6</c:v>
                </c:pt>
                <c:pt idx="605">
                  <c:v>57.3</c:v>
                </c:pt>
                <c:pt idx="606">
                  <c:v>77.5</c:v>
                </c:pt>
                <c:pt idx="607">
                  <c:v>70.2</c:v>
                </c:pt>
                <c:pt idx="608">
                  <c:v>85.4</c:v>
                </c:pt>
                <c:pt idx="609">
                  <c:v>84.7</c:v>
                </c:pt>
                <c:pt idx="610">
                  <c:v>80.5</c:v>
                </c:pt>
                <c:pt idx="611">
                  <c:v>75.900000000000006</c:v>
                </c:pt>
                <c:pt idx="612">
                  <c:v>65.099999999999994</c:v>
                </c:pt>
                <c:pt idx="613">
                  <c:v>67.8</c:v>
                </c:pt>
                <c:pt idx="614">
                  <c:v>89.5</c:v>
                </c:pt>
                <c:pt idx="615">
                  <c:v>79.3</c:v>
                </c:pt>
                <c:pt idx="616">
                  <c:v>53.1</c:v>
                </c:pt>
                <c:pt idx="617">
                  <c:v>52.5</c:v>
                </c:pt>
                <c:pt idx="618">
                  <c:v>70.8</c:v>
                </c:pt>
                <c:pt idx="619">
                  <c:v>79.900000000000006</c:v>
                </c:pt>
                <c:pt idx="620">
                  <c:v>67.7</c:v>
                </c:pt>
                <c:pt idx="621">
                  <c:v>89.7</c:v>
                </c:pt>
                <c:pt idx="622">
                  <c:v>84.2</c:v>
                </c:pt>
                <c:pt idx="623">
                  <c:v>69.3</c:v>
                </c:pt>
                <c:pt idx="624">
                  <c:v>85.8</c:v>
                </c:pt>
                <c:pt idx="625">
                  <c:v>92.6</c:v>
                </c:pt>
                <c:pt idx="626">
                  <c:v>69.2</c:v>
                </c:pt>
                <c:pt idx="627">
                  <c:v>74.099999999999994</c:v>
                </c:pt>
                <c:pt idx="628">
                  <c:v>51.1</c:v>
                </c:pt>
                <c:pt idx="629">
                  <c:v>58.7</c:v>
                </c:pt>
                <c:pt idx="630">
                  <c:v>68.2</c:v>
                </c:pt>
                <c:pt idx="631">
                  <c:v>52.8</c:v>
                </c:pt>
                <c:pt idx="632">
                  <c:v>73.900000000000006</c:v>
                </c:pt>
                <c:pt idx="633">
                  <c:v>60.9</c:v>
                </c:pt>
                <c:pt idx="634">
                  <c:v>50.1</c:v>
                </c:pt>
                <c:pt idx="635">
                  <c:v>74</c:v>
                </c:pt>
                <c:pt idx="636">
                  <c:v>62.8</c:v>
                </c:pt>
                <c:pt idx="637">
                  <c:v>60.8</c:v>
                </c:pt>
                <c:pt idx="638">
                  <c:v>82.7</c:v>
                </c:pt>
                <c:pt idx="639">
                  <c:v>77.900000000000006</c:v>
                </c:pt>
                <c:pt idx="640">
                  <c:v>76.900000000000006</c:v>
                </c:pt>
                <c:pt idx="641">
                  <c:v>100</c:v>
                </c:pt>
                <c:pt idx="642">
                  <c:v>64.400000000000006</c:v>
                </c:pt>
                <c:pt idx="643">
                  <c:v>84.2</c:v>
                </c:pt>
                <c:pt idx="644">
                  <c:v>71.7</c:v>
                </c:pt>
                <c:pt idx="645">
                  <c:v>91</c:v>
                </c:pt>
                <c:pt idx="646">
                  <c:v>59.5</c:v>
                </c:pt>
                <c:pt idx="647">
                  <c:v>76.099999999999994</c:v>
                </c:pt>
                <c:pt idx="648">
                  <c:v>85</c:v>
                </c:pt>
                <c:pt idx="649">
                  <c:v>82.7</c:v>
                </c:pt>
                <c:pt idx="650">
                  <c:v>73</c:v>
                </c:pt>
                <c:pt idx="651">
                  <c:v>73</c:v>
                </c:pt>
                <c:pt idx="652">
                  <c:v>78.8</c:v>
                </c:pt>
                <c:pt idx="653">
                  <c:v>81.7</c:v>
                </c:pt>
                <c:pt idx="654">
                  <c:v>61.1</c:v>
                </c:pt>
                <c:pt idx="655">
                  <c:v>56.2</c:v>
                </c:pt>
                <c:pt idx="656">
                  <c:v>82.3</c:v>
                </c:pt>
                <c:pt idx="657">
                  <c:v>92.7</c:v>
                </c:pt>
                <c:pt idx="658">
                  <c:v>69.599999999999994</c:v>
                </c:pt>
                <c:pt idx="659">
                  <c:v>64.8</c:v>
                </c:pt>
                <c:pt idx="660">
                  <c:v>68.599999999999994</c:v>
                </c:pt>
                <c:pt idx="661">
                  <c:v>64.900000000000006</c:v>
                </c:pt>
                <c:pt idx="662">
                  <c:v>49.8</c:v>
                </c:pt>
                <c:pt idx="663">
                  <c:v>77.599999999999994</c:v>
                </c:pt>
                <c:pt idx="664">
                  <c:v>97.9</c:v>
                </c:pt>
                <c:pt idx="665">
                  <c:v>85.4</c:v>
                </c:pt>
                <c:pt idx="666">
                  <c:v>90.3</c:v>
                </c:pt>
                <c:pt idx="667">
                  <c:v>91.6</c:v>
                </c:pt>
                <c:pt idx="668">
                  <c:v>81.2</c:v>
                </c:pt>
                <c:pt idx="669">
                  <c:v>60</c:v>
                </c:pt>
                <c:pt idx="670">
                  <c:v>80.900000000000006</c:v>
                </c:pt>
                <c:pt idx="671">
                  <c:v>70</c:v>
                </c:pt>
                <c:pt idx="672">
                  <c:v>87.7</c:v>
                </c:pt>
                <c:pt idx="673">
                  <c:v>67.099999999999994</c:v>
                </c:pt>
                <c:pt idx="674">
                  <c:v>74.099999999999994</c:v>
                </c:pt>
                <c:pt idx="675">
                  <c:v>79.599999999999994</c:v>
                </c:pt>
                <c:pt idx="676">
                  <c:v>49</c:v>
                </c:pt>
                <c:pt idx="677">
                  <c:v>57.3</c:v>
                </c:pt>
                <c:pt idx="678">
                  <c:v>85.6</c:v>
                </c:pt>
                <c:pt idx="679">
                  <c:v>82.4</c:v>
                </c:pt>
                <c:pt idx="680">
                  <c:v>89.7</c:v>
                </c:pt>
                <c:pt idx="681">
                  <c:v>67.8</c:v>
                </c:pt>
                <c:pt idx="682">
                  <c:v>70.900000000000006</c:v>
                </c:pt>
                <c:pt idx="683">
                  <c:v>86.9</c:v>
                </c:pt>
                <c:pt idx="684">
                  <c:v>74.2</c:v>
                </c:pt>
                <c:pt idx="685">
                  <c:v>65.7</c:v>
                </c:pt>
                <c:pt idx="686">
                  <c:v>77.900000000000006</c:v>
                </c:pt>
                <c:pt idx="687">
                  <c:v>96.5</c:v>
                </c:pt>
                <c:pt idx="688">
                  <c:v>91</c:v>
                </c:pt>
                <c:pt idx="689">
                  <c:v>63.2</c:v>
                </c:pt>
                <c:pt idx="690">
                  <c:v>92</c:v>
                </c:pt>
                <c:pt idx="691">
                  <c:v>70.2</c:v>
                </c:pt>
                <c:pt idx="692">
                  <c:v>89.8</c:v>
                </c:pt>
                <c:pt idx="693">
                  <c:v>76.5</c:v>
                </c:pt>
                <c:pt idx="694">
                  <c:v>85.2</c:v>
                </c:pt>
                <c:pt idx="695">
                  <c:v>72.2</c:v>
                </c:pt>
                <c:pt idx="696">
                  <c:v>70.8</c:v>
                </c:pt>
                <c:pt idx="697">
                  <c:v>86.9</c:v>
                </c:pt>
                <c:pt idx="698">
                  <c:v>80.599999999999994</c:v>
                </c:pt>
                <c:pt idx="699">
                  <c:v>52.6</c:v>
                </c:pt>
                <c:pt idx="700">
                  <c:v>70.8</c:v>
                </c:pt>
                <c:pt idx="701">
                  <c:v>74.8</c:v>
                </c:pt>
                <c:pt idx="702">
                  <c:v>65.3</c:v>
                </c:pt>
                <c:pt idx="703">
                  <c:v>58.2</c:v>
                </c:pt>
                <c:pt idx="704">
                  <c:v>79.599999999999994</c:v>
                </c:pt>
                <c:pt idx="705">
                  <c:v>61.8</c:v>
                </c:pt>
                <c:pt idx="706">
                  <c:v>100</c:v>
                </c:pt>
                <c:pt idx="707">
                  <c:v>89.1</c:v>
                </c:pt>
                <c:pt idx="708">
                  <c:v>73</c:v>
                </c:pt>
                <c:pt idx="709">
                  <c:v>86.6</c:v>
                </c:pt>
                <c:pt idx="710">
                  <c:v>90.1</c:v>
                </c:pt>
                <c:pt idx="711">
                  <c:v>72.400000000000006</c:v>
                </c:pt>
                <c:pt idx="712">
                  <c:v>55.1</c:v>
                </c:pt>
                <c:pt idx="713">
                  <c:v>77</c:v>
                </c:pt>
                <c:pt idx="714">
                  <c:v>75.400000000000006</c:v>
                </c:pt>
                <c:pt idx="715">
                  <c:v>70</c:v>
                </c:pt>
                <c:pt idx="716">
                  <c:v>89.8</c:v>
                </c:pt>
                <c:pt idx="717">
                  <c:v>74.599999999999994</c:v>
                </c:pt>
                <c:pt idx="718">
                  <c:v>64.5</c:v>
                </c:pt>
                <c:pt idx="719">
                  <c:v>60.1</c:v>
                </c:pt>
                <c:pt idx="720">
                  <c:v>74.099999999999994</c:v>
                </c:pt>
                <c:pt idx="721">
                  <c:v>69.900000000000006</c:v>
                </c:pt>
                <c:pt idx="722">
                  <c:v>81</c:v>
                </c:pt>
                <c:pt idx="723">
                  <c:v>75.099999999999994</c:v>
                </c:pt>
                <c:pt idx="724">
                  <c:v>81.400000000000006</c:v>
                </c:pt>
                <c:pt idx="725">
                  <c:v>83.9</c:v>
                </c:pt>
                <c:pt idx="726">
                  <c:v>81.5</c:v>
                </c:pt>
                <c:pt idx="727">
                  <c:v>80.900000000000006</c:v>
                </c:pt>
                <c:pt idx="728">
                  <c:v>73</c:v>
                </c:pt>
                <c:pt idx="729">
                  <c:v>62.6</c:v>
                </c:pt>
                <c:pt idx="730">
                  <c:v>75.2</c:v>
                </c:pt>
                <c:pt idx="731">
                  <c:v>63.1</c:v>
                </c:pt>
                <c:pt idx="732">
                  <c:v>80.5</c:v>
                </c:pt>
                <c:pt idx="733">
                  <c:v>63.9</c:v>
                </c:pt>
                <c:pt idx="734">
                  <c:v>77</c:v>
                </c:pt>
                <c:pt idx="735">
                  <c:v>74.099999999999994</c:v>
                </c:pt>
                <c:pt idx="736">
                  <c:v>64.5</c:v>
                </c:pt>
                <c:pt idx="737">
                  <c:v>73.7</c:v>
                </c:pt>
                <c:pt idx="738">
                  <c:v>74.599999999999994</c:v>
                </c:pt>
                <c:pt idx="739">
                  <c:v>51.5</c:v>
                </c:pt>
                <c:pt idx="740">
                  <c:v>79.400000000000006</c:v>
                </c:pt>
                <c:pt idx="741">
                  <c:v>91.9</c:v>
                </c:pt>
                <c:pt idx="742">
                  <c:v>77.2</c:v>
                </c:pt>
                <c:pt idx="743">
                  <c:v>84.7</c:v>
                </c:pt>
                <c:pt idx="744">
                  <c:v>99.5</c:v>
                </c:pt>
                <c:pt idx="745">
                  <c:v>71.8</c:v>
                </c:pt>
                <c:pt idx="746">
                  <c:v>82.8</c:v>
                </c:pt>
                <c:pt idx="747">
                  <c:v>64</c:v>
                </c:pt>
                <c:pt idx="748">
                  <c:v>49.6</c:v>
                </c:pt>
                <c:pt idx="749">
                  <c:v>71.599999999999994</c:v>
                </c:pt>
                <c:pt idx="750">
                  <c:v>85.6</c:v>
                </c:pt>
                <c:pt idx="751">
                  <c:v>72.8</c:v>
                </c:pt>
                <c:pt idx="752">
                  <c:v>93</c:v>
                </c:pt>
                <c:pt idx="753">
                  <c:v>60.5</c:v>
                </c:pt>
                <c:pt idx="754">
                  <c:v>84.4</c:v>
                </c:pt>
                <c:pt idx="755">
                  <c:v>84.6</c:v>
                </c:pt>
                <c:pt idx="756">
                  <c:v>58</c:v>
                </c:pt>
                <c:pt idx="757">
                  <c:v>62.4</c:v>
                </c:pt>
                <c:pt idx="758">
                  <c:v>71.400000000000006</c:v>
                </c:pt>
                <c:pt idx="759">
                  <c:v>86.8</c:v>
                </c:pt>
                <c:pt idx="760">
                  <c:v>65.2</c:v>
                </c:pt>
                <c:pt idx="761">
                  <c:v>87.9</c:v>
                </c:pt>
                <c:pt idx="762">
                  <c:v>73.900000000000006</c:v>
                </c:pt>
                <c:pt idx="763">
                  <c:v>72.900000000000006</c:v>
                </c:pt>
                <c:pt idx="764">
                  <c:v>64.400000000000006</c:v>
                </c:pt>
                <c:pt idx="765">
                  <c:v>59.5</c:v>
                </c:pt>
                <c:pt idx="766">
                  <c:v>75.7</c:v>
                </c:pt>
                <c:pt idx="767">
                  <c:v>91</c:v>
                </c:pt>
                <c:pt idx="768">
                  <c:v>74.099999999999994</c:v>
                </c:pt>
                <c:pt idx="769">
                  <c:v>64.2</c:v>
                </c:pt>
                <c:pt idx="770">
                  <c:v>52.6</c:v>
                </c:pt>
                <c:pt idx="771">
                  <c:v>72.599999999999994</c:v>
                </c:pt>
                <c:pt idx="772">
                  <c:v>59.8</c:v>
                </c:pt>
                <c:pt idx="773">
                  <c:v>66.3</c:v>
                </c:pt>
                <c:pt idx="774">
                  <c:v>58</c:v>
                </c:pt>
                <c:pt idx="775">
                  <c:v>64.7</c:v>
                </c:pt>
                <c:pt idx="776">
                  <c:v>51.3</c:v>
                </c:pt>
                <c:pt idx="777">
                  <c:v>87.1</c:v>
                </c:pt>
                <c:pt idx="778">
                  <c:v>71</c:v>
                </c:pt>
                <c:pt idx="779">
                  <c:v>87.5</c:v>
                </c:pt>
                <c:pt idx="780">
                  <c:v>80</c:v>
                </c:pt>
                <c:pt idx="781">
                  <c:v>71.099999999999994</c:v>
                </c:pt>
                <c:pt idx="782">
                  <c:v>86</c:v>
                </c:pt>
                <c:pt idx="783">
                  <c:v>70.099999999999994</c:v>
                </c:pt>
                <c:pt idx="784">
                  <c:v>74</c:v>
                </c:pt>
                <c:pt idx="785">
                  <c:v>49.1</c:v>
                </c:pt>
                <c:pt idx="786">
                  <c:v>82.7</c:v>
                </c:pt>
                <c:pt idx="787">
                  <c:v>75.599999999999994</c:v>
                </c:pt>
                <c:pt idx="788">
                  <c:v>77.5</c:v>
                </c:pt>
                <c:pt idx="789">
                  <c:v>43.9</c:v>
                </c:pt>
                <c:pt idx="790">
                  <c:v>74.5</c:v>
                </c:pt>
                <c:pt idx="791">
                  <c:v>58.8</c:v>
                </c:pt>
                <c:pt idx="792">
                  <c:v>76.900000000000006</c:v>
                </c:pt>
                <c:pt idx="793">
                  <c:v>74.099999999999994</c:v>
                </c:pt>
                <c:pt idx="794">
                  <c:v>84.8</c:v>
                </c:pt>
                <c:pt idx="795">
                  <c:v>72.400000000000006</c:v>
                </c:pt>
                <c:pt idx="796">
                  <c:v>58.2</c:v>
                </c:pt>
                <c:pt idx="797">
                  <c:v>69</c:v>
                </c:pt>
                <c:pt idx="798">
                  <c:v>85.5</c:v>
                </c:pt>
                <c:pt idx="799">
                  <c:v>87.7</c:v>
                </c:pt>
                <c:pt idx="800">
                  <c:v>82.2</c:v>
                </c:pt>
                <c:pt idx="801">
                  <c:v>56.9</c:v>
                </c:pt>
                <c:pt idx="802">
                  <c:v>59.9</c:v>
                </c:pt>
                <c:pt idx="803">
                  <c:v>80.7</c:v>
                </c:pt>
                <c:pt idx="804">
                  <c:v>86.4</c:v>
                </c:pt>
                <c:pt idx="805">
                  <c:v>68.2</c:v>
                </c:pt>
                <c:pt idx="806">
                  <c:v>69.099999999999994</c:v>
                </c:pt>
                <c:pt idx="807">
                  <c:v>79.099999999999994</c:v>
                </c:pt>
                <c:pt idx="808">
                  <c:v>70</c:v>
                </c:pt>
                <c:pt idx="809">
                  <c:v>67.7</c:v>
                </c:pt>
                <c:pt idx="810">
                  <c:v>84.2</c:v>
                </c:pt>
                <c:pt idx="811">
                  <c:v>76.7</c:v>
                </c:pt>
                <c:pt idx="812">
                  <c:v>98.8</c:v>
                </c:pt>
                <c:pt idx="813">
                  <c:v>92.2</c:v>
                </c:pt>
                <c:pt idx="814">
                  <c:v>71</c:v>
                </c:pt>
                <c:pt idx="815">
                  <c:v>90</c:v>
                </c:pt>
                <c:pt idx="816">
                  <c:v>84.6</c:v>
                </c:pt>
                <c:pt idx="817">
                  <c:v>73</c:v>
                </c:pt>
                <c:pt idx="818">
                  <c:v>91.5</c:v>
                </c:pt>
                <c:pt idx="819">
                  <c:v>74.099999999999994</c:v>
                </c:pt>
                <c:pt idx="820">
                  <c:v>74.099999999999994</c:v>
                </c:pt>
                <c:pt idx="821">
                  <c:v>78.099999999999994</c:v>
                </c:pt>
                <c:pt idx="822">
                  <c:v>88.1</c:v>
                </c:pt>
                <c:pt idx="823">
                  <c:v>63.6</c:v>
                </c:pt>
                <c:pt idx="824">
                  <c:v>71.400000000000006</c:v>
                </c:pt>
                <c:pt idx="825">
                  <c:v>91.2</c:v>
                </c:pt>
                <c:pt idx="826">
                  <c:v>47.1</c:v>
                </c:pt>
                <c:pt idx="827">
                  <c:v>93.2</c:v>
                </c:pt>
                <c:pt idx="828">
                  <c:v>57.1</c:v>
                </c:pt>
                <c:pt idx="829">
                  <c:v>68.900000000000006</c:v>
                </c:pt>
                <c:pt idx="830">
                  <c:v>88.6</c:v>
                </c:pt>
                <c:pt idx="831">
                  <c:v>67.7</c:v>
                </c:pt>
                <c:pt idx="832">
                  <c:v>51.7</c:v>
                </c:pt>
                <c:pt idx="833">
                  <c:v>85.9</c:v>
                </c:pt>
                <c:pt idx="834">
                  <c:v>67.2</c:v>
                </c:pt>
                <c:pt idx="835">
                  <c:v>67.900000000000006</c:v>
                </c:pt>
                <c:pt idx="836">
                  <c:v>55.8</c:v>
                </c:pt>
                <c:pt idx="837">
                  <c:v>64.400000000000006</c:v>
                </c:pt>
                <c:pt idx="838">
                  <c:v>86.7</c:v>
                </c:pt>
                <c:pt idx="839">
                  <c:v>77.2</c:v>
                </c:pt>
                <c:pt idx="840">
                  <c:v>84.4</c:v>
                </c:pt>
                <c:pt idx="841">
                  <c:v>51.2</c:v>
                </c:pt>
                <c:pt idx="842">
                  <c:v>86.9</c:v>
                </c:pt>
                <c:pt idx="843">
                  <c:v>74.099999999999994</c:v>
                </c:pt>
                <c:pt idx="844">
                  <c:v>0</c:v>
                </c:pt>
                <c:pt idx="845">
                  <c:v>61.4</c:v>
                </c:pt>
                <c:pt idx="846">
                  <c:v>62</c:v>
                </c:pt>
                <c:pt idx="847">
                  <c:v>81.7</c:v>
                </c:pt>
                <c:pt idx="848">
                  <c:v>65.900000000000006</c:v>
                </c:pt>
                <c:pt idx="849">
                  <c:v>75.8</c:v>
                </c:pt>
                <c:pt idx="850">
                  <c:v>87.5</c:v>
                </c:pt>
                <c:pt idx="851">
                  <c:v>97.2</c:v>
                </c:pt>
                <c:pt idx="852">
                  <c:v>77.7</c:v>
                </c:pt>
                <c:pt idx="853">
                  <c:v>48.6</c:v>
                </c:pt>
                <c:pt idx="854">
                  <c:v>90.3</c:v>
                </c:pt>
                <c:pt idx="855">
                  <c:v>71</c:v>
                </c:pt>
                <c:pt idx="856">
                  <c:v>71.599999999999994</c:v>
                </c:pt>
                <c:pt idx="857">
                  <c:v>90.2</c:v>
                </c:pt>
                <c:pt idx="858">
                  <c:v>57</c:v>
                </c:pt>
                <c:pt idx="859">
                  <c:v>95.7</c:v>
                </c:pt>
                <c:pt idx="860">
                  <c:v>54.2</c:v>
                </c:pt>
                <c:pt idx="861">
                  <c:v>73</c:v>
                </c:pt>
                <c:pt idx="862">
                  <c:v>65.8</c:v>
                </c:pt>
                <c:pt idx="863">
                  <c:v>73.5</c:v>
                </c:pt>
                <c:pt idx="864">
                  <c:v>69.599999999999994</c:v>
                </c:pt>
                <c:pt idx="865">
                  <c:v>47.8</c:v>
                </c:pt>
                <c:pt idx="866">
                  <c:v>72.8</c:v>
                </c:pt>
                <c:pt idx="867">
                  <c:v>76.3</c:v>
                </c:pt>
                <c:pt idx="868">
                  <c:v>82.8</c:v>
                </c:pt>
                <c:pt idx="869">
                  <c:v>72.7</c:v>
                </c:pt>
                <c:pt idx="870">
                  <c:v>81.900000000000006</c:v>
                </c:pt>
                <c:pt idx="871">
                  <c:v>92.9</c:v>
                </c:pt>
                <c:pt idx="872">
                  <c:v>83.3</c:v>
                </c:pt>
                <c:pt idx="873">
                  <c:v>60.4</c:v>
                </c:pt>
                <c:pt idx="874">
                  <c:v>89.8</c:v>
                </c:pt>
                <c:pt idx="875">
                  <c:v>65.400000000000006</c:v>
                </c:pt>
                <c:pt idx="876">
                  <c:v>66.2</c:v>
                </c:pt>
                <c:pt idx="877">
                  <c:v>76.2</c:v>
                </c:pt>
                <c:pt idx="878">
                  <c:v>79.599999999999994</c:v>
                </c:pt>
                <c:pt idx="879">
                  <c:v>74.599999999999994</c:v>
                </c:pt>
                <c:pt idx="880">
                  <c:v>62.2</c:v>
                </c:pt>
                <c:pt idx="881">
                  <c:v>67.900000000000006</c:v>
                </c:pt>
                <c:pt idx="882">
                  <c:v>73.7</c:v>
                </c:pt>
                <c:pt idx="883">
                  <c:v>92.4</c:v>
                </c:pt>
                <c:pt idx="884">
                  <c:v>70.099999999999994</c:v>
                </c:pt>
                <c:pt idx="885">
                  <c:v>73.7</c:v>
                </c:pt>
                <c:pt idx="886">
                  <c:v>52.8</c:v>
                </c:pt>
                <c:pt idx="887">
                  <c:v>72.900000000000006</c:v>
                </c:pt>
                <c:pt idx="888">
                  <c:v>89</c:v>
                </c:pt>
                <c:pt idx="889">
                  <c:v>62.7</c:v>
                </c:pt>
                <c:pt idx="890">
                  <c:v>64</c:v>
                </c:pt>
                <c:pt idx="891">
                  <c:v>79.599999999999994</c:v>
                </c:pt>
                <c:pt idx="892">
                  <c:v>73</c:v>
                </c:pt>
                <c:pt idx="893">
                  <c:v>79.3</c:v>
                </c:pt>
                <c:pt idx="894">
                  <c:v>80.099999999999994</c:v>
                </c:pt>
                <c:pt idx="895">
                  <c:v>63.7</c:v>
                </c:pt>
                <c:pt idx="896">
                  <c:v>84.6</c:v>
                </c:pt>
                <c:pt idx="897">
                  <c:v>79</c:v>
                </c:pt>
                <c:pt idx="898">
                  <c:v>70.8</c:v>
                </c:pt>
                <c:pt idx="899">
                  <c:v>74.099999999999994</c:v>
                </c:pt>
                <c:pt idx="900">
                  <c:v>71.599999999999994</c:v>
                </c:pt>
                <c:pt idx="901">
                  <c:v>44.6</c:v>
                </c:pt>
                <c:pt idx="902">
                  <c:v>90</c:v>
                </c:pt>
                <c:pt idx="903">
                  <c:v>100</c:v>
                </c:pt>
                <c:pt idx="904">
                  <c:v>75.900000000000006</c:v>
                </c:pt>
                <c:pt idx="905">
                  <c:v>70.099999999999994</c:v>
                </c:pt>
                <c:pt idx="906">
                  <c:v>84.1</c:v>
                </c:pt>
                <c:pt idx="907">
                  <c:v>73</c:v>
                </c:pt>
                <c:pt idx="908">
                  <c:v>63.7</c:v>
                </c:pt>
                <c:pt idx="909">
                  <c:v>100</c:v>
                </c:pt>
                <c:pt idx="910">
                  <c:v>59.1</c:v>
                </c:pt>
                <c:pt idx="911">
                  <c:v>60.1</c:v>
                </c:pt>
                <c:pt idx="912">
                  <c:v>71.7</c:v>
                </c:pt>
                <c:pt idx="913">
                  <c:v>77.2</c:v>
                </c:pt>
                <c:pt idx="914">
                  <c:v>89.7</c:v>
                </c:pt>
                <c:pt idx="915">
                  <c:v>62.9</c:v>
                </c:pt>
                <c:pt idx="916">
                  <c:v>56.2</c:v>
                </c:pt>
                <c:pt idx="917">
                  <c:v>86</c:v>
                </c:pt>
                <c:pt idx="918">
                  <c:v>57</c:v>
                </c:pt>
                <c:pt idx="919">
                  <c:v>60.2</c:v>
                </c:pt>
                <c:pt idx="920">
                  <c:v>68</c:v>
                </c:pt>
                <c:pt idx="921">
                  <c:v>83</c:v>
                </c:pt>
                <c:pt idx="922">
                  <c:v>79</c:v>
                </c:pt>
                <c:pt idx="923">
                  <c:v>77</c:v>
                </c:pt>
                <c:pt idx="924">
                  <c:v>71</c:v>
                </c:pt>
                <c:pt idx="925">
                  <c:v>93.2</c:v>
                </c:pt>
                <c:pt idx="926">
                  <c:v>76.2</c:v>
                </c:pt>
                <c:pt idx="927">
                  <c:v>61.8</c:v>
                </c:pt>
                <c:pt idx="928">
                  <c:v>73.8</c:v>
                </c:pt>
                <c:pt idx="929">
                  <c:v>86.7</c:v>
                </c:pt>
                <c:pt idx="930">
                  <c:v>98.4</c:v>
                </c:pt>
                <c:pt idx="931">
                  <c:v>53.4</c:v>
                </c:pt>
                <c:pt idx="932">
                  <c:v>55.8</c:v>
                </c:pt>
                <c:pt idx="933">
                  <c:v>82.8</c:v>
                </c:pt>
                <c:pt idx="934">
                  <c:v>68</c:v>
                </c:pt>
                <c:pt idx="935">
                  <c:v>88</c:v>
                </c:pt>
                <c:pt idx="936">
                  <c:v>49.9</c:v>
                </c:pt>
                <c:pt idx="937">
                  <c:v>76.3</c:v>
                </c:pt>
                <c:pt idx="938">
                  <c:v>74.099999999999994</c:v>
                </c:pt>
                <c:pt idx="939">
                  <c:v>93.5</c:v>
                </c:pt>
                <c:pt idx="940">
                  <c:v>73.2</c:v>
                </c:pt>
                <c:pt idx="941">
                  <c:v>85.5</c:v>
                </c:pt>
                <c:pt idx="942">
                  <c:v>86.8</c:v>
                </c:pt>
                <c:pt idx="943">
                  <c:v>92.9</c:v>
                </c:pt>
                <c:pt idx="944">
                  <c:v>74.900000000000006</c:v>
                </c:pt>
                <c:pt idx="945">
                  <c:v>93.2</c:v>
                </c:pt>
                <c:pt idx="946">
                  <c:v>75.900000000000006</c:v>
                </c:pt>
                <c:pt idx="947">
                  <c:v>65</c:v>
                </c:pt>
                <c:pt idx="948">
                  <c:v>80.599999999999994</c:v>
                </c:pt>
                <c:pt idx="949">
                  <c:v>66.2</c:v>
                </c:pt>
                <c:pt idx="950">
                  <c:v>71</c:v>
                </c:pt>
                <c:pt idx="951">
                  <c:v>64</c:v>
                </c:pt>
                <c:pt idx="952">
                  <c:v>75.2</c:v>
                </c:pt>
                <c:pt idx="953">
                  <c:v>63.5</c:v>
                </c:pt>
                <c:pt idx="954">
                  <c:v>83.1</c:v>
                </c:pt>
                <c:pt idx="955">
                  <c:v>50.5</c:v>
                </c:pt>
                <c:pt idx="956">
                  <c:v>70.5</c:v>
                </c:pt>
                <c:pt idx="957">
                  <c:v>87.5</c:v>
                </c:pt>
                <c:pt idx="958">
                  <c:v>72.2</c:v>
                </c:pt>
                <c:pt idx="959">
                  <c:v>82.6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65-47EF-AF1D-7B6D0D721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40203"/>
        <c:axId val="46992320"/>
      </c:scatterChart>
      <c:valAx>
        <c:axId val="7164020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Horas de estudio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46992320"/>
        <c:crosses val="autoZero"/>
        <c:crossBetween val="midCat"/>
      </c:valAx>
      <c:valAx>
        <c:axId val="469923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Nota final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164020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10</xdr:col>
      <xdr:colOff>39240</xdr:colOff>
      <xdr:row>14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10</xdr:col>
      <xdr:colOff>38880</xdr:colOff>
      <xdr:row>14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17</xdr:row>
      <xdr:rowOff>0</xdr:rowOff>
    </xdr:from>
    <xdr:to>
      <xdr:col>10</xdr:col>
      <xdr:colOff>398880</xdr:colOff>
      <xdr:row>32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Normal="100" workbookViewId="0"/>
  </sheetViews>
  <sheetFormatPr baseColWidth="10" defaultColWidth="8.6640625" defaultRowHeight="14.4" x14ac:dyDescent="0.3"/>
  <cols>
    <col min="1" max="1" width="16" customWidth="1"/>
    <col min="2" max="2" width="82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</row>
    <row r="5" spans="1:2" x14ac:dyDescent="0.3">
      <c r="A5" s="3" t="s">
        <v>3</v>
      </c>
      <c r="B5" s="2" t="s">
        <v>4</v>
      </c>
    </row>
    <row r="6" spans="1:2" x14ac:dyDescent="0.3">
      <c r="A6" s="3" t="s">
        <v>5</v>
      </c>
      <c r="B6" s="2" t="s">
        <v>6</v>
      </c>
    </row>
    <row r="7" spans="1:2" x14ac:dyDescent="0.3">
      <c r="A7" s="3" t="s">
        <v>7</v>
      </c>
      <c r="B7" s="2" t="s">
        <v>8</v>
      </c>
    </row>
    <row r="8" spans="1:2" x14ac:dyDescent="0.3">
      <c r="A8" s="3" t="s">
        <v>9</v>
      </c>
      <c r="B8" s="2" t="s">
        <v>10</v>
      </c>
    </row>
    <row r="9" spans="1:2" x14ac:dyDescent="0.3">
      <c r="A9" s="3" t="s">
        <v>11</v>
      </c>
      <c r="B9" s="2" t="s">
        <v>12</v>
      </c>
    </row>
    <row r="10" spans="1:2" x14ac:dyDescent="0.3">
      <c r="A10" s="3" t="s">
        <v>13</v>
      </c>
      <c r="B10" s="2" t="s">
        <v>14</v>
      </c>
    </row>
    <row r="12" spans="1:2" x14ac:dyDescent="0.3">
      <c r="A12" s="3" t="s">
        <v>15</v>
      </c>
    </row>
    <row r="13" spans="1:2" x14ac:dyDescent="0.3">
      <c r="A13" s="3" t="s">
        <v>16</v>
      </c>
      <c r="B13" s="2" t="s">
        <v>17</v>
      </c>
    </row>
    <row r="14" spans="1:2" x14ac:dyDescent="0.3">
      <c r="A14" s="3" t="s">
        <v>18</v>
      </c>
      <c r="B14" s="2" t="s">
        <v>19</v>
      </c>
    </row>
    <row r="15" spans="1:2" x14ac:dyDescent="0.3">
      <c r="A15" s="3" t="s">
        <v>20</v>
      </c>
      <c r="B15" s="2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61"/>
  <sheetViews>
    <sheetView zoomScaleNormal="100" workbookViewId="0"/>
  </sheetViews>
  <sheetFormatPr baseColWidth="10" defaultColWidth="8.6640625" defaultRowHeight="14.4" x14ac:dyDescent="0.3"/>
  <cols>
    <col min="1" max="2" width="12" customWidth="1"/>
    <col min="3" max="3" width="20" customWidth="1"/>
    <col min="4" max="4" width="17" customWidth="1"/>
    <col min="5" max="5" width="28" customWidth="1"/>
    <col min="6" max="6" width="15" customWidth="1"/>
    <col min="7" max="7" width="13" customWidth="1"/>
    <col min="8" max="8" width="23" customWidth="1"/>
    <col min="9" max="9" width="18" customWidth="1"/>
    <col min="10" max="10" width="20" customWidth="1"/>
    <col min="11" max="11" width="13" customWidth="1"/>
    <col min="12" max="12" width="16" customWidth="1"/>
    <col min="13" max="13" width="18" customWidth="1"/>
  </cols>
  <sheetData>
    <row r="1" spans="1:13" x14ac:dyDescent="0.3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</row>
    <row r="2" spans="1:13" x14ac:dyDescent="0.3">
      <c r="A2" s="5">
        <v>781</v>
      </c>
      <c r="B2" s="5" t="s">
        <v>35</v>
      </c>
      <c r="C2" s="5" t="s">
        <v>36</v>
      </c>
      <c r="D2" s="5" t="s">
        <v>37</v>
      </c>
      <c r="E2" s="5" t="s">
        <v>37</v>
      </c>
      <c r="F2" s="5" t="s">
        <v>37</v>
      </c>
      <c r="G2" s="5" t="s">
        <v>38</v>
      </c>
      <c r="H2" s="6">
        <v>45019</v>
      </c>
      <c r="I2" s="5">
        <v>6.3</v>
      </c>
      <c r="J2" s="5">
        <v>97.4</v>
      </c>
      <c r="K2" s="5">
        <v>7.3</v>
      </c>
      <c r="L2" s="5">
        <v>92.7</v>
      </c>
      <c r="M2" s="5">
        <v>100</v>
      </c>
    </row>
    <row r="3" spans="1:13" x14ac:dyDescent="0.3">
      <c r="A3" s="5">
        <v>543</v>
      </c>
      <c r="B3" s="5" t="s">
        <v>35</v>
      </c>
      <c r="C3" s="5" t="s">
        <v>39</v>
      </c>
      <c r="D3" s="5" t="s">
        <v>37</v>
      </c>
      <c r="E3" s="5" t="s">
        <v>40</v>
      </c>
      <c r="F3" s="5" t="s">
        <v>40</v>
      </c>
      <c r="G3" s="5" t="s">
        <v>41</v>
      </c>
      <c r="H3" s="6">
        <v>45432</v>
      </c>
      <c r="I3" s="5">
        <v>2</v>
      </c>
      <c r="J3" s="5">
        <v>74.8</v>
      </c>
      <c r="K3" s="5">
        <v>6.2</v>
      </c>
      <c r="L3" s="5">
        <v>48.3</v>
      </c>
      <c r="M3" s="5">
        <v>56.6</v>
      </c>
    </row>
    <row r="4" spans="1:13" x14ac:dyDescent="0.3">
      <c r="A4" s="5">
        <v>34</v>
      </c>
      <c r="B4" s="5" t="s">
        <v>35</v>
      </c>
      <c r="C4" s="5" t="s">
        <v>42</v>
      </c>
      <c r="D4" s="5" t="s">
        <v>37</v>
      </c>
      <c r="E4" s="5" t="s">
        <v>37</v>
      </c>
      <c r="F4" s="5" t="s">
        <v>40</v>
      </c>
      <c r="G4" s="5" t="s">
        <v>43</v>
      </c>
      <c r="H4" s="6">
        <v>45302</v>
      </c>
      <c r="I4" s="5">
        <v>4.7</v>
      </c>
      <c r="J4" s="5">
        <v>92.3</v>
      </c>
      <c r="K4" s="5">
        <v>4.7</v>
      </c>
      <c r="L4" s="5">
        <v>62.8</v>
      </c>
      <c r="M4" s="5">
        <v>74.2</v>
      </c>
    </row>
    <row r="5" spans="1:13" x14ac:dyDescent="0.3">
      <c r="A5" s="5">
        <v>459</v>
      </c>
      <c r="B5" s="5" t="s">
        <v>35</v>
      </c>
      <c r="C5" s="5" t="s">
        <v>36</v>
      </c>
      <c r="D5" s="5" t="s">
        <v>37</v>
      </c>
      <c r="E5" s="5" t="s">
        <v>37</v>
      </c>
      <c r="F5" s="5" t="s">
        <v>40</v>
      </c>
      <c r="G5" s="5" t="s">
        <v>43</v>
      </c>
      <c r="H5" s="6">
        <v>45294</v>
      </c>
      <c r="I5" s="5">
        <v>3.3</v>
      </c>
      <c r="J5" s="5">
        <v>82.9</v>
      </c>
      <c r="K5" s="5">
        <v>6.5</v>
      </c>
      <c r="L5" s="5">
        <v>77.599999999999994</v>
      </c>
      <c r="M5" s="5">
        <v>74.8</v>
      </c>
    </row>
    <row r="6" spans="1:13" x14ac:dyDescent="0.3">
      <c r="A6" s="5">
        <v>100</v>
      </c>
      <c r="B6" s="5" t="s">
        <v>44</v>
      </c>
      <c r="C6" s="5" t="s">
        <v>36</v>
      </c>
      <c r="D6" s="5" t="s">
        <v>37</v>
      </c>
      <c r="E6" s="5" t="s">
        <v>37</v>
      </c>
      <c r="F6" s="5" t="s">
        <v>40</v>
      </c>
      <c r="G6" s="5" t="s">
        <v>43</v>
      </c>
      <c r="H6" s="6">
        <v>45308</v>
      </c>
      <c r="I6" s="5">
        <v>6.2</v>
      </c>
      <c r="J6" s="5">
        <v>74.7</v>
      </c>
      <c r="K6" s="5">
        <v>5</v>
      </c>
      <c r="L6" s="5">
        <v>50.6</v>
      </c>
      <c r="M6" s="5">
        <v>76</v>
      </c>
    </row>
    <row r="7" spans="1:13" x14ac:dyDescent="0.3">
      <c r="A7" s="5">
        <v>311</v>
      </c>
      <c r="B7" s="5" t="s">
        <v>44</v>
      </c>
      <c r="C7" s="5" t="s">
        <v>39</v>
      </c>
      <c r="D7" s="5" t="s">
        <v>37</v>
      </c>
      <c r="E7" s="5" t="s">
        <v>40</v>
      </c>
      <c r="F7" s="5" t="s">
        <v>40</v>
      </c>
      <c r="G7" s="5" t="s">
        <v>38</v>
      </c>
      <c r="H7" s="6">
        <v>45423</v>
      </c>
      <c r="I7" s="5">
        <v>6</v>
      </c>
      <c r="J7" s="5">
        <v>85.3</v>
      </c>
      <c r="K7" s="5">
        <v>7.1</v>
      </c>
      <c r="L7" s="5">
        <v>94.9</v>
      </c>
      <c r="M7" s="5">
        <v>100</v>
      </c>
    </row>
    <row r="8" spans="1:13" x14ac:dyDescent="0.3">
      <c r="A8" s="5">
        <v>756</v>
      </c>
      <c r="B8" s="5" t="s">
        <v>44</v>
      </c>
      <c r="C8" s="5" t="s">
        <v>45</v>
      </c>
      <c r="D8" s="5" t="s">
        <v>37</v>
      </c>
      <c r="E8" s="5" t="s">
        <v>40</v>
      </c>
      <c r="F8" s="5" t="s">
        <v>37</v>
      </c>
      <c r="G8" s="5" t="s">
        <v>46</v>
      </c>
      <c r="H8" s="6">
        <v>45065</v>
      </c>
      <c r="I8" s="5">
        <v>1.2</v>
      </c>
      <c r="J8" s="5">
        <v>82.6</v>
      </c>
      <c r="K8" s="5">
        <v>5</v>
      </c>
      <c r="L8" s="5">
        <v>93.1</v>
      </c>
      <c r="M8" s="5">
        <v>65.8</v>
      </c>
    </row>
    <row r="9" spans="1:13" x14ac:dyDescent="0.3">
      <c r="A9" s="5">
        <v>184</v>
      </c>
      <c r="B9" s="5" t="s">
        <v>35</v>
      </c>
      <c r="C9" s="5" t="s">
        <v>45</v>
      </c>
      <c r="D9" s="5" t="s">
        <v>40</v>
      </c>
      <c r="E9" s="5" t="s">
        <v>40</v>
      </c>
      <c r="F9" s="5" t="s">
        <v>37</v>
      </c>
      <c r="G9" s="5" t="s">
        <v>43</v>
      </c>
      <c r="H9" s="6">
        <v>45220</v>
      </c>
      <c r="I9" s="5">
        <v>2.2999999999999998</v>
      </c>
      <c r="J9" s="5">
        <v>73.900000000000006</v>
      </c>
      <c r="K9" s="5">
        <v>4.7</v>
      </c>
      <c r="L9" s="5">
        <v>85.8</v>
      </c>
      <c r="M9" s="5">
        <v>70.2</v>
      </c>
    </row>
    <row r="10" spans="1:13" x14ac:dyDescent="0.3">
      <c r="A10" s="5">
        <v>323</v>
      </c>
      <c r="B10" s="5" t="s">
        <v>44</v>
      </c>
      <c r="C10" s="5" t="s">
        <v>45</v>
      </c>
      <c r="D10" s="5" t="s">
        <v>40</v>
      </c>
      <c r="E10" s="5" t="s">
        <v>40</v>
      </c>
      <c r="F10" s="5" t="s">
        <v>40</v>
      </c>
      <c r="G10" s="5" t="s">
        <v>47</v>
      </c>
      <c r="H10" s="6">
        <v>44969</v>
      </c>
      <c r="I10" s="5">
        <v>7</v>
      </c>
      <c r="J10" s="5">
        <v>78.3</v>
      </c>
      <c r="K10" s="5">
        <v>7.2</v>
      </c>
      <c r="L10" s="5">
        <v>69.099999999999994</v>
      </c>
      <c r="M10" s="5">
        <v>83.4</v>
      </c>
    </row>
    <row r="11" spans="1:13" x14ac:dyDescent="0.3">
      <c r="A11" s="5">
        <v>174</v>
      </c>
      <c r="B11" s="5" t="s">
        <v>35</v>
      </c>
      <c r="C11" s="5" t="s">
        <v>39</v>
      </c>
      <c r="D11" s="5" t="s">
        <v>37</v>
      </c>
      <c r="E11" s="5" t="s">
        <v>37</v>
      </c>
      <c r="F11" s="5" t="s">
        <v>37</v>
      </c>
      <c r="G11" s="5" t="s">
        <v>46</v>
      </c>
      <c r="H11" s="6">
        <v>44997</v>
      </c>
      <c r="I11" s="5">
        <v>4.5</v>
      </c>
      <c r="J11" s="5">
        <v>96.1</v>
      </c>
      <c r="K11" s="5">
        <v>8.5</v>
      </c>
      <c r="L11" s="5">
        <v>35.9</v>
      </c>
      <c r="M11" s="5">
        <v>61</v>
      </c>
    </row>
    <row r="12" spans="1:13" x14ac:dyDescent="0.3">
      <c r="A12" s="5">
        <v>355</v>
      </c>
      <c r="B12" s="5" t="s">
        <v>44</v>
      </c>
      <c r="C12" s="5" t="s">
        <v>42</v>
      </c>
      <c r="D12" s="5" t="s">
        <v>37</v>
      </c>
      <c r="E12" s="5" t="s">
        <v>40</v>
      </c>
      <c r="F12" s="5" t="s">
        <v>37</v>
      </c>
      <c r="G12" s="5" t="s">
        <v>47</v>
      </c>
      <c r="H12" s="6">
        <v>44995</v>
      </c>
      <c r="I12" s="5">
        <v>5</v>
      </c>
      <c r="J12" s="5">
        <v>87.7</v>
      </c>
      <c r="K12" s="5">
        <v>6.7</v>
      </c>
      <c r="L12" s="5">
        <v>90.9</v>
      </c>
      <c r="M12" s="5">
        <v>87.8</v>
      </c>
    </row>
    <row r="13" spans="1:13" x14ac:dyDescent="0.3">
      <c r="A13" s="5">
        <v>647</v>
      </c>
      <c r="B13" s="5" t="s">
        <v>44</v>
      </c>
      <c r="C13" s="5" t="s">
        <v>42</v>
      </c>
      <c r="D13" s="5" t="s">
        <v>37</v>
      </c>
      <c r="E13" s="5" t="s">
        <v>37</v>
      </c>
      <c r="F13" s="5" t="s">
        <v>40</v>
      </c>
      <c r="G13" s="5" t="s">
        <v>46</v>
      </c>
      <c r="H13" s="6">
        <v>45403</v>
      </c>
      <c r="I13" s="5">
        <v>5.6</v>
      </c>
      <c r="J13" s="5">
        <v>88.5</v>
      </c>
      <c r="K13" s="5">
        <v>5.5</v>
      </c>
      <c r="L13" s="5">
        <v>40.799999999999997</v>
      </c>
      <c r="M13" s="5">
        <v>61.5</v>
      </c>
    </row>
    <row r="14" spans="1:13" x14ac:dyDescent="0.3">
      <c r="A14" s="5">
        <v>868</v>
      </c>
      <c r="B14" s="5" t="s">
        <v>35</v>
      </c>
      <c r="C14" s="5" t="s">
        <v>42</v>
      </c>
      <c r="D14" s="5" t="s">
        <v>37</v>
      </c>
      <c r="E14" s="5" t="s">
        <v>40</v>
      </c>
      <c r="F14" s="5" t="s">
        <v>37</v>
      </c>
      <c r="G14" s="5" t="s">
        <v>47</v>
      </c>
      <c r="H14" s="6">
        <v>45503</v>
      </c>
      <c r="I14" s="5">
        <v>2.6</v>
      </c>
      <c r="J14" s="5">
        <v>73.900000000000006</v>
      </c>
      <c r="K14" s="5">
        <v>8.9</v>
      </c>
      <c r="L14" s="5">
        <v>83.3</v>
      </c>
      <c r="M14" s="5">
        <v>73</v>
      </c>
    </row>
    <row r="15" spans="1:13" x14ac:dyDescent="0.3">
      <c r="A15" s="5">
        <v>344</v>
      </c>
      <c r="B15" s="5" t="s">
        <v>44</v>
      </c>
      <c r="C15" s="5" t="s">
        <v>39</v>
      </c>
      <c r="D15" s="5" t="s">
        <v>37</v>
      </c>
      <c r="E15" s="5" t="s">
        <v>40</v>
      </c>
      <c r="F15" s="5" t="s">
        <v>37</v>
      </c>
      <c r="G15" s="5" t="s">
        <v>46</v>
      </c>
      <c r="H15" s="6"/>
      <c r="I15" s="5">
        <v>3.5</v>
      </c>
      <c r="J15" s="5">
        <v>66.7</v>
      </c>
      <c r="K15" s="5">
        <v>6.7</v>
      </c>
      <c r="L15" s="5">
        <v>92.2</v>
      </c>
      <c r="M15" s="5">
        <v>74.099999999999994</v>
      </c>
    </row>
    <row r="16" spans="1:13" x14ac:dyDescent="0.3">
      <c r="A16" s="5">
        <v>125</v>
      </c>
      <c r="B16" s="5" t="s">
        <v>44</v>
      </c>
      <c r="C16" s="5" t="s">
        <v>39</v>
      </c>
      <c r="D16" s="5" t="s">
        <v>37</v>
      </c>
      <c r="E16" s="5" t="s">
        <v>37</v>
      </c>
      <c r="F16" s="5" t="s">
        <v>40</v>
      </c>
      <c r="G16" s="5" t="s">
        <v>47</v>
      </c>
      <c r="H16" s="6">
        <v>45088</v>
      </c>
      <c r="I16" s="5">
        <v>4.8</v>
      </c>
      <c r="J16" s="5">
        <v>68.900000000000006</v>
      </c>
      <c r="K16" s="5">
        <v>6.7</v>
      </c>
      <c r="L16" s="5">
        <v>65</v>
      </c>
      <c r="M16" s="5">
        <v>82.7</v>
      </c>
    </row>
    <row r="17" spans="1:13" x14ac:dyDescent="0.3">
      <c r="A17" s="5">
        <v>673</v>
      </c>
      <c r="B17" s="5" t="s">
        <v>35</v>
      </c>
      <c r="C17" s="5" t="s">
        <v>45</v>
      </c>
      <c r="D17" s="5" t="s">
        <v>37</v>
      </c>
      <c r="E17" s="5" t="s">
        <v>40</v>
      </c>
      <c r="F17" s="5" t="s">
        <v>40</v>
      </c>
      <c r="G17" s="5" t="s">
        <v>43</v>
      </c>
      <c r="H17" s="6">
        <v>45026</v>
      </c>
      <c r="I17" s="5">
        <v>6.2</v>
      </c>
      <c r="J17" s="5">
        <v>82</v>
      </c>
      <c r="K17" s="5">
        <v>5.0999999999999996</v>
      </c>
      <c r="L17" s="5">
        <v>38</v>
      </c>
      <c r="M17" s="5">
        <v>72.900000000000006</v>
      </c>
    </row>
    <row r="18" spans="1:13" x14ac:dyDescent="0.3">
      <c r="A18" s="5">
        <v>610</v>
      </c>
      <c r="B18" s="5" t="s">
        <v>35</v>
      </c>
      <c r="C18" s="5"/>
      <c r="D18" s="5" t="s">
        <v>37</v>
      </c>
      <c r="E18" s="5" t="s">
        <v>37</v>
      </c>
      <c r="F18" s="5" t="s">
        <v>37</v>
      </c>
      <c r="G18" s="5" t="s">
        <v>43</v>
      </c>
      <c r="H18" s="6">
        <v>44944</v>
      </c>
      <c r="I18" s="5">
        <v>6.1</v>
      </c>
      <c r="J18" s="5">
        <v>73.8</v>
      </c>
      <c r="K18" s="5">
        <v>8.8000000000000007</v>
      </c>
      <c r="L18" s="5">
        <v>45.3</v>
      </c>
      <c r="M18" s="5">
        <v>79.8</v>
      </c>
    </row>
    <row r="19" spans="1:13" x14ac:dyDescent="0.3">
      <c r="A19" s="5">
        <v>812</v>
      </c>
      <c r="B19" s="5" t="s">
        <v>44</v>
      </c>
      <c r="C19" s="5" t="s">
        <v>39</v>
      </c>
      <c r="D19" s="5" t="s">
        <v>37</v>
      </c>
      <c r="E19" s="5" t="s">
        <v>37</v>
      </c>
      <c r="F19" s="5" t="s">
        <v>40</v>
      </c>
      <c r="G19" s="5" t="s">
        <v>43</v>
      </c>
      <c r="H19" s="6">
        <v>45213</v>
      </c>
      <c r="I19" s="5">
        <v>3.5</v>
      </c>
      <c r="J19" s="5">
        <v>76.400000000000006</v>
      </c>
      <c r="K19" s="5">
        <v>4.2</v>
      </c>
      <c r="L19" s="5">
        <v>78.8</v>
      </c>
      <c r="M19" s="5">
        <v>74.2</v>
      </c>
    </row>
    <row r="20" spans="1:13" x14ac:dyDescent="0.3">
      <c r="A20" s="5">
        <v>574</v>
      </c>
      <c r="B20" s="5" t="s">
        <v>44</v>
      </c>
      <c r="C20" s="5"/>
      <c r="D20" s="5" t="s">
        <v>37</v>
      </c>
      <c r="E20" s="5" t="s">
        <v>40</v>
      </c>
      <c r="F20" s="5" t="s">
        <v>37</v>
      </c>
      <c r="G20" s="5" t="s">
        <v>41</v>
      </c>
      <c r="H20" s="6">
        <v>44961</v>
      </c>
      <c r="I20" s="5">
        <v>2.7</v>
      </c>
      <c r="J20" s="5">
        <v>90.1</v>
      </c>
      <c r="K20" s="5">
        <v>7.1</v>
      </c>
      <c r="L20" s="5">
        <v>37.9</v>
      </c>
      <c r="M20" s="5">
        <v>57.8</v>
      </c>
    </row>
    <row r="21" spans="1:13" x14ac:dyDescent="0.3">
      <c r="A21" s="5">
        <v>547</v>
      </c>
      <c r="B21" s="5" t="s">
        <v>44</v>
      </c>
      <c r="C21" s="5" t="s">
        <v>45</v>
      </c>
      <c r="D21" s="5" t="s">
        <v>37</v>
      </c>
      <c r="E21" s="5" t="s">
        <v>40</v>
      </c>
      <c r="F21" s="5" t="s">
        <v>40</v>
      </c>
      <c r="G21" s="5" t="s">
        <v>43</v>
      </c>
      <c r="H21" s="6">
        <v>45480</v>
      </c>
      <c r="I21" s="5">
        <v>1.9</v>
      </c>
      <c r="J21" s="5">
        <v>82</v>
      </c>
      <c r="K21" s="5">
        <v>7.6</v>
      </c>
      <c r="L21" s="5">
        <v>82.3</v>
      </c>
      <c r="M21" s="5">
        <v>74.099999999999994</v>
      </c>
    </row>
    <row r="22" spans="1:13" x14ac:dyDescent="0.3">
      <c r="A22" s="5">
        <v>942</v>
      </c>
      <c r="B22" s="5" t="s">
        <v>35</v>
      </c>
      <c r="C22" s="5"/>
      <c r="D22" s="5" t="s">
        <v>40</v>
      </c>
      <c r="E22" s="5" t="s">
        <v>40</v>
      </c>
      <c r="F22" s="5" t="s">
        <v>40</v>
      </c>
      <c r="G22" s="5" t="s">
        <v>47</v>
      </c>
      <c r="H22" s="6">
        <v>45222</v>
      </c>
      <c r="I22" s="5">
        <v>5.7</v>
      </c>
      <c r="J22" s="5">
        <v>89.8</v>
      </c>
      <c r="K22" s="5">
        <v>5</v>
      </c>
      <c r="L22" s="5">
        <v>71.3</v>
      </c>
      <c r="M22" s="5">
        <v>80.5</v>
      </c>
    </row>
    <row r="23" spans="1:13" x14ac:dyDescent="0.3">
      <c r="A23" s="5">
        <v>725</v>
      </c>
      <c r="B23" s="5" t="s">
        <v>35</v>
      </c>
      <c r="C23" s="5" t="s">
        <v>42</v>
      </c>
      <c r="D23" s="5" t="s">
        <v>37</v>
      </c>
      <c r="E23" s="5" t="s">
        <v>37</v>
      </c>
      <c r="F23" s="5" t="s">
        <v>40</v>
      </c>
      <c r="G23" s="5" t="s">
        <v>46</v>
      </c>
      <c r="H23" s="6">
        <v>45296</v>
      </c>
      <c r="I23" s="5">
        <v>3.4</v>
      </c>
      <c r="J23" s="5">
        <v>71</v>
      </c>
      <c r="K23" s="5">
        <v>4.5999999999999996</v>
      </c>
      <c r="L23" s="5">
        <v>88.5</v>
      </c>
      <c r="M23" s="5">
        <v>62.6</v>
      </c>
    </row>
    <row r="24" spans="1:13" x14ac:dyDescent="0.3">
      <c r="A24" s="5">
        <v>198</v>
      </c>
      <c r="B24" s="5" t="s">
        <v>35</v>
      </c>
      <c r="C24" s="5" t="s">
        <v>36</v>
      </c>
      <c r="D24" s="5" t="s">
        <v>37</v>
      </c>
      <c r="E24" s="5" t="s">
        <v>37</v>
      </c>
      <c r="F24" s="5" t="s">
        <v>37</v>
      </c>
      <c r="G24" s="5" t="s">
        <v>43</v>
      </c>
      <c r="H24" s="6">
        <v>45508</v>
      </c>
      <c r="I24" s="5">
        <v>3.4</v>
      </c>
      <c r="J24" s="5">
        <v>77.099999999999994</v>
      </c>
      <c r="K24" s="5">
        <v>6.3</v>
      </c>
      <c r="L24" s="5">
        <v>44.2</v>
      </c>
      <c r="M24" s="5">
        <v>71.5</v>
      </c>
    </row>
    <row r="25" spans="1:13" x14ac:dyDescent="0.3">
      <c r="A25" s="5">
        <v>645</v>
      </c>
      <c r="B25" s="5" t="s">
        <v>35</v>
      </c>
      <c r="C25" s="5" t="s">
        <v>42</v>
      </c>
      <c r="D25" s="5" t="s">
        <v>37</v>
      </c>
      <c r="E25" s="5" t="s">
        <v>40</v>
      </c>
      <c r="F25" s="5" t="s">
        <v>37</v>
      </c>
      <c r="G25" s="5" t="s">
        <v>46</v>
      </c>
      <c r="H25" s="6">
        <v>45506</v>
      </c>
      <c r="I25" s="5">
        <v>1</v>
      </c>
      <c r="J25" s="5">
        <v>88.8</v>
      </c>
      <c r="K25" s="5">
        <v>7.6</v>
      </c>
      <c r="L25" s="5">
        <v>47.1</v>
      </c>
      <c r="M25" s="5">
        <v>69.8</v>
      </c>
    </row>
    <row r="26" spans="1:13" x14ac:dyDescent="0.3">
      <c r="A26" s="5">
        <v>583</v>
      </c>
      <c r="B26" s="5" t="s">
        <v>35</v>
      </c>
      <c r="C26" s="5" t="s">
        <v>39</v>
      </c>
      <c r="D26" s="5" t="s">
        <v>37</v>
      </c>
      <c r="E26" s="5" t="s">
        <v>37</v>
      </c>
      <c r="F26" s="5" t="s">
        <v>40</v>
      </c>
      <c r="G26" s="5" t="s">
        <v>46</v>
      </c>
      <c r="H26" s="6">
        <v>45475</v>
      </c>
      <c r="I26" s="5">
        <v>3.6</v>
      </c>
      <c r="J26" s="5">
        <v>67.2</v>
      </c>
      <c r="K26" s="5">
        <v>5.3</v>
      </c>
      <c r="L26" s="5">
        <v>71.099999999999994</v>
      </c>
      <c r="M26" s="5">
        <v>65.2</v>
      </c>
    </row>
    <row r="27" spans="1:13" x14ac:dyDescent="0.3">
      <c r="A27" s="5">
        <v>384</v>
      </c>
      <c r="B27" s="5" t="s">
        <v>44</v>
      </c>
      <c r="C27" s="5"/>
      <c r="D27" s="5" t="s">
        <v>40</v>
      </c>
      <c r="E27" s="5" t="s">
        <v>37</v>
      </c>
      <c r="F27" s="5" t="s">
        <v>40</v>
      </c>
      <c r="G27" s="5" t="s">
        <v>47</v>
      </c>
      <c r="H27" s="6">
        <v>44941</v>
      </c>
      <c r="I27" s="5">
        <v>6.9</v>
      </c>
      <c r="J27" s="5">
        <v>92.4</v>
      </c>
      <c r="K27" s="5">
        <v>8.6999999999999993</v>
      </c>
      <c r="L27" s="5">
        <v>62.1</v>
      </c>
      <c r="M27" s="5">
        <v>74.099999999999994</v>
      </c>
    </row>
    <row r="28" spans="1:13" x14ac:dyDescent="0.3">
      <c r="A28" s="5">
        <v>546</v>
      </c>
      <c r="B28" s="5" t="s">
        <v>44</v>
      </c>
      <c r="C28" s="5" t="s">
        <v>36</v>
      </c>
      <c r="D28" s="5" t="s">
        <v>37</v>
      </c>
      <c r="E28" s="5" t="s">
        <v>40</v>
      </c>
      <c r="F28" s="5" t="s">
        <v>37</v>
      </c>
      <c r="G28" s="5" t="s">
        <v>38</v>
      </c>
      <c r="H28" s="6">
        <v>45044</v>
      </c>
      <c r="I28" s="5">
        <v>4.8</v>
      </c>
      <c r="J28" s="5">
        <v>97.2</v>
      </c>
      <c r="K28" s="5">
        <v>6</v>
      </c>
      <c r="L28" s="5">
        <v>87.8</v>
      </c>
      <c r="M28" s="5">
        <v>94.5</v>
      </c>
    </row>
    <row r="29" spans="1:13" x14ac:dyDescent="0.3">
      <c r="A29" s="5">
        <v>662</v>
      </c>
      <c r="B29" s="5" t="s">
        <v>44</v>
      </c>
      <c r="C29" s="5" t="s">
        <v>45</v>
      </c>
      <c r="D29" s="5" t="s">
        <v>37</v>
      </c>
      <c r="E29" s="5" t="s">
        <v>37</v>
      </c>
      <c r="F29" s="5" t="s">
        <v>40</v>
      </c>
      <c r="G29" s="5" t="s">
        <v>43</v>
      </c>
      <c r="H29" s="6">
        <v>45380</v>
      </c>
      <c r="I29" s="5">
        <v>5</v>
      </c>
      <c r="J29" s="5">
        <v>73.400000000000006</v>
      </c>
      <c r="K29" s="5">
        <v>7.9</v>
      </c>
      <c r="L29" s="5">
        <v>58.1</v>
      </c>
      <c r="M29" s="5">
        <v>72.099999999999994</v>
      </c>
    </row>
    <row r="30" spans="1:13" x14ac:dyDescent="0.3">
      <c r="A30" s="5">
        <v>418</v>
      </c>
      <c r="B30" s="5" t="s">
        <v>44</v>
      </c>
      <c r="C30" s="5" t="s">
        <v>45</v>
      </c>
      <c r="D30" s="5" t="s">
        <v>37</v>
      </c>
      <c r="E30" s="5" t="s">
        <v>40</v>
      </c>
      <c r="F30" s="5" t="s">
        <v>37</v>
      </c>
      <c r="G30" s="5" t="s">
        <v>41</v>
      </c>
      <c r="H30" s="6">
        <v>45301</v>
      </c>
      <c r="I30" s="5">
        <v>1.1000000000000001</v>
      </c>
      <c r="J30" s="5">
        <v>73.7</v>
      </c>
      <c r="K30" s="5">
        <v>4.3</v>
      </c>
      <c r="L30" s="5">
        <v>74.7</v>
      </c>
      <c r="M30" s="5">
        <v>58.9</v>
      </c>
    </row>
    <row r="31" spans="1:13" x14ac:dyDescent="0.3">
      <c r="A31" s="5">
        <v>463</v>
      </c>
      <c r="B31" s="5" t="s">
        <v>35</v>
      </c>
      <c r="C31" s="5" t="s">
        <v>42</v>
      </c>
      <c r="D31" s="5" t="s">
        <v>37</v>
      </c>
      <c r="E31" s="5" t="s">
        <v>37</v>
      </c>
      <c r="F31" s="5" t="s">
        <v>37</v>
      </c>
      <c r="G31" s="5" t="s">
        <v>47</v>
      </c>
      <c r="H31" s="6">
        <v>45653</v>
      </c>
      <c r="I31" s="5">
        <v>4</v>
      </c>
      <c r="J31" s="5">
        <v>81.099999999999994</v>
      </c>
      <c r="K31" s="5">
        <v>8.8000000000000007</v>
      </c>
      <c r="L31" s="5">
        <v>82.3</v>
      </c>
      <c r="M31" s="5">
        <v>81.599999999999994</v>
      </c>
    </row>
    <row r="32" spans="1:13" x14ac:dyDescent="0.3">
      <c r="A32" s="5">
        <v>222</v>
      </c>
      <c r="B32" s="5" t="s">
        <v>35</v>
      </c>
      <c r="C32" s="5" t="s">
        <v>45</v>
      </c>
      <c r="D32" s="5" t="s">
        <v>37</v>
      </c>
      <c r="E32" s="5" t="s">
        <v>40</v>
      </c>
      <c r="F32" s="5" t="s">
        <v>40</v>
      </c>
      <c r="G32" s="5" t="s">
        <v>41</v>
      </c>
      <c r="H32" s="6">
        <v>45171</v>
      </c>
      <c r="I32" s="5">
        <v>1</v>
      </c>
      <c r="J32" s="5">
        <v>81.599999999999994</v>
      </c>
      <c r="K32" s="5">
        <v>7.8</v>
      </c>
      <c r="L32" s="5">
        <v>66.2</v>
      </c>
      <c r="M32" s="5">
        <v>57.5</v>
      </c>
    </row>
    <row r="33" spans="1:13" x14ac:dyDescent="0.3">
      <c r="A33" s="5">
        <v>172</v>
      </c>
      <c r="B33" s="5" t="s">
        <v>44</v>
      </c>
      <c r="C33" s="5" t="s">
        <v>45</v>
      </c>
      <c r="D33" s="5" t="s">
        <v>37</v>
      </c>
      <c r="E33" s="5" t="s">
        <v>40</v>
      </c>
      <c r="F33" s="5" t="s">
        <v>37</v>
      </c>
      <c r="G33" s="5" t="s">
        <v>41</v>
      </c>
      <c r="H33" s="6">
        <v>45475</v>
      </c>
      <c r="I33" s="5">
        <v>1.6</v>
      </c>
      <c r="J33" s="5">
        <v>81.400000000000006</v>
      </c>
      <c r="K33" s="5">
        <v>6.7</v>
      </c>
      <c r="L33" s="5">
        <v>51.4</v>
      </c>
      <c r="M33" s="5">
        <v>57.9</v>
      </c>
    </row>
    <row r="34" spans="1:13" x14ac:dyDescent="0.3">
      <c r="A34" s="5">
        <v>813</v>
      </c>
      <c r="B34" s="5" t="s">
        <v>44</v>
      </c>
      <c r="C34" s="5" t="s">
        <v>39</v>
      </c>
      <c r="D34" s="5" t="s">
        <v>37</v>
      </c>
      <c r="E34" s="5" t="s">
        <v>37</v>
      </c>
      <c r="F34" s="5" t="s">
        <v>37</v>
      </c>
      <c r="G34" s="5" t="s">
        <v>43</v>
      </c>
      <c r="H34" s="6">
        <v>45573</v>
      </c>
      <c r="I34" s="5">
        <v>3.3</v>
      </c>
      <c r="J34" s="5">
        <v>74.7</v>
      </c>
      <c r="K34" s="5">
        <v>6.1</v>
      </c>
      <c r="L34" s="5">
        <v>74.5</v>
      </c>
      <c r="M34" s="5">
        <v>73.099999999999994</v>
      </c>
    </row>
    <row r="35" spans="1:13" x14ac:dyDescent="0.3">
      <c r="A35" s="5">
        <v>423</v>
      </c>
      <c r="B35" s="5" t="s">
        <v>44</v>
      </c>
      <c r="C35" s="5" t="s">
        <v>36</v>
      </c>
      <c r="D35" s="5" t="s">
        <v>37</v>
      </c>
      <c r="E35" s="5" t="s">
        <v>40</v>
      </c>
      <c r="F35" s="5" t="s">
        <v>40</v>
      </c>
      <c r="G35" s="5" t="s">
        <v>43</v>
      </c>
      <c r="H35" s="6">
        <v>45027</v>
      </c>
      <c r="I35" s="5">
        <v>4.5999999999999996</v>
      </c>
      <c r="J35" s="5">
        <v>97.7</v>
      </c>
      <c r="K35" s="5">
        <v>8</v>
      </c>
      <c r="L35" s="5">
        <v>67</v>
      </c>
      <c r="M35" s="5">
        <v>78.5</v>
      </c>
    </row>
    <row r="36" spans="1:13" x14ac:dyDescent="0.3">
      <c r="A36" s="5">
        <v>291</v>
      </c>
      <c r="B36" s="5" t="s">
        <v>44</v>
      </c>
      <c r="C36" s="5" t="s">
        <v>36</v>
      </c>
      <c r="D36" s="5" t="s">
        <v>40</v>
      </c>
      <c r="E36" s="5" t="s">
        <v>40</v>
      </c>
      <c r="F36" s="5" t="s">
        <v>40</v>
      </c>
      <c r="G36" s="5" t="s">
        <v>43</v>
      </c>
      <c r="H36" s="6">
        <v>45527</v>
      </c>
      <c r="I36" s="5">
        <v>2.2999999999999998</v>
      </c>
      <c r="J36" s="5">
        <v>82.3</v>
      </c>
      <c r="K36" s="5">
        <v>5</v>
      </c>
      <c r="L36" s="5">
        <v>87.6</v>
      </c>
      <c r="M36" s="5">
        <v>79.599999999999994</v>
      </c>
    </row>
    <row r="37" spans="1:13" x14ac:dyDescent="0.3">
      <c r="A37" s="5">
        <v>749</v>
      </c>
      <c r="B37" s="5" t="s">
        <v>44</v>
      </c>
      <c r="C37" s="5" t="s">
        <v>36</v>
      </c>
      <c r="D37" s="5" t="s">
        <v>40</v>
      </c>
      <c r="E37" s="5" t="s">
        <v>37</v>
      </c>
      <c r="F37" s="5" t="s">
        <v>37</v>
      </c>
      <c r="G37" s="5" t="s">
        <v>46</v>
      </c>
      <c r="H37" s="6"/>
      <c r="I37" s="5">
        <v>0.6</v>
      </c>
      <c r="J37" s="5">
        <v>74.5</v>
      </c>
      <c r="K37" s="5">
        <v>7.9</v>
      </c>
      <c r="L37" s="5">
        <v>82.9</v>
      </c>
      <c r="M37" s="5">
        <v>66.400000000000006</v>
      </c>
    </row>
    <row r="38" spans="1:13" x14ac:dyDescent="0.3">
      <c r="A38" s="5">
        <v>249</v>
      </c>
      <c r="B38" s="5" t="s">
        <v>44</v>
      </c>
      <c r="C38" s="5" t="s">
        <v>39</v>
      </c>
      <c r="D38" s="5" t="s">
        <v>37</v>
      </c>
      <c r="E38" s="5" t="s">
        <v>37</v>
      </c>
      <c r="F38" s="5" t="s">
        <v>37</v>
      </c>
      <c r="G38" s="5" t="s">
        <v>41</v>
      </c>
      <c r="H38" s="6">
        <v>45143</v>
      </c>
      <c r="I38" s="5">
        <v>1.4</v>
      </c>
      <c r="J38" s="5">
        <v>76.2</v>
      </c>
      <c r="K38" s="5">
        <v>5.8</v>
      </c>
      <c r="L38" s="5">
        <v>67</v>
      </c>
      <c r="M38" s="5">
        <v>57.2</v>
      </c>
    </row>
    <row r="39" spans="1:13" x14ac:dyDescent="0.3">
      <c r="A39" s="5">
        <v>638</v>
      </c>
      <c r="B39" s="5" t="s">
        <v>35</v>
      </c>
      <c r="C39" s="5"/>
      <c r="D39" s="5" t="s">
        <v>40</v>
      </c>
      <c r="E39" s="5" t="s">
        <v>37</v>
      </c>
      <c r="F39" s="5" t="s">
        <v>37</v>
      </c>
      <c r="G39" s="5" t="s">
        <v>43</v>
      </c>
      <c r="H39" s="6">
        <v>44953</v>
      </c>
      <c r="I39" s="5">
        <v>1.7</v>
      </c>
      <c r="J39" s="5">
        <v>82.2</v>
      </c>
      <c r="K39" s="5">
        <v>8.8000000000000007</v>
      </c>
      <c r="L39" s="5">
        <v>80.599999999999994</v>
      </c>
      <c r="M39" s="5">
        <v>78.2</v>
      </c>
    </row>
    <row r="40" spans="1:13" x14ac:dyDescent="0.3">
      <c r="A40" s="5">
        <v>784</v>
      </c>
      <c r="B40" s="5" t="s">
        <v>44</v>
      </c>
      <c r="C40" s="5" t="s">
        <v>45</v>
      </c>
      <c r="D40" s="5" t="s">
        <v>37</v>
      </c>
      <c r="E40" s="5" t="s">
        <v>37</v>
      </c>
      <c r="F40" s="5" t="s">
        <v>40</v>
      </c>
      <c r="G40" s="5" t="s">
        <v>47</v>
      </c>
      <c r="H40" s="6">
        <v>45443</v>
      </c>
      <c r="I40" s="5">
        <v>5.8</v>
      </c>
      <c r="J40" s="5">
        <v>90.2</v>
      </c>
      <c r="K40" s="5">
        <v>8.6999999999999993</v>
      </c>
      <c r="L40" s="5">
        <v>48</v>
      </c>
      <c r="M40" s="5">
        <v>83.4</v>
      </c>
    </row>
    <row r="41" spans="1:13" x14ac:dyDescent="0.3">
      <c r="A41" s="5">
        <v>477</v>
      </c>
      <c r="B41" s="5" t="s">
        <v>35</v>
      </c>
      <c r="C41" s="5" t="s">
        <v>42</v>
      </c>
      <c r="D41" s="5" t="s">
        <v>37</v>
      </c>
      <c r="E41" s="5" t="s">
        <v>40</v>
      </c>
      <c r="F41" s="5" t="s">
        <v>40</v>
      </c>
      <c r="G41" s="5" t="s">
        <v>47</v>
      </c>
      <c r="H41" s="6">
        <v>45316</v>
      </c>
      <c r="I41" s="5">
        <v>5.8</v>
      </c>
      <c r="J41" s="5">
        <v>79.099999999999994</v>
      </c>
      <c r="K41" s="5">
        <v>6.2</v>
      </c>
      <c r="L41" s="5">
        <v>66.75</v>
      </c>
      <c r="M41" s="5">
        <v>83.7</v>
      </c>
    </row>
    <row r="42" spans="1:13" x14ac:dyDescent="0.3">
      <c r="A42" s="5">
        <v>802</v>
      </c>
      <c r="B42" s="5" t="s">
        <v>44</v>
      </c>
      <c r="C42" s="5" t="s">
        <v>45</v>
      </c>
      <c r="D42" s="5" t="s">
        <v>37</v>
      </c>
      <c r="E42" s="5" t="s">
        <v>40</v>
      </c>
      <c r="F42" s="5" t="s">
        <v>37</v>
      </c>
      <c r="G42" s="5" t="s">
        <v>46</v>
      </c>
      <c r="H42" s="6">
        <v>45070</v>
      </c>
      <c r="I42" s="5">
        <v>1.7</v>
      </c>
      <c r="J42" s="5">
        <v>99.6</v>
      </c>
      <c r="K42" s="5">
        <v>5.5</v>
      </c>
      <c r="L42" s="5">
        <v>71.400000000000006</v>
      </c>
      <c r="M42" s="5">
        <v>65.099999999999994</v>
      </c>
    </row>
    <row r="43" spans="1:13" x14ac:dyDescent="0.3">
      <c r="A43" s="5">
        <v>397</v>
      </c>
      <c r="B43" s="5" t="s">
        <v>44</v>
      </c>
      <c r="C43" s="5" t="s">
        <v>36</v>
      </c>
      <c r="D43" s="5" t="s">
        <v>37</v>
      </c>
      <c r="E43" s="5" t="s">
        <v>40</v>
      </c>
      <c r="F43" s="5" t="s">
        <v>40</v>
      </c>
      <c r="G43" s="5" t="s">
        <v>46</v>
      </c>
      <c r="H43" s="6">
        <v>45209</v>
      </c>
      <c r="I43" s="5">
        <v>1.4</v>
      </c>
      <c r="J43" s="5">
        <v>75.7</v>
      </c>
      <c r="K43" s="5">
        <v>6.7</v>
      </c>
      <c r="L43" s="5">
        <v>50.4</v>
      </c>
      <c r="M43" s="5">
        <v>61.3</v>
      </c>
    </row>
    <row r="44" spans="1:13" x14ac:dyDescent="0.3">
      <c r="A44" s="5">
        <v>774</v>
      </c>
      <c r="B44" s="5" t="s">
        <v>44</v>
      </c>
      <c r="C44" s="5" t="s">
        <v>42</v>
      </c>
      <c r="D44" s="5" t="s">
        <v>37</v>
      </c>
      <c r="E44" s="5" t="s">
        <v>37</v>
      </c>
      <c r="F44" s="5" t="s">
        <v>40</v>
      </c>
      <c r="G44" s="5" t="s">
        <v>46</v>
      </c>
      <c r="H44" s="6">
        <v>45441</v>
      </c>
      <c r="I44" s="5">
        <v>0.7</v>
      </c>
      <c r="J44" s="5">
        <v>83.5</v>
      </c>
      <c r="K44" s="5">
        <v>5</v>
      </c>
      <c r="L44" s="5">
        <v>92.9</v>
      </c>
      <c r="M44" s="5">
        <v>66.7</v>
      </c>
    </row>
    <row r="45" spans="1:13" x14ac:dyDescent="0.3">
      <c r="A45" s="5">
        <v>338</v>
      </c>
      <c r="B45" s="5" t="s">
        <v>35</v>
      </c>
      <c r="C45" s="5"/>
      <c r="D45" s="5"/>
      <c r="E45" s="5" t="s">
        <v>40</v>
      </c>
      <c r="F45" s="5" t="s">
        <v>40</v>
      </c>
      <c r="G45" s="5" t="s">
        <v>46</v>
      </c>
      <c r="H45" s="6">
        <v>45485</v>
      </c>
      <c r="I45" s="5">
        <v>1.7</v>
      </c>
      <c r="J45" s="5">
        <v>87.2</v>
      </c>
      <c r="K45" s="5">
        <v>6.5</v>
      </c>
      <c r="L45" s="5">
        <v>80</v>
      </c>
      <c r="M45" s="5">
        <v>61.2</v>
      </c>
    </row>
    <row r="46" spans="1:13" x14ac:dyDescent="0.3">
      <c r="A46" s="5">
        <v>224</v>
      </c>
      <c r="B46" s="5" t="s">
        <v>44</v>
      </c>
      <c r="C46" s="5"/>
      <c r="D46" s="5" t="s">
        <v>37</v>
      </c>
      <c r="E46" s="5" t="s">
        <v>40</v>
      </c>
      <c r="F46" s="5" t="s">
        <v>37</v>
      </c>
      <c r="G46" s="5" t="s">
        <v>46</v>
      </c>
      <c r="H46" s="6">
        <v>45307</v>
      </c>
      <c r="I46" s="5">
        <v>2.4</v>
      </c>
      <c r="J46" s="5">
        <v>69.900000000000006</v>
      </c>
      <c r="K46" s="5">
        <v>6.2</v>
      </c>
      <c r="L46" s="5">
        <v>67</v>
      </c>
      <c r="M46" s="5">
        <v>63.8</v>
      </c>
    </row>
    <row r="47" spans="1:13" x14ac:dyDescent="0.3">
      <c r="A47" s="5">
        <v>771</v>
      </c>
      <c r="B47" s="5" t="s">
        <v>35</v>
      </c>
      <c r="C47" s="5" t="s">
        <v>36</v>
      </c>
      <c r="D47" s="5" t="s">
        <v>40</v>
      </c>
      <c r="E47" s="5" t="s">
        <v>37</v>
      </c>
      <c r="F47" s="5" t="s">
        <v>40</v>
      </c>
      <c r="G47" s="5" t="s">
        <v>38</v>
      </c>
      <c r="H47" s="6">
        <v>45014</v>
      </c>
      <c r="I47" s="5">
        <v>5.0999999999999996</v>
      </c>
      <c r="J47" s="5">
        <v>96.2</v>
      </c>
      <c r="K47" s="5">
        <v>7</v>
      </c>
      <c r="L47" s="5">
        <v>78</v>
      </c>
      <c r="M47" s="5">
        <v>97.5</v>
      </c>
    </row>
    <row r="48" spans="1:13" x14ac:dyDescent="0.3">
      <c r="A48" s="5">
        <v>128</v>
      </c>
      <c r="B48" s="5" t="s">
        <v>44</v>
      </c>
      <c r="C48" s="5" t="s">
        <v>36</v>
      </c>
      <c r="D48" s="5" t="s">
        <v>37</v>
      </c>
      <c r="E48" s="5" t="s">
        <v>40</v>
      </c>
      <c r="F48" s="5" t="s">
        <v>37</v>
      </c>
      <c r="G48" s="5" t="s">
        <v>47</v>
      </c>
      <c r="H48" s="6">
        <v>45568</v>
      </c>
      <c r="I48" s="5">
        <v>5.7</v>
      </c>
      <c r="J48" s="5">
        <v>82.2</v>
      </c>
      <c r="K48" s="5">
        <v>8.5</v>
      </c>
      <c r="L48" s="5">
        <v>44.2</v>
      </c>
      <c r="M48" s="5">
        <v>80.8</v>
      </c>
    </row>
    <row r="49" spans="1:13" x14ac:dyDescent="0.3">
      <c r="A49" s="5">
        <v>53</v>
      </c>
      <c r="B49" s="5" t="s">
        <v>35</v>
      </c>
      <c r="C49" s="5" t="s">
        <v>42</v>
      </c>
      <c r="D49" s="5" t="s">
        <v>37</v>
      </c>
      <c r="E49" s="5" t="s">
        <v>37</v>
      </c>
      <c r="F49" s="5" t="s">
        <v>40</v>
      </c>
      <c r="G49" s="5" t="s">
        <v>46</v>
      </c>
      <c r="H49" s="6"/>
      <c r="I49" s="5">
        <v>3.6</v>
      </c>
      <c r="J49" s="5">
        <v>69.2</v>
      </c>
      <c r="K49" s="5">
        <v>4.7</v>
      </c>
      <c r="L49" s="5">
        <v>66.75</v>
      </c>
      <c r="M49" s="5">
        <v>67.8</v>
      </c>
    </row>
    <row r="50" spans="1:13" x14ac:dyDescent="0.3">
      <c r="A50" s="5">
        <v>592</v>
      </c>
      <c r="B50" s="5" t="s">
        <v>44</v>
      </c>
      <c r="C50" s="5" t="s">
        <v>36</v>
      </c>
      <c r="D50" s="5" t="s">
        <v>37</v>
      </c>
      <c r="E50" s="5" t="s">
        <v>37</v>
      </c>
      <c r="F50" s="5" t="s">
        <v>40</v>
      </c>
      <c r="G50" s="5" t="s">
        <v>43</v>
      </c>
      <c r="H50" s="6">
        <v>45434</v>
      </c>
      <c r="I50" s="5">
        <v>2.1</v>
      </c>
      <c r="J50" s="5">
        <v>70.599999999999994</v>
      </c>
      <c r="K50" s="5">
        <v>6.7</v>
      </c>
      <c r="L50" s="5">
        <v>84.8</v>
      </c>
      <c r="M50" s="5">
        <v>71.599999999999994</v>
      </c>
    </row>
    <row r="51" spans="1:13" x14ac:dyDescent="0.3">
      <c r="A51" s="5">
        <v>351</v>
      </c>
      <c r="B51" s="5" t="s">
        <v>44</v>
      </c>
      <c r="C51" s="5"/>
      <c r="D51" s="5" t="s">
        <v>40</v>
      </c>
      <c r="E51" s="5" t="s">
        <v>37</v>
      </c>
      <c r="F51" s="5" t="s">
        <v>37</v>
      </c>
      <c r="G51" s="5" t="s">
        <v>43</v>
      </c>
      <c r="H51" s="6">
        <v>45630</v>
      </c>
      <c r="I51" s="5">
        <v>0.9</v>
      </c>
      <c r="J51" s="5">
        <v>97.1</v>
      </c>
      <c r="K51" s="5">
        <v>5.6</v>
      </c>
      <c r="L51" s="5">
        <v>77.900000000000006</v>
      </c>
      <c r="M51" s="5">
        <v>74.2</v>
      </c>
    </row>
    <row r="52" spans="1:13" x14ac:dyDescent="0.3">
      <c r="A52" s="5">
        <v>745</v>
      </c>
      <c r="B52" s="5" t="s">
        <v>44</v>
      </c>
      <c r="C52" s="5" t="s">
        <v>36</v>
      </c>
      <c r="D52" s="5" t="s">
        <v>37</v>
      </c>
      <c r="E52" s="5" t="s">
        <v>40</v>
      </c>
      <c r="F52" s="5" t="s">
        <v>40</v>
      </c>
      <c r="G52" s="5" t="s">
        <v>43</v>
      </c>
      <c r="H52" s="6">
        <v>45383</v>
      </c>
      <c r="I52" s="5">
        <v>4.5999999999999996</v>
      </c>
      <c r="J52" s="5">
        <v>94.4</v>
      </c>
      <c r="K52" s="5">
        <v>7.7</v>
      </c>
      <c r="L52" s="5">
        <v>58.6</v>
      </c>
      <c r="M52" s="5">
        <v>79.5</v>
      </c>
    </row>
    <row r="53" spans="1:13" x14ac:dyDescent="0.3">
      <c r="A53" s="5">
        <v>623</v>
      </c>
      <c r="B53" s="5" t="s">
        <v>35</v>
      </c>
      <c r="C53" s="5"/>
      <c r="D53" s="5" t="s">
        <v>37</v>
      </c>
      <c r="E53" s="5" t="s">
        <v>40</v>
      </c>
      <c r="F53" s="5" t="s">
        <v>40</v>
      </c>
      <c r="G53" s="5" t="s">
        <v>38</v>
      </c>
      <c r="H53" s="6"/>
      <c r="I53" s="5">
        <v>5.0999999999999996</v>
      </c>
      <c r="J53" s="5">
        <v>75</v>
      </c>
      <c r="K53" s="5">
        <v>7.3</v>
      </c>
      <c r="L53" s="5">
        <v>85.1</v>
      </c>
      <c r="M53" s="5">
        <v>97.5</v>
      </c>
    </row>
    <row r="54" spans="1:13" x14ac:dyDescent="0.3">
      <c r="A54" s="5">
        <v>76</v>
      </c>
      <c r="B54" s="5" t="s">
        <v>44</v>
      </c>
      <c r="C54" s="5" t="s">
        <v>42</v>
      </c>
      <c r="D54" s="5" t="s">
        <v>37</v>
      </c>
      <c r="E54" s="5" t="s">
        <v>40</v>
      </c>
      <c r="F54" s="5" t="s">
        <v>40</v>
      </c>
      <c r="G54" s="5" t="s">
        <v>46</v>
      </c>
      <c r="H54" s="6">
        <v>44939</v>
      </c>
      <c r="I54" s="5">
        <v>1.4</v>
      </c>
      <c r="J54" s="5">
        <v>77.8</v>
      </c>
      <c r="K54" s="5">
        <v>4.3</v>
      </c>
      <c r="L54" s="5">
        <v>73.099999999999994</v>
      </c>
      <c r="M54" s="5">
        <v>67.2</v>
      </c>
    </row>
    <row r="55" spans="1:13" x14ac:dyDescent="0.3">
      <c r="A55" s="5">
        <v>609</v>
      </c>
      <c r="B55" s="5" t="s">
        <v>44</v>
      </c>
      <c r="C55" s="5" t="s">
        <v>39</v>
      </c>
      <c r="D55" s="5" t="s">
        <v>37</v>
      </c>
      <c r="E55" s="5" t="s">
        <v>40</v>
      </c>
      <c r="F55" s="5" t="s">
        <v>37</v>
      </c>
      <c r="G55" s="5" t="s">
        <v>38</v>
      </c>
      <c r="H55" s="6">
        <v>45471</v>
      </c>
      <c r="I55" s="5">
        <v>6.4</v>
      </c>
      <c r="J55" s="5">
        <v>95.8</v>
      </c>
      <c r="K55" s="5">
        <v>4.7</v>
      </c>
      <c r="L55" s="5">
        <v>74.8</v>
      </c>
      <c r="M55" s="5">
        <v>100</v>
      </c>
    </row>
    <row r="56" spans="1:13" x14ac:dyDescent="0.3">
      <c r="A56" s="5">
        <v>721</v>
      </c>
      <c r="B56" s="5" t="s">
        <v>44</v>
      </c>
      <c r="C56" s="5" t="s">
        <v>42</v>
      </c>
      <c r="D56" s="5" t="s">
        <v>37</v>
      </c>
      <c r="E56" s="5" t="s">
        <v>37</v>
      </c>
      <c r="F56" s="5" t="s">
        <v>40</v>
      </c>
      <c r="G56" s="5" t="s">
        <v>43</v>
      </c>
      <c r="H56" s="6">
        <v>45349</v>
      </c>
      <c r="I56" s="5">
        <v>2.9</v>
      </c>
      <c r="J56" s="5">
        <v>85.5</v>
      </c>
      <c r="K56" s="5">
        <v>8.6</v>
      </c>
      <c r="L56" s="5">
        <v>81.400000000000006</v>
      </c>
      <c r="M56" s="5">
        <v>75.099999999999994</v>
      </c>
    </row>
    <row r="57" spans="1:13" x14ac:dyDescent="0.3">
      <c r="A57" s="5">
        <v>211</v>
      </c>
      <c r="B57" s="5" t="s">
        <v>44</v>
      </c>
      <c r="C57" s="5"/>
      <c r="D57" s="5" t="s">
        <v>37</v>
      </c>
      <c r="E57" s="5" t="s">
        <v>40</v>
      </c>
      <c r="F57" s="5" t="s">
        <v>37</v>
      </c>
      <c r="G57" s="5" t="s">
        <v>46</v>
      </c>
      <c r="H57" s="6">
        <v>44974</v>
      </c>
      <c r="I57" s="5">
        <v>2.6</v>
      </c>
      <c r="J57" s="5">
        <v>71.2</v>
      </c>
      <c r="K57" s="5">
        <v>7.3</v>
      </c>
      <c r="L57" s="5">
        <v>69.900000000000006</v>
      </c>
      <c r="M57" s="5">
        <v>67.599999999999994</v>
      </c>
    </row>
    <row r="58" spans="1:13" x14ac:dyDescent="0.3">
      <c r="A58" s="5">
        <v>210</v>
      </c>
      <c r="B58" s="5" t="s">
        <v>35</v>
      </c>
      <c r="C58" s="5" t="s">
        <v>45</v>
      </c>
      <c r="D58" s="5" t="s">
        <v>40</v>
      </c>
      <c r="E58" s="5" t="s">
        <v>40</v>
      </c>
      <c r="F58" s="5" t="s">
        <v>37</v>
      </c>
      <c r="G58" s="5" t="s">
        <v>46</v>
      </c>
      <c r="H58" s="6">
        <v>45252</v>
      </c>
      <c r="I58" s="5">
        <v>2.6</v>
      </c>
      <c r="J58" s="5">
        <v>69.5</v>
      </c>
      <c r="K58" s="5">
        <v>4.9000000000000004</v>
      </c>
      <c r="L58" s="5">
        <v>66.75</v>
      </c>
      <c r="M58" s="5">
        <v>60.4</v>
      </c>
    </row>
    <row r="59" spans="1:13" x14ac:dyDescent="0.3">
      <c r="A59" s="5">
        <v>704</v>
      </c>
      <c r="B59" s="5" t="s">
        <v>44</v>
      </c>
      <c r="C59" s="5" t="s">
        <v>45</v>
      </c>
      <c r="D59" s="5" t="s">
        <v>40</v>
      </c>
      <c r="E59" s="5" t="s">
        <v>40</v>
      </c>
      <c r="F59" s="5" t="s">
        <v>40</v>
      </c>
      <c r="G59" s="5" t="s">
        <v>38</v>
      </c>
      <c r="H59" s="6">
        <v>45429</v>
      </c>
      <c r="I59" s="5">
        <v>4.5999999999999996</v>
      </c>
      <c r="J59" s="5">
        <v>98.4</v>
      </c>
      <c r="K59" s="5">
        <v>7.6</v>
      </c>
      <c r="L59" s="5">
        <v>90.2</v>
      </c>
      <c r="M59" s="5">
        <v>91.2</v>
      </c>
    </row>
    <row r="60" spans="1:13" x14ac:dyDescent="0.3">
      <c r="A60" s="5">
        <v>134</v>
      </c>
      <c r="B60" s="5" t="s">
        <v>44</v>
      </c>
      <c r="C60" s="5" t="s">
        <v>42</v>
      </c>
      <c r="D60" s="5" t="s">
        <v>37</v>
      </c>
      <c r="E60" s="5" t="s">
        <v>40</v>
      </c>
      <c r="F60" s="5" t="s">
        <v>40</v>
      </c>
      <c r="G60" s="5" t="s">
        <v>43</v>
      </c>
      <c r="H60" s="6">
        <v>44963</v>
      </c>
      <c r="I60" s="5">
        <v>4.0999999999999996</v>
      </c>
      <c r="J60" s="5">
        <v>94</v>
      </c>
      <c r="K60" s="5">
        <v>7.6</v>
      </c>
      <c r="L60" s="5">
        <v>64.2</v>
      </c>
      <c r="M60" s="5">
        <v>78.900000000000006</v>
      </c>
    </row>
    <row r="61" spans="1:13" x14ac:dyDescent="0.3">
      <c r="A61" s="5">
        <v>727</v>
      </c>
      <c r="B61" s="5" t="s">
        <v>44</v>
      </c>
      <c r="C61" s="5" t="s">
        <v>45</v>
      </c>
      <c r="D61" s="5" t="s">
        <v>37</v>
      </c>
      <c r="E61" s="5" t="s">
        <v>37</v>
      </c>
      <c r="F61" s="5" t="s">
        <v>37</v>
      </c>
      <c r="G61" s="5" t="s">
        <v>38</v>
      </c>
      <c r="H61" s="6">
        <v>45550</v>
      </c>
      <c r="I61" s="5">
        <v>6</v>
      </c>
      <c r="J61" s="5">
        <v>67.7</v>
      </c>
      <c r="K61" s="5">
        <v>4.8</v>
      </c>
      <c r="L61" s="5">
        <v>87.5</v>
      </c>
      <c r="M61" s="5">
        <v>95.6</v>
      </c>
    </row>
    <row r="62" spans="1:13" x14ac:dyDescent="0.3">
      <c r="A62" s="5">
        <v>864</v>
      </c>
      <c r="B62" s="5" t="s">
        <v>35</v>
      </c>
      <c r="C62" s="5" t="s">
        <v>39</v>
      </c>
      <c r="D62" s="5"/>
      <c r="E62" s="5" t="s">
        <v>37</v>
      </c>
      <c r="F62" s="5" t="s">
        <v>40</v>
      </c>
      <c r="G62" s="5" t="s">
        <v>47</v>
      </c>
      <c r="H62" s="6">
        <v>45447</v>
      </c>
      <c r="I62" s="5">
        <v>5</v>
      </c>
      <c r="J62" s="5">
        <v>94.6</v>
      </c>
      <c r="K62" s="5">
        <v>6.7</v>
      </c>
      <c r="L62" s="5">
        <v>45.6</v>
      </c>
      <c r="M62" s="5">
        <v>80</v>
      </c>
    </row>
    <row r="63" spans="1:13" x14ac:dyDescent="0.3">
      <c r="A63" s="5">
        <v>1</v>
      </c>
      <c r="B63" s="5" t="s">
        <v>44</v>
      </c>
      <c r="C63" s="5" t="s">
        <v>36</v>
      </c>
      <c r="D63" s="5" t="s">
        <v>37</v>
      </c>
      <c r="E63" s="5" t="s">
        <v>40</v>
      </c>
      <c r="F63" s="5" t="s">
        <v>40</v>
      </c>
      <c r="G63" s="5" t="s">
        <v>47</v>
      </c>
      <c r="H63" s="6">
        <v>45639</v>
      </c>
      <c r="I63" s="5">
        <v>3.4</v>
      </c>
      <c r="J63" s="5">
        <v>95.1</v>
      </c>
      <c r="K63" s="5">
        <v>6.7</v>
      </c>
      <c r="L63" s="5">
        <v>82.2</v>
      </c>
      <c r="M63" s="5">
        <v>82.7</v>
      </c>
    </row>
    <row r="64" spans="1:13" x14ac:dyDescent="0.3">
      <c r="A64" s="5">
        <v>215</v>
      </c>
      <c r="B64" s="5" t="s">
        <v>44</v>
      </c>
      <c r="C64" s="5" t="s">
        <v>42</v>
      </c>
      <c r="D64" s="5" t="s">
        <v>37</v>
      </c>
      <c r="E64" s="5" t="s">
        <v>37</v>
      </c>
      <c r="F64" s="5" t="s">
        <v>37</v>
      </c>
      <c r="G64" s="5" t="s">
        <v>43</v>
      </c>
      <c r="H64" s="6">
        <v>45446</v>
      </c>
      <c r="I64" s="5">
        <v>4.7</v>
      </c>
      <c r="J64" s="5">
        <v>86.4</v>
      </c>
      <c r="K64" s="5">
        <v>7.9</v>
      </c>
      <c r="L64" s="5">
        <v>63.5</v>
      </c>
      <c r="M64" s="5">
        <v>74</v>
      </c>
    </row>
    <row r="65" spans="1:13" x14ac:dyDescent="0.3">
      <c r="A65" s="5">
        <v>730</v>
      </c>
      <c r="B65" s="5" t="s">
        <v>44</v>
      </c>
      <c r="C65" s="5" t="s">
        <v>39</v>
      </c>
      <c r="D65" s="5" t="s">
        <v>37</v>
      </c>
      <c r="E65" s="5" t="s">
        <v>37</v>
      </c>
      <c r="F65" s="5" t="s">
        <v>40</v>
      </c>
      <c r="G65" s="5" t="s">
        <v>47</v>
      </c>
      <c r="H65" s="6">
        <v>45056</v>
      </c>
      <c r="I65" s="5">
        <v>6.7</v>
      </c>
      <c r="J65" s="5">
        <v>93.7</v>
      </c>
      <c r="K65" s="5">
        <v>6.7</v>
      </c>
      <c r="L65" s="5">
        <v>50.4</v>
      </c>
      <c r="M65" s="5">
        <v>85</v>
      </c>
    </row>
    <row r="66" spans="1:13" x14ac:dyDescent="0.3">
      <c r="A66" s="5">
        <v>282</v>
      </c>
      <c r="B66" s="5" t="s">
        <v>35</v>
      </c>
      <c r="C66" s="5" t="s">
        <v>36</v>
      </c>
      <c r="D66" s="5" t="s">
        <v>37</v>
      </c>
      <c r="E66" s="5" t="s">
        <v>37</v>
      </c>
      <c r="F66" s="5" t="s">
        <v>37</v>
      </c>
      <c r="G66" s="5" t="s">
        <v>46</v>
      </c>
      <c r="H66" s="6">
        <v>45202</v>
      </c>
      <c r="I66" s="5">
        <v>0.6</v>
      </c>
      <c r="J66" s="5">
        <v>98.5</v>
      </c>
      <c r="K66" s="5">
        <v>6.9</v>
      </c>
      <c r="L66" s="5">
        <v>65.599999999999994</v>
      </c>
      <c r="M66" s="5">
        <v>64.7</v>
      </c>
    </row>
    <row r="67" spans="1:13" x14ac:dyDescent="0.3">
      <c r="A67" s="5">
        <v>922</v>
      </c>
      <c r="B67" s="5" t="s">
        <v>44</v>
      </c>
      <c r="C67" s="5" t="s">
        <v>36</v>
      </c>
      <c r="D67" s="5" t="s">
        <v>37</v>
      </c>
      <c r="E67" s="5" t="s">
        <v>37</v>
      </c>
      <c r="F67" s="5" t="s">
        <v>37</v>
      </c>
      <c r="G67" s="5" t="s">
        <v>46</v>
      </c>
      <c r="H67" s="6">
        <v>44949</v>
      </c>
      <c r="I67" s="5">
        <v>2.9</v>
      </c>
      <c r="J67" s="5">
        <v>99</v>
      </c>
      <c r="K67" s="5">
        <v>8.5</v>
      </c>
      <c r="L67" s="5">
        <v>47.3</v>
      </c>
      <c r="M67" s="5">
        <v>68.5</v>
      </c>
    </row>
    <row r="68" spans="1:13" x14ac:dyDescent="0.3">
      <c r="A68" s="5">
        <v>867</v>
      </c>
      <c r="B68" s="5" t="s">
        <v>35</v>
      </c>
      <c r="C68" s="5" t="s">
        <v>36</v>
      </c>
      <c r="D68" s="5" t="s">
        <v>37</v>
      </c>
      <c r="E68" s="5" t="s">
        <v>37</v>
      </c>
      <c r="F68" s="5" t="s">
        <v>40</v>
      </c>
      <c r="G68" s="5" t="s">
        <v>46</v>
      </c>
      <c r="H68" s="6">
        <v>45408</v>
      </c>
      <c r="I68" s="5">
        <v>2.1</v>
      </c>
      <c r="J68" s="5">
        <v>84.4</v>
      </c>
      <c r="K68" s="5">
        <v>5.6</v>
      </c>
      <c r="L68" s="5">
        <v>62.3</v>
      </c>
      <c r="M68" s="5">
        <v>61.3</v>
      </c>
    </row>
    <row r="69" spans="1:13" x14ac:dyDescent="0.3">
      <c r="A69" s="5">
        <v>181</v>
      </c>
      <c r="B69" s="5" t="s">
        <v>35</v>
      </c>
      <c r="C69" s="5"/>
      <c r="D69" s="5" t="s">
        <v>37</v>
      </c>
      <c r="E69" s="5" t="s">
        <v>37</v>
      </c>
      <c r="F69" s="5" t="s">
        <v>40</v>
      </c>
      <c r="G69" s="5" t="s">
        <v>46</v>
      </c>
      <c r="H69" s="6">
        <v>45069</v>
      </c>
      <c r="I69" s="5">
        <v>3.1</v>
      </c>
      <c r="J69" s="5">
        <v>91.1</v>
      </c>
      <c r="K69" s="5">
        <v>5.9</v>
      </c>
      <c r="L69" s="5">
        <v>63.8</v>
      </c>
      <c r="M69" s="5">
        <v>62.4</v>
      </c>
    </row>
    <row r="70" spans="1:13" x14ac:dyDescent="0.3">
      <c r="A70" s="5">
        <v>226</v>
      </c>
      <c r="B70" s="5" t="s">
        <v>35</v>
      </c>
      <c r="C70" s="5" t="s">
        <v>42</v>
      </c>
      <c r="D70" s="5" t="s">
        <v>37</v>
      </c>
      <c r="E70" s="5" t="s">
        <v>40</v>
      </c>
      <c r="F70" s="5" t="s">
        <v>37</v>
      </c>
      <c r="G70" s="5" t="s">
        <v>47</v>
      </c>
      <c r="H70" s="6">
        <v>45234</v>
      </c>
      <c r="I70" s="5">
        <v>4.4000000000000004</v>
      </c>
      <c r="J70" s="5">
        <v>65.8</v>
      </c>
      <c r="K70" s="5">
        <v>6.6</v>
      </c>
      <c r="L70" s="5">
        <v>82</v>
      </c>
      <c r="M70" s="5">
        <v>81.400000000000006</v>
      </c>
    </row>
    <row r="71" spans="1:13" x14ac:dyDescent="0.3">
      <c r="A71" s="5">
        <v>737</v>
      </c>
      <c r="B71" s="5" t="s">
        <v>35</v>
      </c>
      <c r="C71" s="5" t="s">
        <v>42</v>
      </c>
      <c r="D71" s="5" t="s">
        <v>37</v>
      </c>
      <c r="E71" s="5" t="s">
        <v>37</v>
      </c>
      <c r="F71" s="5" t="s">
        <v>37</v>
      </c>
      <c r="G71" s="5" t="s">
        <v>46</v>
      </c>
      <c r="H71" s="6">
        <v>44979</v>
      </c>
      <c r="I71" s="5">
        <v>1.8</v>
      </c>
      <c r="J71" s="5">
        <v>76.900000000000006</v>
      </c>
      <c r="K71" s="5">
        <v>7.1</v>
      </c>
      <c r="L71" s="5">
        <v>90</v>
      </c>
      <c r="M71" s="5">
        <v>69.099999999999994</v>
      </c>
    </row>
    <row r="72" spans="1:13" x14ac:dyDescent="0.3">
      <c r="A72" s="5">
        <v>531</v>
      </c>
      <c r="B72" s="5" t="s">
        <v>35</v>
      </c>
      <c r="C72" s="5" t="s">
        <v>39</v>
      </c>
      <c r="D72" s="5" t="s">
        <v>40</v>
      </c>
      <c r="E72" s="5" t="s">
        <v>37</v>
      </c>
      <c r="F72" s="5" t="s">
        <v>40</v>
      </c>
      <c r="G72" s="5" t="s">
        <v>47</v>
      </c>
      <c r="H72" s="6"/>
      <c r="I72" s="5">
        <v>6.5</v>
      </c>
      <c r="J72" s="5">
        <v>82.2</v>
      </c>
      <c r="K72" s="5">
        <v>8.8000000000000007</v>
      </c>
      <c r="L72" s="5">
        <v>43.2</v>
      </c>
      <c r="M72" s="5">
        <v>80.7</v>
      </c>
    </row>
    <row r="73" spans="1:13" x14ac:dyDescent="0.3">
      <c r="A73" s="5">
        <v>689</v>
      </c>
      <c r="B73" s="5" t="s">
        <v>44</v>
      </c>
      <c r="C73" s="5" t="s">
        <v>39</v>
      </c>
      <c r="D73" s="5" t="s">
        <v>37</v>
      </c>
      <c r="E73" s="5" t="s">
        <v>40</v>
      </c>
      <c r="F73" s="5" t="s">
        <v>37</v>
      </c>
      <c r="G73" s="5" t="s">
        <v>46</v>
      </c>
      <c r="H73" s="6">
        <v>45107</v>
      </c>
      <c r="I73" s="5">
        <v>0.7</v>
      </c>
      <c r="J73" s="5">
        <v>91.2</v>
      </c>
      <c r="K73" s="5">
        <v>5.9</v>
      </c>
      <c r="L73" s="5">
        <v>67</v>
      </c>
      <c r="M73" s="5">
        <v>65.5</v>
      </c>
    </row>
    <row r="74" spans="1:13" x14ac:dyDescent="0.3">
      <c r="A74" s="5">
        <v>706</v>
      </c>
      <c r="B74" s="5" t="s">
        <v>35</v>
      </c>
      <c r="C74" s="5" t="s">
        <v>42</v>
      </c>
      <c r="D74" s="5" t="s">
        <v>37</v>
      </c>
      <c r="E74" s="5" t="s">
        <v>37</v>
      </c>
      <c r="F74" s="5" t="s">
        <v>40</v>
      </c>
      <c r="G74" s="5" t="s">
        <v>46</v>
      </c>
      <c r="H74" s="6">
        <v>45077</v>
      </c>
      <c r="I74" s="5">
        <v>1.3</v>
      </c>
      <c r="J74" s="5">
        <v>95.4</v>
      </c>
      <c r="K74" s="5">
        <v>5.8</v>
      </c>
      <c r="L74" s="5">
        <v>66.75</v>
      </c>
      <c r="M74" s="5">
        <v>67.599999999999994</v>
      </c>
    </row>
    <row r="75" spans="1:13" x14ac:dyDescent="0.3">
      <c r="A75" s="5">
        <v>424</v>
      </c>
      <c r="B75" s="5" t="s">
        <v>44</v>
      </c>
      <c r="C75" s="5" t="s">
        <v>45</v>
      </c>
      <c r="D75" s="5" t="s">
        <v>37</v>
      </c>
      <c r="E75" s="5" t="s">
        <v>40</v>
      </c>
      <c r="F75" s="5" t="s">
        <v>40</v>
      </c>
      <c r="G75" s="5" t="s">
        <v>46</v>
      </c>
      <c r="H75" s="6">
        <v>45488</v>
      </c>
      <c r="I75" s="5">
        <v>3.3</v>
      </c>
      <c r="J75" s="5">
        <v>74.8</v>
      </c>
      <c r="K75" s="5">
        <v>7.4</v>
      </c>
      <c r="L75" s="5">
        <v>67.3</v>
      </c>
      <c r="M75" s="5">
        <v>69</v>
      </c>
    </row>
    <row r="76" spans="1:13" x14ac:dyDescent="0.3">
      <c r="A76" s="5">
        <v>232</v>
      </c>
      <c r="B76" s="5" t="s">
        <v>35</v>
      </c>
      <c r="C76" s="5" t="s">
        <v>36</v>
      </c>
      <c r="D76" s="5" t="s">
        <v>37</v>
      </c>
      <c r="E76" s="5" t="s">
        <v>37</v>
      </c>
      <c r="F76" s="5" t="s">
        <v>40</v>
      </c>
      <c r="G76" s="5" t="s">
        <v>41</v>
      </c>
      <c r="H76" s="6">
        <v>45181</v>
      </c>
      <c r="I76" s="5">
        <v>1.7</v>
      </c>
      <c r="J76" s="5">
        <v>82.2</v>
      </c>
      <c r="K76" s="5">
        <v>5.3</v>
      </c>
      <c r="L76" s="5">
        <v>63</v>
      </c>
      <c r="M76" s="5">
        <v>54.2</v>
      </c>
    </row>
    <row r="77" spans="1:13" x14ac:dyDescent="0.3">
      <c r="A77" s="5">
        <v>563</v>
      </c>
      <c r="B77" s="5" t="s">
        <v>44</v>
      </c>
      <c r="C77" s="5" t="s">
        <v>42</v>
      </c>
      <c r="D77" s="5" t="s">
        <v>37</v>
      </c>
      <c r="E77" s="5" t="s">
        <v>40</v>
      </c>
      <c r="F77" s="5" t="s">
        <v>37</v>
      </c>
      <c r="G77" s="5" t="s">
        <v>46</v>
      </c>
      <c r="H77" s="6">
        <v>45645</v>
      </c>
      <c r="I77" s="5">
        <v>2.4</v>
      </c>
      <c r="J77" s="5">
        <v>77</v>
      </c>
      <c r="K77" s="5">
        <v>6.3</v>
      </c>
      <c r="L77" s="5">
        <v>64.3</v>
      </c>
      <c r="M77" s="5">
        <v>65.599999999999994</v>
      </c>
    </row>
    <row r="78" spans="1:13" x14ac:dyDescent="0.3">
      <c r="A78" s="5">
        <v>684</v>
      </c>
      <c r="B78" s="5" t="s">
        <v>44</v>
      </c>
      <c r="C78" s="5" t="s">
        <v>39</v>
      </c>
      <c r="D78" s="5" t="s">
        <v>37</v>
      </c>
      <c r="E78" s="5" t="s">
        <v>37</v>
      </c>
      <c r="F78" s="5" t="s">
        <v>40</v>
      </c>
      <c r="G78" s="5" t="s">
        <v>43</v>
      </c>
      <c r="H78" s="6">
        <v>45436</v>
      </c>
      <c r="I78" s="5">
        <v>4.7</v>
      </c>
      <c r="J78" s="5">
        <v>86.1</v>
      </c>
      <c r="K78" s="5">
        <v>6.3</v>
      </c>
      <c r="L78" s="5">
        <v>60.5</v>
      </c>
      <c r="M78" s="5">
        <v>77</v>
      </c>
    </row>
    <row r="79" spans="1:13" x14ac:dyDescent="0.3">
      <c r="A79" s="5">
        <v>356</v>
      </c>
      <c r="B79" s="5" t="s">
        <v>44</v>
      </c>
      <c r="C79" s="5" t="s">
        <v>39</v>
      </c>
      <c r="D79" s="5" t="s">
        <v>37</v>
      </c>
      <c r="E79" s="5" t="s">
        <v>37</v>
      </c>
      <c r="F79" s="5" t="s">
        <v>37</v>
      </c>
      <c r="G79" s="5" t="s">
        <v>43</v>
      </c>
      <c r="H79" s="6">
        <v>44929</v>
      </c>
      <c r="I79" s="5">
        <v>6.5</v>
      </c>
      <c r="J79" s="5">
        <v>87.7</v>
      </c>
      <c r="K79" s="5">
        <v>8.6</v>
      </c>
      <c r="L79" s="5">
        <v>41.6</v>
      </c>
      <c r="M79" s="5">
        <v>76.2</v>
      </c>
    </row>
    <row r="80" spans="1:13" x14ac:dyDescent="0.3">
      <c r="A80" s="5">
        <v>447</v>
      </c>
      <c r="B80" s="5" t="s">
        <v>44</v>
      </c>
      <c r="C80" s="5" t="s">
        <v>45</v>
      </c>
      <c r="D80" s="5" t="s">
        <v>37</v>
      </c>
      <c r="E80" s="5" t="s">
        <v>40</v>
      </c>
      <c r="F80" s="5" t="s">
        <v>40</v>
      </c>
      <c r="G80" s="5" t="s">
        <v>38</v>
      </c>
      <c r="H80" s="6">
        <v>45277</v>
      </c>
      <c r="I80" s="5">
        <v>5.7</v>
      </c>
      <c r="J80" s="5">
        <v>98.1</v>
      </c>
      <c r="K80" s="5">
        <v>7.3</v>
      </c>
      <c r="L80" s="5">
        <v>65.7</v>
      </c>
      <c r="M80" s="5">
        <v>96.7</v>
      </c>
    </row>
    <row r="81" spans="1:13" x14ac:dyDescent="0.3">
      <c r="A81" s="5">
        <v>650</v>
      </c>
      <c r="B81" s="5" t="s">
        <v>35</v>
      </c>
      <c r="C81" s="5" t="s">
        <v>39</v>
      </c>
      <c r="D81" s="5" t="s">
        <v>37</v>
      </c>
      <c r="E81" s="5" t="s">
        <v>37</v>
      </c>
      <c r="F81" s="5" t="s">
        <v>37</v>
      </c>
      <c r="G81" s="5" t="s">
        <v>46</v>
      </c>
      <c r="H81" s="6">
        <v>45366</v>
      </c>
      <c r="I81" s="5">
        <v>4.3</v>
      </c>
      <c r="J81" s="5">
        <v>83</v>
      </c>
      <c r="K81" s="5">
        <v>6.8</v>
      </c>
      <c r="L81" s="5">
        <v>73.8</v>
      </c>
      <c r="M81" s="5">
        <v>69.3</v>
      </c>
    </row>
    <row r="82" spans="1:13" x14ac:dyDescent="0.3">
      <c r="A82" s="5">
        <v>298</v>
      </c>
      <c r="B82" s="5" t="s">
        <v>44</v>
      </c>
      <c r="C82" s="5" t="s">
        <v>42</v>
      </c>
      <c r="D82" s="5" t="s">
        <v>37</v>
      </c>
      <c r="E82" s="5" t="s">
        <v>40</v>
      </c>
      <c r="F82" s="5" t="s">
        <v>37</v>
      </c>
      <c r="G82" s="5" t="s">
        <v>47</v>
      </c>
      <c r="H82" s="6">
        <v>45550</v>
      </c>
      <c r="I82" s="5">
        <v>5.8</v>
      </c>
      <c r="J82" s="5">
        <v>91.1</v>
      </c>
      <c r="K82" s="5">
        <v>5.7</v>
      </c>
      <c r="L82" s="5">
        <v>70</v>
      </c>
      <c r="M82" s="5">
        <v>83.8</v>
      </c>
    </row>
    <row r="83" spans="1:13" x14ac:dyDescent="0.3">
      <c r="A83" s="5">
        <v>550</v>
      </c>
      <c r="B83" s="5" t="s">
        <v>35</v>
      </c>
      <c r="C83" s="5" t="s">
        <v>45</v>
      </c>
      <c r="D83" s="5" t="s">
        <v>40</v>
      </c>
      <c r="E83" s="5" t="s">
        <v>40</v>
      </c>
      <c r="F83" s="5" t="s">
        <v>37</v>
      </c>
      <c r="G83" s="5" t="s">
        <v>47</v>
      </c>
      <c r="H83" s="6">
        <v>45104</v>
      </c>
      <c r="I83" s="5">
        <v>6.9</v>
      </c>
      <c r="J83" s="5">
        <v>73</v>
      </c>
      <c r="K83" s="5">
        <v>5.2</v>
      </c>
      <c r="L83" s="5">
        <v>77.900000000000006</v>
      </c>
      <c r="M83" s="5">
        <v>89.4</v>
      </c>
    </row>
    <row r="84" spans="1:13" x14ac:dyDescent="0.3">
      <c r="A84" s="5">
        <v>261</v>
      </c>
      <c r="B84" s="5" t="s">
        <v>35</v>
      </c>
      <c r="C84" s="5" t="s">
        <v>45</v>
      </c>
      <c r="D84" s="5" t="s">
        <v>37</v>
      </c>
      <c r="E84" s="5" t="s">
        <v>37</v>
      </c>
      <c r="F84" s="5" t="s">
        <v>37</v>
      </c>
      <c r="G84" s="5" t="s">
        <v>46</v>
      </c>
      <c r="H84" s="6">
        <v>45080</v>
      </c>
      <c r="I84" s="5">
        <v>5.2</v>
      </c>
      <c r="J84" s="5">
        <v>67.3</v>
      </c>
      <c r="K84" s="5">
        <v>8.3000000000000007</v>
      </c>
      <c r="L84" s="5">
        <v>38.4</v>
      </c>
      <c r="M84" s="5">
        <v>64.900000000000006</v>
      </c>
    </row>
    <row r="85" spans="1:13" x14ac:dyDescent="0.3">
      <c r="A85" s="5">
        <v>385</v>
      </c>
      <c r="B85" s="5" t="s">
        <v>44</v>
      </c>
      <c r="C85" s="5"/>
      <c r="D85" s="5" t="s">
        <v>37</v>
      </c>
      <c r="E85" s="5" t="s">
        <v>37</v>
      </c>
      <c r="F85" s="5" t="s">
        <v>37</v>
      </c>
      <c r="G85" s="5" t="s">
        <v>43</v>
      </c>
      <c r="H85" s="6">
        <v>45146</v>
      </c>
      <c r="I85" s="5">
        <v>2.4</v>
      </c>
      <c r="J85" s="5">
        <v>91.3</v>
      </c>
      <c r="K85" s="5">
        <v>8</v>
      </c>
      <c r="L85" s="5">
        <v>93</v>
      </c>
      <c r="M85" s="5">
        <v>77.400000000000006</v>
      </c>
    </row>
    <row r="86" spans="1:13" x14ac:dyDescent="0.3">
      <c r="A86" s="5">
        <v>258</v>
      </c>
      <c r="B86" s="5" t="s">
        <v>44</v>
      </c>
      <c r="C86" s="5"/>
      <c r="D86" s="5" t="s">
        <v>37</v>
      </c>
      <c r="E86" s="5" t="s">
        <v>40</v>
      </c>
      <c r="F86" s="5" t="s">
        <v>40</v>
      </c>
      <c r="G86" s="5" t="s">
        <v>43</v>
      </c>
      <c r="H86" s="6">
        <v>44975</v>
      </c>
      <c r="I86" s="5">
        <v>5.5</v>
      </c>
      <c r="J86" s="5">
        <v>82.4</v>
      </c>
      <c r="K86" s="5">
        <v>8.6</v>
      </c>
      <c r="L86" s="5">
        <v>39.799999999999997</v>
      </c>
      <c r="M86" s="5">
        <v>77.2</v>
      </c>
    </row>
    <row r="87" spans="1:13" x14ac:dyDescent="0.3">
      <c r="A87" s="5">
        <v>499</v>
      </c>
      <c r="B87" s="5" t="s">
        <v>44</v>
      </c>
      <c r="C87" s="5" t="s">
        <v>45</v>
      </c>
      <c r="D87" s="5" t="s">
        <v>37</v>
      </c>
      <c r="E87" s="5" t="s">
        <v>37</v>
      </c>
      <c r="F87" s="5" t="s">
        <v>40</v>
      </c>
      <c r="G87" s="5" t="s">
        <v>46</v>
      </c>
      <c r="H87" s="6">
        <v>45287</v>
      </c>
      <c r="I87" s="5">
        <v>1.2</v>
      </c>
      <c r="J87" s="5">
        <v>74.5</v>
      </c>
      <c r="K87" s="5">
        <v>5.8</v>
      </c>
      <c r="L87" s="5">
        <v>81.2</v>
      </c>
      <c r="M87" s="5">
        <v>64.400000000000006</v>
      </c>
    </row>
    <row r="88" spans="1:13" x14ac:dyDescent="0.3">
      <c r="A88" s="5">
        <v>257</v>
      </c>
      <c r="B88" s="5" t="s">
        <v>35</v>
      </c>
      <c r="C88" s="5" t="s">
        <v>42</v>
      </c>
      <c r="D88" s="5" t="s">
        <v>37</v>
      </c>
      <c r="E88" s="5" t="s">
        <v>37</v>
      </c>
      <c r="F88" s="5" t="s">
        <v>37</v>
      </c>
      <c r="G88" s="5" t="s">
        <v>47</v>
      </c>
      <c r="H88" s="6">
        <v>45148</v>
      </c>
      <c r="I88" s="5">
        <v>4.4000000000000004</v>
      </c>
      <c r="J88" s="5">
        <v>96.4</v>
      </c>
      <c r="K88" s="5">
        <v>9</v>
      </c>
      <c r="L88" s="5">
        <v>56.1</v>
      </c>
      <c r="M88" s="5">
        <v>86.3</v>
      </c>
    </row>
    <row r="89" spans="1:13" x14ac:dyDescent="0.3">
      <c r="A89" s="5">
        <v>734</v>
      </c>
      <c r="B89" s="5" t="s">
        <v>44</v>
      </c>
      <c r="C89" s="5" t="s">
        <v>39</v>
      </c>
      <c r="D89" s="5" t="s">
        <v>37</v>
      </c>
      <c r="E89" s="5" t="s">
        <v>37</v>
      </c>
      <c r="F89" s="5" t="s">
        <v>40</v>
      </c>
      <c r="G89" s="5" t="s">
        <v>46</v>
      </c>
      <c r="H89" s="6">
        <v>45121</v>
      </c>
      <c r="I89" s="5">
        <v>1.3</v>
      </c>
      <c r="J89" s="5">
        <v>79.400000000000006</v>
      </c>
      <c r="K89" s="5">
        <v>8.3000000000000007</v>
      </c>
      <c r="L89" s="5">
        <v>51.4</v>
      </c>
      <c r="M89" s="5">
        <v>60.2</v>
      </c>
    </row>
    <row r="90" spans="1:13" x14ac:dyDescent="0.3">
      <c r="A90" s="5">
        <v>480</v>
      </c>
      <c r="B90" s="5" t="s">
        <v>35</v>
      </c>
      <c r="C90" s="5" t="s">
        <v>39</v>
      </c>
      <c r="D90" s="5" t="s">
        <v>37</v>
      </c>
      <c r="E90" s="5" t="s">
        <v>40</v>
      </c>
      <c r="F90" s="5" t="s">
        <v>37</v>
      </c>
      <c r="G90" s="5" t="s">
        <v>43</v>
      </c>
      <c r="H90" s="6">
        <v>45329</v>
      </c>
      <c r="I90" s="5">
        <v>4.0999999999999996</v>
      </c>
      <c r="J90" s="5">
        <v>86.6</v>
      </c>
      <c r="K90" s="5">
        <v>4.3</v>
      </c>
      <c r="L90" s="5">
        <v>79.5</v>
      </c>
      <c r="M90" s="5">
        <v>73</v>
      </c>
    </row>
    <row r="91" spans="1:13" x14ac:dyDescent="0.3">
      <c r="A91" s="5">
        <v>691</v>
      </c>
      <c r="B91" s="5" t="s">
        <v>44</v>
      </c>
      <c r="C91" s="5" t="s">
        <v>45</v>
      </c>
      <c r="D91" s="5" t="s">
        <v>37</v>
      </c>
      <c r="E91" s="5" t="s">
        <v>40</v>
      </c>
      <c r="F91" s="5" t="s">
        <v>37</v>
      </c>
      <c r="G91" s="5" t="s">
        <v>46</v>
      </c>
      <c r="H91" s="6">
        <v>45524</v>
      </c>
      <c r="I91" s="5">
        <v>3.4</v>
      </c>
      <c r="J91" s="5">
        <v>80.2</v>
      </c>
      <c r="K91" s="5">
        <v>8.5</v>
      </c>
      <c r="L91" s="5">
        <v>56.1</v>
      </c>
      <c r="M91" s="5">
        <v>63.7</v>
      </c>
    </row>
    <row r="92" spans="1:13" x14ac:dyDescent="0.3">
      <c r="A92" s="5">
        <v>247</v>
      </c>
      <c r="B92" s="5" t="s">
        <v>35</v>
      </c>
      <c r="C92" s="5" t="s">
        <v>39</v>
      </c>
      <c r="D92" s="5"/>
      <c r="E92" s="5" t="s">
        <v>40</v>
      </c>
      <c r="F92" s="5" t="s">
        <v>37</v>
      </c>
      <c r="G92" s="5" t="s">
        <v>38</v>
      </c>
      <c r="H92" s="6">
        <v>45230</v>
      </c>
      <c r="I92" s="5">
        <v>6.7</v>
      </c>
      <c r="J92" s="5">
        <v>82.2</v>
      </c>
      <c r="K92" s="5">
        <v>5.8</v>
      </c>
      <c r="L92" s="5">
        <v>88.9</v>
      </c>
      <c r="M92" s="5">
        <v>92.2</v>
      </c>
    </row>
    <row r="93" spans="1:13" x14ac:dyDescent="0.3">
      <c r="A93" s="5">
        <v>760</v>
      </c>
      <c r="B93" s="5" t="s">
        <v>35</v>
      </c>
      <c r="C93" s="5" t="s">
        <v>45</v>
      </c>
      <c r="D93" s="5" t="s">
        <v>37</v>
      </c>
      <c r="E93" s="5" t="s">
        <v>37</v>
      </c>
      <c r="F93" s="5" t="s">
        <v>37</v>
      </c>
      <c r="G93" s="5" t="s">
        <v>38</v>
      </c>
      <c r="H93" s="6">
        <v>45224</v>
      </c>
      <c r="I93" s="5">
        <v>6.7</v>
      </c>
      <c r="J93" s="5">
        <v>99.8</v>
      </c>
      <c r="K93" s="5">
        <v>5.9</v>
      </c>
      <c r="L93" s="5">
        <v>55.2</v>
      </c>
      <c r="M93" s="5">
        <v>91.1</v>
      </c>
    </row>
    <row r="94" spans="1:13" x14ac:dyDescent="0.3">
      <c r="A94" s="5">
        <v>819</v>
      </c>
      <c r="B94" s="5" t="s">
        <v>35</v>
      </c>
      <c r="C94" s="5" t="s">
        <v>42</v>
      </c>
      <c r="D94" s="5" t="s">
        <v>37</v>
      </c>
      <c r="E94" s="5" t="s">
        <v>37</v>
      </c>
      <c r="F94" s="5" t="s">
        <v>40</v>
      </c>
      <c r="G94" s="5" t="s">
        <v>41</v>
      </c>
      <c r="H94" s="6"/>
      <c r="I94" s="5">
        <v>3</v>
      </c>
      <c r="J94" s="5">
        <v>98.1</v>
      </c>
      <c r="K94" s="5">
        <v>4.3</v>
      </c>
      <c r="L94" s="5">
        <v>66.75</v>
      </c>
      <c r="M94" s="5">
        <v>59.8</v>
      </c>
    </row>
    <row r="95" spans="1:13" x14ac:dyDescent="0.3">
      <c r="A95" s="5">
        <v>263</v>
      </c>
      <c r="B95" s="5" t="s">
        <v>35</v>
      </c>
      <c r="C95" s="5"/>
      <c r="D95" s="5" t="s">
        <v>37</v>
      </c>
      <c r="E95" s="5" t="s">
        <v>40</v>
      </c>
      <c r="F95" s="5" t="s">
        <v>40</v>
      </c>
      <c r="G95" s="5" t="s">
        <v>43</v>
      </c>
      <c r="H95" s="6">
        <v>45119</v>
      </c>
      <c r="I95" s="5">
        <v>3.6</v>
      </c>
      <c r="J95" s="5">
        <v>96</v>
      </c>
      <c r="K95" s="5">
        <v>6.5</v>
      </c>
      <c r="L95" s="5">
        <v>57</v>
      </c>
      <c r="M95" s="5">
        <v>73.099999999999994</v>
      </c>
    </row>
    <row r="96" spans="1:13" x14ac:dyDescent="0.3">
      <c r="A96" s="5">
        <v>875</v>
      </c>
      <c r="B96" s="5" t="s">
        <v>44</v>
      </c>
      <c r="C96" s="5"/>
      <c r="D96" s="5" t="s">
        <v>37</v>
      </c>
      <c r="E96" s="5" t="s">
        <v>37</v>
      </c>
      <c r="F96" s="5" t="s">
        <v>40</v>
      </c>
      <c r="G96" s="5" t="s">
        <v>41</v>
      </c>
      <c r="H96" s="6">
        <v>45408</v>
      </c>
      <c r="I96" s="5">
        <v>2.8</v>
      </c>
      <c r="J96" s="5">
        <v>75.400000000000006</v>
      </c>
      <c r="K96" s="5">
        <v>5.0999999999999996</v>
      </c>
      <c r="L96" s="5">
        <v>89.6</v>
      </c>
      <c r="M96" s="5">
        <v>58.5</v>
      </c>
    </row>
    <row r="97" spans="1:13" x14ac:dyDescent="0.3">
      <c r="A97" s="5">
        <v>899</v>
      </c>
      <c r="B97" s="5" t="s">
        <v>35</v>
      </c>
      <c r="C97" s="5"/>
      <c r="D97" s="5" t="s">
        <v>37</v>
      </c>
      <c r="E97" s="5" t="s">
        <v>37</v>
      </c>
      <c r="F97" s="5" t="s">
        <v>37</v>
      </c>
      <c r="G97" s="5" t="s">
        <v>46</v>
      </c>
      <c r="H97" s="6">
        <v>44946</v>
      </c>
      <c r="I97" s="5">
        <v>1.7</v>
      </c>
      <c r="J97" s="5">
        <v>91.2</v>
      </c>
      <c r="K97" s="5">
        <v>7.6</v>
      </c>
      <c r="L97" s="5">
        <v>85.4</v>
      </c>
      <c r="M97" s="5">
        <v>69</v>
      </c>
    </row>
    <row r="98" spans="1:13" x14ac:dyDescent="0.3">
      <c r="A98" s="5">
        <v>830</v>
      </c>
      <c r="B98" s="5" t="s">
        <v>44</v>
      </c>
      <c r="C98" s="5" t="s">
        <v>39</v>
      </c>
      <c r="D98" s="5" t="s">
        <v>37</v>
      </c>
      <c r="E98" s="5" t="s">
        <v>37</v>
      </c>
      <c r="F98" s="5" t="s">
        <v>40</v>
      </c>
      <c r="G98" s="5" t="s">
        <v>43</v>
      </c>
      <c r="H98" s="6">
        <v>45141</v>
      </c>
      <c r="I98" s="5">
        <v>3.8</v>
      </c>
      <c r="J98" s="5">
        <v>97.1</v>
      </c>
      <c r="K98" s="5">
        <v>6.8</v>
      </c>
      <c r="L98" s="5">
        <v>50.9</v>
      </c>
      <c r="M98" s="5">
        <v>72.5</v>
      </c>
    </row>
    <row r="99" spans="1:13" x14ac:dyDescent="0.3">
      <c r="A99" s="5">
        <v>557</v>
      </c>
      <c r="B99" s="5" t="s">
        <v>44</v>
      </c>
      <c r="C99" s="5" t="s">
        <v>45</v>
      </c>
      <c r="D99" s="5" t="s">
        <v>37</v>
      </c>
      <c r="E99" s="5" t="s">
        <v>40</v>
      </c>
      <c r="F99" s="5" t="s">
        <v>40</v>
      </c>
      <c r="G99" s="5" t="s">
        <v>47</v>
      </c>
      <c r="H99" s="6">
        <v>45598</v>
      </c>
      <c r="I99" s="5">
        <v>3.8</v>
      </c>
      <c r="J99" s="5">
        <v>82</v>
      </c>
      <c r="K99" s="5">
        <v>7</v>
      </c>
      <c r="L99" s="5">
        <v>87.7</v>
      </c>
      <c r="M99" s="5">
        <v>82.4</v>
      </c>
    </row>
    <row r="100" spans="1:13" x14ac:dyDescent="0.3">
      <c r="A100" s="5">
        <v>821</v>
      </c>
      <c r="B100" s="5" t="s">
        <v>35</v>
      </c>
      <c r="C100" s="5" t="s">
        <v>39</v>
      </c>
      <c r="D100" s="5" t="s">
        <v>37</v>
      </c>
      <c r="E100" s="5" t="s">
        <v>40</v>
      </c>
      <c r="F100" s="5" t="s">
        <v>40</v>
      </c>
      <c r="G100" s="5" t="s">
        <v>46</v>
      </c>
      <c r="H100" s="6"/>
      <c r="I100" s="5">
        <v>5.5</v>
      </c>
      <c r="J100" s="5">
        <v>83.8</v>
      </c>
      <c r="K100" s="5">
        <v>5.3</v>
      </c>
      <c r="L100" s="5">
        <v>35.799999999999997</v>
      </c>
      <c r="M100" s="5">
        <v>61.3</v>
      </c>
    </row>
    <row r="101" spans="1:13" x14ac:dyDescent="0.3">
      <c r="A101" s="5">
        <v>518</v>
      </c>
      <c r="B101" s="5" t="s">
        <v>44</v>
      </c>
      <c r="C101" s="5" t="s">
        <v>42</v>
      </c>
      <c r="D101" s="5" t="s">
        <v>40</v>
      </c>
      <c r="E101" s="5" t="s">
        <v>40</v>
      </c>
      <c r="F101" s="5" t="s">
        <v>37</v>
      </c>
      <c r="G101" s="5" t="s">
        <v>46</v>
      </c>
      <c r="H101" s="6">
        <v>45126</v>
      </c>
      <c r="I101" s="5">
        <v>3.2</v>
      </c>
      <c r="J101" s="5">
        <v>93.4</v>
      </c>
      <c r="K101" s="5">
        <v>5.7</v>
      </c>
      <c r="L101" s="5">
        <v>53.4</v>
      </c>
      <c r="M101" s="5">
        <v>69.8</v>
      </c>
    </row>
    <row r="102" spans="1:13" x14ac:dyDescent="0.3">
      <c r="A102" s="5">
        <v>907</v>
      </c>
      <c r="B102" s="5" t="s">
        <v>44</v>
      </c>
      <c r="C102" s="5" t="s">
        <v>42</v>
      </c>
      <c r="D102" s="5" t="s">
        <v>37</v>
      </c>
      <c r="E102" s="5" t="s">
        <v>37</v>
      </c>
      <c r="F102" s="5" t="s">
        <v>40</v>
      </c>
      <c r="G102" s="5" t="s">
        <v>43</v>
      </c>
      <c r="H102" s="6">
        <v>45344</v>
      </c>
      <c r="I102" s="5">
        <v>4</v>
      </c>
      <c r="J102" s="5">
        <v>67.599999999999994</v>
      </c>
      <c r="K102" s="5">
        <v>8.5</v>
      </c>
      <c r="L102" s="5">
        <v>58.5</v>
      </c>
      <c r="M102" s="5">
        <v>71.900000000000006</v>
      </c>
    </row>
    <row r="103" spans="1:13" x14ac:dyDescent="0.3">
      <c r="A103" s="5">
        <v>809</v>
      </c>
      <c r="B103" s="5" t="s">
        <v>44</v>
      </c>
      <c r="C103" s="5" t="s">
        <v>45</v>
      </c>
      <c r="D103" s="5" t="s">
        <v>37</v>
      </c>
      <c r="E103" s="5" t="s">
        <v>40</v>
      </c>
      <c r="F103" s="5" t="s">
        <v>40</v>
      </c>
      <c r="G103" s="5" t="s">
        <v>46</v>
      </c>
      <c r="H103" s="6">
        <v>45645</v>
      </c>
      <c r="I103" s="5">
        <v>2.2000000000000002</v>
      </c>
      <c r="J103" s="5">
        <v>94</v>
      </c>
      <c r="K103" s="5">
        <v>4.7</v>
      </c>
      <c r="L103" s="5">
        <v>39.799999999999997</v>
      </c>
      <c r="M103" s="5">
        <v>60.4</v>
      </c>
    </row>
    <row r="104" spans="1:13" x14ac:dyDescent="0.3">
      <c r="A104" s="5">
        <v>64</v>
      </c>
      <c r="B104" s="5" t="s">
        <v>35</v>
      </c>
      <c r="C104" s="5" t="s">
        <v>42</v>
      </c>
      <c r="D104" s="5" t="s">
        <v>37</v>
      </c>
      <c r="E104" s="5" t="s">
        <v>40</v>
      </c>
      <c r="F104" s="5" t="s">
        <v>40</v>
      </c>
      <c r="G104" s="5" t="s">
        <v>43</v>
      </c>
      <c r="H104" s="6">
        <v>45548</v>
      </c>
      <c r="I104" s="5">
        <v>2.7</v>
      </c>
      <c r="J104" s="5">
        <v>94.6</v>
      </c>
      <c r="K104" s="5">
        <v>6.4</v>
      </c>
      <c r="L104" s="5">
        <v>89.6</v>
      </c>
      <c r="M104" s="5">
        <v>75.400000000000006</v>
      </c>
    </row>
    <row r="105" spans="1:13" x14ac:dyDescent="0.3">
      <c r="A105" s="5">
        <v>908</v>
      </c>
      <c r="B105" s="5" t="s">
        <v>35</v>
      </c>
      <c r="C105" s="5" t="s">
        <v>36</v>
      </c>
      <c r="D105" s="5" t="s">
        <v>40</v>
      </c>
      <c r="E105" s="5" t="s">
        <v>40</v>
      </c>
      <c r="F105" s="5" t="s">
        <v>40</v>
      </c>
      <c r="G105" s="5" t="s">
        <v>46</v>
      </c>
      <c r="H105" s="6">
        <v>45199</v>
      </c>
      <c r="I105" s="5">
        <v>3.8</v>
      </c>
      <c r="J105" s="5">
        <v>66.2</v>
      </c>
      <c r="K105" s="5">
        <v>6</v>
      </c>
      <c r="L105" s="5">
        <v>72.400000000000006</v>
      </c>
      <c r="M105" s="5">
        <v>67.5</v>
      </c>
    </row>
    <row r="106" spans="1:13" x14ac:dyDescent="0.3">
      <c r="A106" s="5">
        <v>919</v>
      </c>
      <c r="B106" s="5" t="s">
        <v>35</v>
      </c>
      <c r="C106" s="5" t="s">
        <v>42</v>
      </c>
      <c r="D106" s="5" t="s">
        <v>37</v>
      </c>
      <c r="E106" s="5" t="s">
        <v>40</v>
      </c>
      <c r="F106" s="5" t="s">
        <v>40</v>
      </c>
      <c r="G106" s="5" t="s">
        <v>38</v>
      </c>
      <c r="H106" s="6">
        <v>45049</v>
      </c>
      <c r="I106" s="5">
        <v>4.4000000000000004</v>
      </c>
      <c r="J106" s="5">
        <v>78.8</v>
      </c>
      <c r="K106" s="5">
        <v>6.5</v>
      </c>
      <c r="L106" s="5">
        <v>89.9</v>
      </c>
      <c r="M106" s="5">
        <v>91.3</v>
      </c>
    </row>
    <row r="107" spans="1:13" x14ac:dyDescent="0.3">
      <c r="A107" s="5">
        <v>112</v>
      </c>
      <c r="B107" s="5" t="s">
        <v>35</v>
      </c>
      <c r="C107" s="5"/>
      <c r="D107" s="5" t="s">
        <v>40</v>
      </c>
      <c r="E107" s="5" t="s">
        <v>40</v>
      </c>
      <c r="F107" s="5" t="s">
        <v>40</v>
      </c>
      <c r="G107" s="5" t="s">
        <v>46</v>
      </c>
      <c r="H107" s="6">
        <v>45159</v>
      </c>
      <c r="I107" s="5">
        <v>1.5</v>
      </c>
      <c r="J107" s="5">
        <v>87.1</v>
      </c>
      <c r="K107" s="5">
        <v>6</v>
      </c>
      <c r="L107" s="5">
        <v>62.7</v>
      </c>
      <c r="M107" s="5">
        <v>60</v>
      </c>
    </row>
    <row r="108" spans="1:13" x14ac:dyDescent="0.3">
      <c r="A108" s="5">
        <v>66</v>
      </c>
      <c r="B108" s="5" t="s">
        <v>44</v>
      </c>
      <c r="C108" s="5" t="s">
        <v>45</v>
      </c>
      <c r="D108" s="5" t="s">
        <v>37</v>
      </c>
      <c r="E108" s="5" t="s">
        <v>37</v>
      </c>
      <c r="F108" s="5" t="s">
        <v>40</v>
      </c>
      <c r="G108" s="5" t="s">
        <v>41</v>
      </c>
      <c r="H108" s="6">
        <v>45151</v>
      </c>
      <c r="I108" s="5">
        <v>1.7</v>
      </c>
      <c r="J108" s="5">
        <v>65.900000000000006</v>
      </c>
      <c r="K108" s="5">
        <v>8.6</v>
      </c>
      <c r="L108" s="5">
        <v>35.4</v>
      </c>
      <c r="M108" s="5">
        <v>55.3</v>
      </c>
    </row>
    <row r="109" spans="1:13" x14ac:dyDescent="0.3">
      <c r="A109" s="5">
        <v>97</v>
      </c>
      <c r="B109" s="5" t="s">
        <v>35</v>
      </c>
      <c r="C109" s="5" t="s">
        <v>36</v>
      </c>
      <c r="D109" s="5" t="s">
        <v>37</v>
      </c>
      <c r="E109" s="5" t="s">
        <v>37</v>
      </c>
      <c r="F109" s="5" t="s">
        <v>37</v>
      </c>
      <c r="G109" s="5" t="s">
        <v>46</v>
      </c>
      <c r="H109" s="6">
        <v>45641</v>
      </c>
      <c r="I109" s="5">
        <v>1.1000000000000001</v>
      </c>
      <c r="J109" s="5">
        <v>72.2</v>
      </c>
      <c r="K109" s="5">
        <v>7.7</v>
      </c>
      <c r="L109" s="5">
        <v>78.2</v>
      </c>
      <c r="M109" s="5">
        <v>65.2</v>
      </c>
    </row>
    <row r="110" spans="1:13" x14ac:dyDescent="0.3">
      <c r="A110" s="5">
        <v>379</v>
      </c>
      <c r="B110" s="5" t="s">
        <v>35</v>
      </c>
      <c r="C110" s="5" t="s">
        <v>42</v>
      </c>
      <c r="D110" s="5" t="s">
        <v>37</v>
      </c>
      <c r="E110" s="5" t="s">
        <v>40</v>
      </c>
      <c r="F110" s="5" t="s">
        <v>37</v>
      </c>
      <c r="G110" s="5" t="s">
        <v>41</v>
      </c>
      <c r="H110" s="6">
        <v>44966</v>
      </c>
      <c r="I110" s="5">
        <v>1.2</v>
      </c>
      <c r="J110" s="5">
        <v>88.1</v>
      </c>
      <c r="K110" s="5">
        <v>4.7</v>
      </c>
      <c r="L110" s="5">
        <v>66.75</v>
      </c>
      <c r="M110" s="5">
        <v>44.2</v>
      </c>
    </row>
    <row r="111" spans="1:13" x14ac:dyDescent="0.3">
      <c r="A111" s="5">
        <v>235</v>
      </c>
      <c r="B111" s="5" t="s">
        <v>35</v>
      </c>
      <c r="C111" s="5"/>
      <c r="D111" s="5" t="s">
        <v>37</v>
      </c>
      <c r="E111" s="5" t="s">
        <v>37</v>
      </c>
      <c r="F111" s="5" t="s">
        <v>40</v>
      </c>
      <c r="G111" s="5" t="s">
        <v>46</v>
      </c>
      <c r="H111" s="6">
        <v>44937</v>
      </c>
      <c r="I111" s="5">
        <v>3.9</v>
      </c>
      <c r="J111" s="5">
        <v>83.7</v>
      </c>
      <c r="K111" s="5">
        <v>4.9000000000000004</v>
      </c>
      <c r="L111" s="5">
        <v>50.9</v>
      </c>
      <c r="M111" s="5">
        <v>64</v>
      </c>
    </row>
    <row r="112" spans="1:13" x14ac:dyDescent="0.3">
      <c r="A112" s="5">
        <v>873</v>
      </c>
      <c r="B112" s="5" t="s">
        <v>44</v>
      </c>
      <c r="C112" s="5" t="s">
        <v>45</v>
      </c>
      <c r="D112" s="5" t="s">
        <v>37</v>
      </c>
      <c r="E112" s="5" t="s">
        <v>40</v>
      </c>
      <c r="F112" s="5" t="s">
        <v>37</v>
      </c>
      <c r="G112" s="5" t="s">
        <v>41</v>
      </c>
      <c r="H112" s="6">
        <v>44958</v>
      </c>
      <c r="I112" s="5">
        <v>1.7</v>
      </c>
      <c r="J112" s="5">
        <v>85.6</v>
      </c>
      <c r="K112" s="5">
        <v>7.5</v>
      </c>
      <c r="L112" s="5">
        <v>40</v>
      </c>
      <c r="M112" s="5">
        <v>53.6</v>
      </c>
    </row>
    <row r="113" spans="1:13" x14ac:dyDescent="0.3">
      <c r="A113" s="5">
        <v>414</v>
      </c>
      <c r="B113" s="5" t="s">
        <v>35</v>
      </c>
      <c r="C113" s="5" t="s">
        <v>36</v>
      </c>
      <c r="D113" s="5" t="s">
        <v>37</v>
      </c>
      <c r="E113" s="5" t="s">
        <v>40</v>
      </c>
      <c r="F113" s="5" t="s">
        <v>40</v>
      </c>
      <c r="G113" s="5" t="s">
        <v>38</v>
      </c>
      <c r="H113" s="6">
        <v>45610</v>
      </c>
      <c r="I113" s="5">
        <v>6.8</v>
      </c>
      <c r="J113" s="5">
        <v>73.7</v>
      </c>
      <c r="K113" s="5">
        <v>7.5</v>
      </c>
      <c r="L113" s="5">
        <v>69.400000000000006</v>
      </c>
      <c r="M113" s="5">
        <v>96.9</v>
      </c>
    </row>
    <row r="114" spans="1:13" x14ac:dyDescent="0.3">
      <c r="A114" s="5">
        <v>697</v>
      </c>
      <c r="B114" s="5" t="s">
        <v>35</v>
      </c>
      <c r="C114" s="5" t="s">
        <v>45</v>
      </c>
      <c r="D114" s="5" t="s">
        <v>37</v>
      </c>
      <c r="E114" s="5" t="s">
        <v>40</v>
      </c>
      <c r="F114" s="5" t="s">
        <v>40</v>
      </c>
      <c r="G114" s="5" t="s">
        <v>46</v>
      </c>
      <c r="H114" s="6">
        <v>45295</v>
      </c>
      <c r="I114" s="5">
        <v>3</v>
      </c>
      <c r="J114" s="5">
        <v>68</v>
      </c>
      <c r="K114" s="5">
        <v>8.1999999999999993</v>
      </c>
      <c r="L114" s="5">
        <v>55.1</v>
      </c>
      <c r="M114" s="5">
        <v>65.400000000000006</v>
      </c>
    </row>
    <row r="115" spans="1:13" x14ac:dyDescent="0.3">
      <c r="A115" s="5">
        <v>770</v>
      </c>
      <c r="B115" s="5" t="s">
        <v>35</v>
      </c>
      <c r="C115" s="5"/>
      <c r="D115" s="5" t="s">
        <v>37</v>
      </c>
      <c r="E115" s="5" t="s">
        <v>37</v>
      </c>
      <c r="F115" s="5" t="s">
        <v>37</v>
      </c>
      <c r="G115" s="5" t="s">
        <v>46</v>
      </c>
      <c r="H115" s="6">
        <v>45362</v>
      </c>
      <c r="I115" s="5">
        <v>2.2999999999999998</v>
      </c>
      <c r="J115" s="5">
        <v>89.8</v>
      </c>
      <c r="K115" s="5">
        <v>6.5</v>
      </c>
      <c r="L115" s="5">
        <v>81.400000000000006</v>
      </c>
      <c r="M115" s="5">
        <v>67.3</v>
      </c>
    </row>
    <row r="116" spans="1:13" x14ac:dyDescent="0.3">
      <c r="A116" s="5">
        <v>593</v>
      </c>
      <c r="B116" s="5" t="s">
        <v>35</v>
      </c>
      <c r="C116" s="5" t="s">
        <v>45</v>
      </c>
      <c r="D116" s="5" t="s">
        <v>37</v>
      </c>
      <c r="E116" s="5" t="s">
        <v>37</v>
      </c>
      <c r="F116" s="5" t="s">
        <v>40</v>
      </c>
      <c r="G116" s="5" t="s">
        <v>43</v>
      </c>
      <c r="H116" s="6">
        <v>44977</v>
      </c>
      <c r="I116" s="5">
        <v>0.8</v>
      </c>
      <c r="J116" s="5">
        <v>95.4</v>
      </c>
      <c r="K116" s="5">
        <v>6.9</v>
      </c>
      <c r="L116" s="5">
        <v>79.900000000000006</v>
      </c>
      <c r="M116" s="5">
        <v>71.599999999999994</v>
      </c>
    </row>
    <row r="117" spans="1:13" x14ac:dyDescent="0.3">
      <c r="A117" s="5">
        <v>244</v>
      </c>
      <c r="B117" s="5" t="s">
        <v>35</v>
      </c>
      <c r="C117" s="5"/>
      <c r="D117" s="5"/>
      <c r="E117" s="5" t="s">
        <v>37</v>
      </c>
      <c r="F117" s="5" t="s">
        <v>37</v>
      </c>
      <c r="G117" s="5" t="s">
        <v>43</v>
      </c>
      <c r="H117" s="6">
        <v>45522</v>
      </c>
      <c r="I117" s="5">
        <v>4.2</v>
      </c>
      <c r="J117" s="5">
        <v>82.2</v>
      </c>
      <c r="K117" s="5">
        <v>4.3</v>
      </c>
      <c r="L117" s="5">
        <v>66.75</v>
      </c>
      <c r="M117" s="5">
        <v>72.7</v>
      </c>
    </row>
    <row r="118" spans="1:13" x14ac:dyDescent="0.3">
      <c r="A118" s="5">
        <v>920</v>
      </c>
      <c r="B118" s="5" t="s">
        <v>35</v>
      </c>
      <c r="C118" s="5" t="s">
        <v>45</v>
      </c>
      <c r="D118" s="5" t="s">
        <v>37</v>
      </c>
      <c r="E118" s="5" t="s">
        <v>37</v>
      </c>
      <c r="F118" s="5" t="s">
        <v>40</v>
      </c>
      <c r="G118" s="5" t="s">
        <v>47</v>
      </c>
      <c r="H118" s="6">
        <v>45429</v>
      </c>
      <c r="I118" s="5">
        <v>5.3</v>
      </c>
      <c r="J118" s="5">
        <v>98.2</v>
      </c>
      <c r="K118" s="5">
        <v>6.3</v>
      </c>
      <c r="L118" s="5">
        <v>75.400000000000006</v>
      </c>
      <c r="M118" s="5">
        <v>84.2</v>
      </c>
    </row>
    <row r="119" spans="1:13" x14ac:dyDescent="0.3">
      <c r="A119" s="5">
        <v>681</v>
      </c>
      <c r="B119" s="5" t="s">
        <v>35</v>
      </c>
      <c r="C119" s="5"/>
      <c r="D119" s="5" t="s">
        <v>37</v>
      </c>
      <c r="E119" s="5" t="s">
        <v>40</v>
      </c>
      <c r="F119" s="5" t="s">
        <v>40</v>
      </c>
      <c r="G119" s="5" t="s">
        <v>46</v>
      </c>
      <c r="H119" s="6"/>
      <c r="I119" s="5">
        <v>1.7</v>
      </c>
      <c r="J119" s="5">
        <v>80.599999999999994</v>
      </c>
      <c r="K119" s="5">
        <v>4.9000000000000004</v>
      </c>
      <c r="L119" s="5">
        <v>71.7</v>
      </c>
      <c r="M119" s="5">
        <v>73</v>
      </c>
    </row>
    <row r="120" spans="1:13" x14ac:dyDescent="0.3">
      <c r="A120" s="5">
        <v>715</v>
      </c>
      <c r="B120" s="5" t="s">
        <v>35</v>
      </c>
      <c r="C120" s="5" t="s">
        <v>39</v>
      </c>
      <c r="D120" s="5" t="s">
        <v>37</v>
      </c>
      <c r="E120" s="5" t="s">
        <v>37</v>
      </c>
      <c r="F120" s="5" t="s">
        <v>40</v>
      </c>
      <c r="G120" s="5" t="s">
        <v>41</v>
      </c>
      <c r="H120" s="6">
        <v>45426</v>
      </c>
      <c r="I120" s="5">
        <v>2</v>
      </c>
      <c r="J120" s="5">
        <v>70.400000000000006</v>
      </c>
      <c r="K120" s="5">
        <v>7.5</v>
      </c>
      <c r="L120" s="5">
        <v>52.7</v>
      </c>
      <c r="M120" s="5">
        <v>56.8</v>
      </c>
    </row>
    <row r="121" spans="1:13" x14ac:dyDescent="0.3">
      <c r="A121" s="5">
        <v>621</v>
      </c>
      <c r="B121" s="5" t="s">
        <v>44</v>
      </c>
      <c r="C121" s="5" t="s">
        <v>42</v>
      </c>
      <c r="D121" s="5" t="s">
        <v>40</v>
      </c>
      <c r="E121" s="5" t="s">
        <v>37</v>
      </c>
      <c r="F121" s="5" t="s">
        <v>40</v>
      </c>
      <c r="G121" s="5" t="s">
        <v>46</v>
      </c>
      <c r="H121" s="6"/>
      <c r="I121" s="5">
        <v>0.6</v>
      </c>
      <c r="J121" s="5">
        <v>84.9</v>
      </c>
      <c r="K121" s="5">
        <v>6.7</v>
      </c>
      <c r="L121" s="5">
        <v>63.5</v>
      </c>
      <c r="M121" s="5">
        <v>62.8</v>
      </c>
    </row>
    <row r="122" spans="1:13" x14ac:dyDescent="0.3">
      <c r="A122" s="5">
        <v>753</v>
      </c>
      <c r="B122" s="5" t="s">
        <v>44</v>
      </c>
      <c r="C122" s="5" t="s">
        <v>42</v>
      </c>
      <c r="D122" s="5" t="s">
        <v>37</v>
      </c>
      <c r="E122" s="5" t="s">
        <v>37</v>
      </c>
      <c r="F122" s="5" t="s">
        <v>37</v>
      </c>
      <c r="G122" s="5" t="s">
        <v>43</v>
      </c>
      <c r="H122" s="6">
        <v>45200</v>
      </c>
      <c r="I122" s="5">
        <v>3.4</v>
      </c>
      <c r="J122" s="5">
        <v>83.5</v>
      </c>
      <c r="K122" s="5">
        <v>6.7</v>
      </c>
      <c r="L122" s="5">
        <v>77.900000000000006</v>
      </c>
      <c r="M122" s="5">
        <v>76.5</v>
      </c>
    </row>
    <row r="123" spans="1:13" x14ac:dyDescent="0.3">
      <c r="A123" s="5">
        <v>904</v>
      </c>
      <c r="B123" s="5" t="s">
        <v>35</v>
      </c>
      <c r="C123" s="5" t="s">
        <v>42</v>
      </c>
      <c r="D123" s="5" t="s">
        <v>37</v>
      </c>
      <c r="E123" s="5" t="s">
        <v>40</v>
      </c>
      <c r="F123" s="5" t="s">
        <v>40</v>
      </c>
      <c r="G123" s="5" t="s">
        <v>46</v>
      </c>
      <c r="H123" s="6">
        <v>45301</v>
      </c>
      <c r="I123" s="5">
        <v>2.2000000000000002</v>
      </c>
      <c r="J123" s="5">
        <v>72.2</v>
      </c>
      <c r="K123" s="5">
        <v>8.1</v>
      </c>
      <c r="L123" s="5">
        <v>69.400000000000006</v>
      </c>
      <c r="M123" s="5">
        <v>999</v>
      </c>
    </row>
    <row r="124" spans="1:13" x14ac:dyDescent="0.3">
      <c r="A124" s="5">
        <v>155</v>
      </c>
      <c r="B124" s="5" t="s">
        <v>44</v>
      </c>
      <c r="C124" s="5"/>
      <c r="D124" s="5" t="s">
        <v>37</v>
      </c>
      <c r="E124" s="5" t="s">
        <v>37</v>
      </c>
      <c r="F124" s="5" t="s">
        <v>37</v>
      </c>
      <c r="G124" s="5" t="s">
        <v>47</v>
      </c>
      <c r="H124" s="6">
        <v>45536</v>
      </c>
      <c r="I124" s="5">
        <v>6.6</v>
      </c>
      <c r="J124" s="5">
        <v>94.3</v>
      </c>
      <c r="K124" s="5">
        <v>4.5999999999999996</v>
      </c>
      <c r="L124" s="5">
        <v>67.099999999999994</v>
      </c>
      <c r="M124" s="5">
        <v>82.9</v>
      </c>
    </row>
    <row r="125" spans="1:13" x14ac:dyDescent="0.3">
      <c r="A125" s="5">
        <v>287</v>
      </c>
      <c r="B125" s="5" t="s">
        <v>35</v>
      </c>
      <c r="C125" s="5" t="s">
        <v>39</v>
      </c>
      <c r="D125" s="5" t="s">
        <v>37</v>
      </c>
      <c r="E125" s="5" t="s">
        <v>37</v>
      </c>
      <c r="F125" s="5" t="s">
        <v>37</v>
      </c>
      <c r="G125" s="5" t="s">
        <v>41</v>
      </c>
      <c r="H125" s="6"/>
      <c r="I125" s="5">
        <v>1.3</v>
      </c>
      <c r="J125" s="5">
        <v>97.4</v>
      </c>
      <c r="K125" s="5">
        <v>4.0999999999999996</v>
      </c>
      <c r="L125" s="5">
        <v>35.200000000000003</v>
      </c>
      <c r="M125" s="5">
        <v>48.5</v>
      </c>
    </row>
    <row r="126" spans="1:13" x14ac:dyDescent="0.3">
      <c r="A126" s="5">
        <v>879</v>
      </c>
      <c r="B126" s="5" t="s">
        <v>35</v>
      </c>
      <c r="C126" s="5" t="s">
        <v>36</v>
      </c>
      <c r="D126" s="5" t="s">
        <v>37</v>
      </c>
      <c r="E126" s="5" t="s">
        <v>37</v>
      </c>
      <c r="F126" s="5" t="s">
        <v>37</v>
      </c>
      <c r="G126" s="5" t="s">
        <v>43</v>
      </c>
      <c r="H126" s="6"/>
      <c r="I126" s="5">
        <v>3.1</v>
      </c>
      <c r="J126" s="5">
        <v>93.5</v>
      </c>
      <c r="K126" s="5">
        <v>6.9</v>
      </c>
      <c r="L126" s="5">
        <v>61.4</v>
      </c>
      <c r="M126" s="5">
        <v>72.5</v>
      </c>
    </row>
    <row r="127" spans="1:13" x14ac:dyDescent="0.3">
      <c r="A127" s="5">
        <v>65</v>
      </c>
      <c r="B127" s="5" t="s">
        <v>44</v>
      </c>
      <c r="C127" s="5" t="s">
        <v>39</v>
      </c>
      <c r="D127" s="5" t="s">
        <v>37</v>
      </c>
      <c r="E127" s="5" t="s">
        <v>37</v>
      </c>
      <c r="F127" s="5" t="s">
        <v>40</v>
      </c>
      <c r="G127" s="5" t="s">
        <v>46</v>
      </c>
      <c r="H127" s="6">
        <v>45217</v>
      </c>
      <c r="I127" s="5">
        <v>2.7</v>
      </c>
      <c r="J127" s="5">
        <v>82.5</v>
      </c>
      <c r="K127" s="5">
        <v>6.7</v>
      </c>
      <c r="L127" s="5">
        <v>72.8</v>
      </c>
      <c r="M127" s="5">
        <v>67.099999999999994</v>
      </c>
    </row>
    <row r="128" spans="1:13" x14ac:dyDescent="0.3">
      <c r="A128" s="5">
        <v>668</v>
      </c>
      <c r="B128" s="5" t="s">
        <v>44</v>
      </c>
      <c r="C128" s="5" t="s">
        <v>39</v>
      </c>
      <c r="D128" s="5" t="s">
        <v>40</v>
      </c>
      <c r="E128" s="5" t="s">
        <v>40</v>
      </c>
      <c r="F128" s="5" t="s">
        <v>40</v>
      </c>
      <c r="G128" s="5" t="s">
        <v>38</v>
      </c>
      <c r="H128" s="6">
        <v>45024</v>
      </c>
      <c r="I128" s="5">
        <v>5.3</v>
      </c>
      <c r="J128" s="5">
        <v>98.2</v>
      </c>
      <c r="K128" s="5">
        <v>8.9</v>
      </c>
      <c r="L128" s="5">
        <v>85.3</v>
      </c>
      <c r="M128" s="5">
        <v>100</v>
      </c>
    </row>
    <row r="129" spans="1:13" x14ac:dyDescent="0.3">
      <c r="A129" s="5">
        <v>4</v>
      </c>
      <c r="B129" s="5" t="s">
        <v>44</v>
      </c>
      <c r="C129" s="5"/>
      <c r="D129" s="5" t="s">
        <v>40</v>
      </c>
      <c r="E129" s="5" t="s">
        <v>37</v>
      </c>
      <c r="F129" s="5" t="s">
        <v>37</v>
      </c>
      <c r="G129" s="5" t="s">
        <v>43</v>
      </c>
      <c r="H129" s="6">
        <v>45164</v>
      </c>
      <c r="I129" s="5">
        <v>1.5</v>
      </c>
      <c r="J129" s="5">
        <v>88.9</v>
      </c>
      <c r="K129" s="5">
        <v>7.7</v>
      </c>
      <c r="L129" s="5">
        <v>67</v>
      </c>
      <c r="M129" s="5">
        <v>73.3</v>
      </c>
    </row>
    <row r="130" spans="1:13" x14ac:dyDescent="0.3">
      <c r="A130" s="5">
        <v>829</v>
      </c>
      <c r="B130" s="5" t="s">
        <v>44</v>
      </c>
      <c r="C130" s="5"/>
      <c r="D130" s="5"/>
      <c r="E130" s="5" t="s">
        <v>37</v>
      </c>
      <c r="F130" s="5" t="s">
        <v>40</v>
      </c>
      <c r="G130" s="5" t="s">
        <v>43</v>
      </c>
      <c r="H130" s="6">
        <v>45307</v>
      </c>
      <c r="I130" s="5">
        <v>5.8</v>
      </c>
      <c r="J130" s="5">
        <v>77.400000000000006</v>
      </c>
      <c r="K130" s="5">
        <v>6.3</v>
      </c>
      <c r="L130" s="5">
        <v>51.5</v>
      </c>
      <c r="M130" s="5">
        <v>74.099999999999994</v>
      </c>
    </row>
    <row r="131" spans="1:13" x14ac:dyDescent="0.3">
      <c r="A131" s="5">
        <v>628</v>
      </c>
      <c r="B131" s="5" t="s">
        <v>35</v>
      </c>
      <c r="C131" s="5" t="s">
        <v>45</v>
      </c>
      <c r="D131" s="5" t="s">
        <v>37</v>
      </c>
      <c r="E131" s="5" t="s">
        <v>40</v>
      </c>
      <c r="F131" s="5" t="s">
        <v>37</v>
      </c>
      <c r="G131" s="5" t="s">
        <v>47</v>
      </c>
      <c r="H131" s="6">
        <v>45232</v>
      </c>
      <c r="I131" s="5">
        <v>6.4</v>
      </c>
      <c r="J131" s="5">
        <v>93</v>
      </c>
      <c r="K131" s="5">
        <v>4.7</v>
      </c>
      <c r="L131" s="5">
        <v>66.7</v>
      </c>
      <c r="M131" s="5">
        <v>84.6</v>
      </c>
    </row>
    <row r="132" spans="1:13" x14ac:dyDescent="0.3">
      <c r="A132" s="5">
        <v>526</v>
      </c>
      <c r="B132" s="5" t="s">
        <v>35</v>
      </c>
      <c r="C132" s="5" t="s">
        <v>36</v>
      </c>
      <c r="D132" s="5" t="s">
        <v>37</v>
      </c>
      <c r="E132" s="5" t="s">
        <v>37</v>
      </c>
      <c r="F132" s="5" t="s">
        <v>40</v>
      </c>
      <c r="G132" s="5" t="s">
        <v>41</v>
      </c>
      <c r="H132" s="6">
        <v>45091</v>
      </c>
      <c r="I132" s="5">
        <v>0.8</v>
      </c>
      <c r="J132" s="5">
        <v>69.599999999999994</v>
      </c>
      <c r="K132" s="5">
        <v>7.2</v>
      </c>
      <c r="L132" s="5">
        <v>52.2</v>
      </c>
      <c r="M132" s="5">
        <v>58.4</v>
      </c>
    </row>
    <row r="133" spans="1:13" x14ac:dyDescent="0.3">
      <c r="A133" s="5">
        <v>77</v>
      </c>
      <c r="B133" s="5" t="s">
        <v>44</v>
      </c>
      <c r="C133" s="5" t="s">
        <v>42</v>
      </c>
      <c r="D133" s="5" t="s">
        <v>37</v>
      </c>
      <c r="E133" s="5" t="s">
        <v>37</v>
      </c>
      <c r="F133" s="5" t="s">
        <v>37</v>
      </c>
      <c r="G133" s="5" t="s">
        <v>47</v>
      </c>
      <c r="H133" s="6">
        <v>45581</v>
      </c>
      <c r="I133" s="5">
        <v>6.7</v>
      </c>
      <c r="J133" s="5">
        <v>91.3</v>
      </c>
      <c r="K133" s="5">
        <v>6.7</v>
      </c>
      <c r="L133" s="5">
        <v>54.5</v>
      </c>
      <c r="M133" s="5">
        <v>88.3</v>
      </c>
    </row>
    <row r="134" spans="1:13" x14ac:dyDescent="0.3">
      <c r="A134" s="5">
        <v>828</v>
      </c>
      <c r="B134" s="5" t="s">
        <v>44</v>
      </c>
      <c r="C134" s="5" t="s">
        <v>42</v>
      </c>
      <c r="D134" s="5"/>
      <c r="E134" s="5" t="s">
        <v>40</v>
      </c>
      <c r="F134" s="5" t="s">
        <v>37</v>
      </c>
      <c r="G134" s="5" t="s">
        <v>47</v>
      </c>
      <c r="H134" s="6">
        <v>45082</v>
      </c>
      <c r="I134" s="5">
        <v>0.7</v>
      </c>
      <c r="J134" s="5">
        <v>96.7</v>
      </c>
      <c r="K134" s="5">
        <v>8.8000000000000007</v>
      </c>
      <c r="L134" s="5">
        <v>81.900000000000006</v>
      </c>
      <c r="M134" s="5">
        <v>82.8</v>
      </c>
    </row>
    <row r="135" spans="1:13" x14ac:dyDescent="0.3">
      <c r="A135" s="5">
        <v>225</v>
      </c>
      <c r="B135" s="5" t="s">
        <v>44</v>
      </c>
      <c r="C135" s="5" t="s">
        <v>45</v>
      </c>
      <c r="D135" s="5" t="s">
        <v>37</v>
      </c>
      <c r="E135" s="5" t="s">
        <v>37</v>
      </c>
      <c r="F135" s="5" t="s">
        <v>37</v>
      </c>
      <c r="G135" s="5" t="s">
        <v>43</v>
      </c>
      <c r="H135" s="6">
        <v>45260</v>
      </c>
      <c r="I135" s="5">
        <v>4.7</v>
      </c>
      <c r="J135" s="5">
        <v>83.5</v>
      </c>
      <c r="K135" s="5">
        <v>4.0999999999999996</v>
      </c>
      <c r="L135" s="5">
        <v>83.6</v>
      </c>
      <c r="M135" s="5">
        <v>76</v>
      </c>
    </row>
    <row r="136" spans="1:13" x14ac:dyDescent="0.3">
      <c r="A136" s="5">
        <v>535</v>
      </c>
      <c r="B136" s="5" t="s">
        <v>35</v>
      </c>
      <c r="C136" s="5" t="s">
        <v>42</v>
      </c>
      <c r="D136" s="5" t="s">
        <v>37</v>
      </c>
      <c r="E136" s="5" t="s">
        <v>37</v>
      </c>
      <c r="F136" s="5" t="s">
        <v>40</v>
      </c>
      <c r="G136" s="5" t="s">
        <v>43</v>
      </c>
      <c r="H136" s="6">
        <v>45412</v>
      </c>
      <c r="I136" s="5">
        <v>4</v>
      </c>
      <c r="J136" s="5">
        <v>84.3</v>
      </c>
      <c r="K136" s="5">
        <v>7.6</v>
      </c>
      <c r="L136" s="5">
        <v>59.7</v>
      </c>
      <c r="M136" s="5">
        <v>73.099999999999994</v>
      </c>
    </row>
    <row r="137" spans="1:13" x14ac:dyDescent="0.3">
      <c r="A137" s="5">
        <v>254</v>
      </c>
      <c r="B137" s="5" t="s">
        <v>44</v>
      </c>
      <c r="C137" s="5" t="s">
        <v>42</v>
      </c>
      <c r="D137" s="5" t="s">
        <v>37</v>
      </c>
      <c r="E137" s="5" t="s">
        <v>40</v>
      </c>
      <c r="F137" s="5" t="s">
        <v>40</v>
      </c>
      <c r="G137" s="5" t="s">
        <v>46</v>
      </c>
      <c r="H137" s="6"/>
      <c r="I137" s="5">
        <v>1.7</v>
      </c>
      <c r="J137" s="5">
        <v>76.900000000000006</v>
      </c>
      <c r="K137" s="5">
        <v>7.5</v>
      </c>
      <c r="L137" s="5">
        <v>80.900000000000006</v>
      </c>
      <c r="M137" s="5">
        <v>64.8</v>
      </c>
    </row>
    <row r="138" spans="1:13" x14ac:dyDescent="0.3">
      <c r="A138" s="5">
        <v>822</v>
      </c>
      <c r="B138" s="5" t="s">
        <v>35</v>
      </c>
      <c r="C138" s="5" t="s">
        <v>42</v>
      </c>
      <c r="D138" s="5" t="s">
        <v>37</v>
      </c>
      <c r="E138" s="5" t="s">
        <v>40</v>
      </c>
      <c r="F138" s="5" t="s">
        <v>40</v>
      </c>
      <c r="G138" s="5" t="s">
        <v>47</v>
      </c>
      <c r="H138" s="6">
        <v>44996</v>
      </c>
      <c r="I138" s="5">
        <v>4.3</v>
      </c>
      <c r="J138" s="5">
        <v>72.400000000000006</v>
      </c>
      <c r="K138" s="5">
        <v>7.8</v>
      </c>
      <c r="L138" s="5">
        <v>74.5</v>
      </c>
      <c r="M138" s="5">
        <v>86.1</v>
      </c>
    </row>
    <row r="139" spans="1:13" x14ac:dyDescent="0.3">
      <c r="A139" s="5">
        <v>657</v>
      </c>
      <c r="B139" s="5" t="s">
        <v>35</v>
      </c>
      <c r="C139" s="5" t="s">
        <v>39</v>
      </c>
      <c r="D139" s="5" t="s">
        <v>37</v>
      </c>
      <c r="E139" s="5" t="s">
        <v>40</v>
      </c>
      <c r="F139" s="5" t="s">
        <v>40</v>
      </c>
      <c r="G139" s="5" t="s">
        <v>46</v>
      </c>
      <c r="H139" s="6">
        <v>45147</v>
      </c>
      <c r="I139" s="5">
        <v>2.4</v>
      </c>
      <c r="J139" s="5">
        <v>81.3</v>
      </c>
      <c r="K139" s="5">
        <v>4</v>
      </c>
      <c r="L139" s="5">
        <v>45.2</v>
      </c>
      <c r="M139" s="5">
        <v>63.2</v>
      </c>
    </row>
    <row r="140" spans="1:13" x14ac:dyDescent="0.3">
      <c r="A140" s="5">
        <v>936</v>
      </c>
      <c r="B140" s="5" t="s">
        <v>44</v>
      </c>
      <c r="C140" s="5" t="s">
        <v>36</v>
      </c>
      <c r="D140" s="5" t="s">
        <v>37</v>
      </c>
      <c r="E140" s="5" t="s">
        <v>37</v>
      </c>
      <c r="F140" s="5" t="s">
        <v>37</v>
      </c>
      <c r="G140" s="5" t="s">
        <v>47</v>
      </c>
      <c r="H140" s="6">
        <v>45611</v>
      </c>
      <c r="I140" s="5">
        <v>5.5</v>
      </c>
      <c r="J140" s="5">
        <v>92.4</v>
      </c>
      <c r="K140" s="5">
        <v>6.1</v>
      </c>
      <c r="L140" s="5">
        <v>67</v>
      </c>
      <c r="M140" s="5">
        <v>81.3</v>
      </c>
    </row>
    <row r="141" spans="1:13" x14ac:dyDescent="0.3">
      <c r="A141" s="5">
        <v>63</v>
      </c>
      <c r="B141" s="5" t="s">
        <v>44</v>
      </c>
      <c r="C141" s="5" t="s">
        <v>45</v>
      </c>
      <c r="D141" s="5" t="s">
        <v>37</v>
      </c>
      <c r="E141" s="5" t="s">
        <v>37</v>
      </c>
      <c r="F141" s="5" t="s">
        <v>40</v>
      </c>
      <c r="G141" s="5" t="s">
        <v>41</v>
      </c>
      <c r="H141" s="6">
        <v>45416</v>
      </c>
      <c r="I141" s="5">
        <v>2.1</v>
      </c>
      <c r="J141" s="5">
        <v>83.5</v>
      </c>
      <c r="K141" s="5">
        <v>7.2</v>
      </c>
      <c r="L141" s="5">
        <v>38.5</v>
      </c>
      <c r="M141" s="5">
        <v>54.9</v>
      </c>
    </row>
    <row r="142" spans="1:13" x14ac:dyDescent="0.3">
      <c r="A142" s="5">
        <v>68</v>
      </c>
      <c r="B142" s="5" t="s">
        <v>35</v>
      </c>
      <c r="C142" s="5" t="s">
        <v>36</v>
      </c>
      <c r="D142" s="5" t="s">
        <v>37</v>
      </c>
      <c r="E142" s="5" t="s">
        <v>40</v>
      </c>
      <c r="F142" s="5" t="s">
        <v>40</v>
      </c>
      <c r="G142" s="5" t="s">
        <v>47</v>
      </c>
      <c r="H142" s="6">
        <v>45330</v>
      </c>
      <c r="I142" s="5">
        <v>6.1</v>
      </c>
      <c r="J142" s="5">
        <v>69</v>
      </c>
      <c r="K142" s="5">
        <v>7.7</v>
      </c>
      <c r="L142" s="5">
        <v>93.2</v>
      </c>
      <c r="M142" s="5">
        <v>85.4</v>
      </c>
    </row>
    <row r="143" spans="1:13" x14ac:dyDescent="0.3">
      <c r="A143" s="5">
        <v>121</v>
      </c>
      <c r="B143" s="5" t="s">
        <v>44</v>
      </c>
      <c r="C143" s="5" t="s">
        <v>39</v>
      </c>
      <c r="D143" s="5" t="s">
        <v>37</v>
      </c>
      <c r="E143" s="5" t="s">
        <v>37</v>
      </c>
      <c r="F143" s="5" t="s">
        <v>40</v>
      </c>
      <c r="G143" s="5" t="s">
        <v>47</v>
      </c>
      <c r="H143" s="6">
        <v>45277</v>
      </c>
      <c r="I143" s="5">
        <v>6.9</v>
      </c>
      <c r="J143" s="5">
        <v>91.1</v>
      </c>
      <c r="K143" s="5">
        <v>7.8</v>
      </c>
      <c r="L143" s="5">
        <v>49.4</v>
      </c>
      <c r="M143" s="5">
        <v>87.6</v>
      </c>
    </row>
    <row r="144" spans="1:13" x14ac:dyDescent="0.3">
      <c r="A144" s="5">
        <v>390</v>
      </c>
      <c r="B144" s="5" t="s">
        <v>44</v>
      </c>
      <c r="C144" s="5" t="s">
        <v>39</v>
      </c>
      <c r="D144" s="5" t="s">
        <v>37</v>
      </c>
      <c r="E144" s="5" t="s">
        <v>37</v>
      </c>
      <c r="F144" s="5" t="s">
        <v>40</v>
      </c>
      <c r="G144" s="5" t="s">
        <v>38</v>
      </c>
      <c r="H144" s="6">
        <v>45648</v>
      </c>
      <c r="I144" s="5">
        <v>4.9000000000000004</v>
      </c>
      <c r="J144" s="5">
        <v>74.7</v>
      </c>
      <c r="K144" s="5">
        <v>8.8000000000000007</v>
      </c>
      <c r="L144" s="5">
        <v>90.1</v>
      </c>
      <c r="M144" s="5">
        <v>90.5</v>
      </c>
    </row>
    <row r="145" spans="1:13" x14ac:dyDescent="0.3">
      <c r="A145" s="5">
        <v>869</v>
      </c>
      <c r="B145" s="5" t="s">
        <v>44</v>
      </c>
      <c r="C145" s="5" t="s">
        <v>45</v>
      </c>
      <c r="D145" s="5" t="s">
        <v>37</v>
      </c>
      <c r="E145" s="5" t="s">
        <v>37</v>
      </c>
      <c r="F145" s="5" t="s">
        <v>37</v>
      </c>
      <c r="G145" s="5" t="s">
        <v>46</v>
      </c>
      <c r="H145" s="6">
        <v>45173</v>
      </c>
      <c r="I145" s="5">
        <v>5</v>
      </c>
      <c r="J145" s="5">
        <v>68.2</v>
      </c>
      <c r="K145" s="5">
        <v>7.5</v>
      </c>
      <c r="L145" s="5">
        <v>78.099999999999994</v>
      </c>
      <c r="M145" s="5">
        <v>74.099999999999994</v>
      </c>
    </row>
    <row r="146" spans="1:13" x14ac:dyDescent="0.3">
      <c r="A146" s="5">
        <v>678</v>
      </c>
      <c r="B146" s="5" t="s">
        <v>35</v>
      </c>
      <c r="C146" s="5" t="s">
        <v>42</v>
      </c>
      <c r="D146" s="5" t="s">
        <v>40</v>
      </c>
      <c r="E146" s="5" t="s">
        <v>40</v>
      </c>
      <c r="F146" s="5" t="s">
        <v>40</v>
      </c>
      <c r="G146" s="5" t="s">
        <v>41</v>
      </c>
      <c r="H146" s="6">
        <v>45227</v>
      </c>
      <c r="I146" s="5">
        <v>1.1000000000000001</v>
      </c>
      <c r="J146" s="5">
        <v>82.2</v>
      </c>
      <c r="K146" s="5">
        <v>5.3</v>
      </c>
      <c r="L146" s="5">
        <v>58.2</v>
      </c>
      <c r="M146" s="5">
        <v>55.2</v>
      </c>
    </row>
    <row r="147" spans="1:13" x14ac:dyDescent="0.3">
      <c r="A147" s="5">
        <v>529</v>
      </c>
      <c r="B147" s="5" t="s">
        <v>35</v>
      </c>
      <c r="C147" s="5" t="s">
        <v>42</v>
      </c>
      <c r="D147" s="5" t="s">
        <v>37</v>
      </c>
      <c r="E147" s="5" t="s">
        <v>40</v>
      </c>
      <c r="F147" s="5" t="s">
        <v>40</v>
      </c>
      <c r="G147" s="5" t="s">
        <v>43</v>
      </c>
      <c r="H147" s="6">
        <v>45083</v>
      </c>
      <c r="I147" s="5">
        <v>3.3</v>
      </c>
      <c r="J147" s="5">
        <v>74.5</v>
      </c>
      <c r="K147" s="5">
        <v>7.3</v>
      </c>
      <c r="L147" s="5">
        <v>73.599999999999994</v>
      </c>
      <c r="M147" s="5">
        <v>74.7</v>
      </c>
    </row>
    <row r="148" spans="1:13" x14ac:dyDescent="0.3">
      <c r="A148" s="5">
        <v>277</v>
      </c>
      <c r="B148" s="5" t="s">
        <v>35</v>
      </c>
      <c r="C148" s="5" t="s">
        <v>39</v>
      </c>
      <c r="D148" s="5" t="s">
        <v>37</v>
      </c>
      <c r="E148" s="5" t="s">
        <v>37</v>
      </c>
      <c r="F148" s="5" t="s">
        <v>40</v>
      </c>
      <c r="G148" s="5" t="s">
        <v>43</v>
      </c>
      <c r="H148" s="6">
        <v>44964</v>
      </c>
      <c r="I148" s="5">
        <v>1.2</v>
      </c>
      <c r="J148" s="5">
        <v>86.3</v>
      </c>
      <c r="K148" s="5">
        <v>8.8000000000000007</v>
      </c>
      <c r="L148" s="5">
        <v>66.75</v>
      </c>
      <c r="M148" s="5">
        <v>78.8</v>
      </c>
    </row>
    <row r="149" spans="1:13" x14ac:dyDescent="0.3">
      <c r="A149" s="5">
        <v>369</v>
      </c>
      <c r="B149" s="5" t="s">
        <v>44</v>
      </c>
      <c r="C149" s="5"/>
      <c r="D149" s="5" t="s">
        <v>37</v>
      </c>
      <c r="E149" s="5" t="s">
        <v>37</v>
      </c>
      <c r="F149" s="5" t="s">
        <v>40</v>
      </c>
      <c r="G149" s="5" t="s">
        <v>43</v>
      </c>
      <c r="H149" s="6">
        <v>45511</v>
      </c>
      <c r="I149" s="5">
        <v>2.5</v>
      </c>
      <c r="J149" s="5">
        <v>65.400000000000006</v>
      </c>
      <c r="K149" s="5">
        <v>6.2</v>
      </c>
      <c r="L149" s="5">
        <v>85.8</v>
      </c>
      <c r="M149" s="5">
        <v>71.099999999999994</v>
      </c>
    </row>
    <row r="150" spans="1:13" x14ac:dyDescent="0.3">
      <c r="A150" s="5">
        <v>473</v>
      </c>
      <c r="B150" s="5" t="s">
        <v>35</v>
      </c>
      <c r="C150" s="5" t="s">
        <v>42</v>
      </c>
      <c r="D150" s="5" t="s">
        <v>40</v>
      </c>
      <c r="E150" s="5" t="s">
        <v>37</v>
      </c>
      <c r="F150" s="5" t="s">
        <v>40</v>
      </c>
      <c r="G150" s="5" t="s">
        <v>38</v>
      </c>
      <c r="H150" s="6">
        <v>45133</v>
      </c>
      <c r="I150" s="5">
        <v>6.7</v>
      </c>
      <c r="J150" s="5">
        <v>74.8</v>
      </c>
      <c r="K150" s="5">
        <v>8.8000000000000007</v>
      </c>
      <c r="L150" s="5">
        <v>76.2</v>
      </c>
      <c r="M150" s="5">
        <v>92.6</v>
      </c>
    </row>
    <row r="151" spans="1:13" x14ac:dyDescent="0.3">
      <c r="A151" s="5">
        <v>814</v>
      </c>
      <c r="B151" s="5" t="s">
        <v>35</v>
      </c>
      <c r="C151" s="5" t="s">
        <v>39</v>
      </c>
      <c r="D151" s="5" t="s">
        <v>40</v>
      </c>
      <c r="E151" s="5" t="s">
        <v>37</v>
      </c>
      <c r="F151" s="5" t="s">
        <v>37</v>
      </c>
      <c r="G151" s="5" t="s">
        <v>47</v>
      </c>
      <c r="H151" s="6"/>
      <c r="I151" s="5">
        <v>4.7</v>
      </c>
      <c r="J151" s="5">
        <v>82.1</v>
      </c>
      <c r="K151" s="5">
        <v>4.7</v>
      </c>
      <c r="L151" s="5">
        <v>87.7</v>
      </c>
      <c r="M151" s="5">
        <v>86.4</v>
      </c>
    </row>
    <row r="152" spans="1:13" x14ac:dyDescent="0.3">
      <c r="A152" s="5">
        <v>552</v>
      </c>
      <c r="B152" s="5" t="s">
        <v>35</v>
      </c>
      <c r="C152" s="5" t="s">
        <v>36</v>
      </c>
      <c r="D152" s="5" t="s">
        <v>37</v>
      </c>
      <c r="E152" s="5" t="s">
        <v>37</v>
      </c>
      <c r="F152" s="5" t="s">
        <v>40</v>
      </c>
      <c r="G152" s="5" t="s">
        <v>41</v>
      </c>
      <c r="H152" s="6">
        <v>45227</v>
      </c>
      <c r="I152" s="5">
        <v>1</v>
      </c>
      <c r="J152" s="5">
        <v>76.099999999999994</v>
      </c>
      <c r="K152" s="5">
        <v>8.4</v>
      </c>
      <c r="L152" s="5">
        <v>47.5</v>
      </c>
      <c r="M152" s="5">
        <v>53.1</v>
      </c>
    </row>
    <row r="153" spans="1:13" x14ac:dyDescent="0.3">
      <c r="A153" s="5">
        <v>619</v>
      </c>
      <c r="B153" s="5" t="s">
        <v>35</v>
      </c>
      <c r="C153" s="5" t="s">
        <v>45</v>
      </c>
      <c r="D153" s="5" t="s">
        <v>40</v>
      </c>
      <c r="E153" s="5" t="s">
        <v>40</v>
      </c>
      <c r="F153" s="5" t="s">
        <v>40</v>
      </c>
      <c r="G153" s="5" t="s">
        <v>46</v>
      </c>
      <c r="H153" s="6">
        <v>45476</v>
      </c>
      <c r="I153" s="5">
        <v>1.3</v>
      </c>
      <c r="J153" s="5">
        <v>99.4</v>
      </c>
      <c r="K153" s="5">
        <v>7.4</v>
      </c>
      <c r="L153" s="5">
        <v>58.1</v>
      </c>
      <c r="M153" s="5">
        <v>64.599999999999994</v>
      </c>
    </row>
    <row r="154" spans="1:13" x14ac:dyDescent="0.3">
      <c r="A154" s="5">
        <v>663</v>
      </c>
      <c r="B154" s="5" t="s">
        <v>35</v>
      </c>
      <c r="C154" s="5" t="s">
        <v>42</v>
      </c>
      <c r="D154" s="5" t="s">
        <v>37</v>
      </c>
      <c r="E154" s="5" t="s">
        <v>37</v>
      </c>
      <c r="F154" s="5" t="s">
        <v>37</v>
      </c>
      <c r="G154" s="5" t="s">
        <v>38</v>
      </c>
      <c r="H154" s="6">
        <v>45178</v>
      </c>
      <c r="I154" s="5">
        <v>7</v>
      </c>
      <c r="J154" s="5">
        <v>98.9</v>
      </c>
      <c r="K154" s="5">
        <v>5.0999999999999996</v>
      </c>
      <c r="L154" s="5">
        <v>75</v>
      </c>
      <c r="M154" s="5">
        <v>92.6</v>
      </c>
    </row>
    <row r="155" spans="1:13" x14ac:dyDescent="0.3">
      <c r="A155" s="5">
        <v>333</v>
      </c>
      <c r="B155" s="5" t="s">
        <v>44</v>
      </c>
      <c r="C155" s="5" t="s">
        <v>45</v>
      </c>
      <c r="D155" s="5" t="s">
        <v>37</v>
      </c>
      <c r="E155" s="5" t="s">
        <v>37</v>
      </c>
      <c r="F155" s="5" t="s">
        <v>40</v>
      </c>
      <c r="G155" s="5" t="s">
        <v>43</v>
      </c>
      <c r="H155" s="6">
        <v>45080</v>
      </c>
      <c r="I155" s="5">
        <v>4.0999999999999996</v>
      </c>
      <c r="J155" s="5">
        <v>84.7</v>
      </c>
      <c r="K155" s="5">
        <v>6.4</v>
      </c>
      <c r="L155" s="5">
        <v>40.9</v>
      </c>
      <c r="M155" s="5">
        <v>73.099999999999994</v>
      </c>
    </row>
    <row r="156" spans="1:13" x14ac:dyDescent="0.3">
      <c r="A156" s="5">
        <v>192</v>
      </c>
      <c r="B156" s="5" t="s">
        <v>35</v>
      </c>
      <c r="C156" s="5" t="s">
        <v>36</v>
      </c>
      <c r="D156" s="5" t="s">
        <v>37</v>
      </c>
      <c r="E156" s="5" t="s">
        <v>40</v>
      </c>
      <c r="F156" s="5" t="s">
        <v>37</v>
      </c>
      <c r="G156" s="5" t="s">
        <v>43</v>
      </c>
      <c r="H156" s="6">
        <v>45558</v>
      </c>
      <c r="I156" s="5">
        <v>4.2</v>
      </c>
      <c r="J156" s="5">
        <v>82.3</v>
      </c>
      <c r="K156" s="5">
        <v>4.3</v>
      </c>
      <c r="L156" s="5">
        <v>66.75</v>
      </c>
      <c r="M156" s="5">
        <v>73.900000000000006</v>
      </c>
    </row>
    <row r="157" spans="1:13" x14ac:dyDescent="0.3">
      <c r="A157" s="5">
        <v>492</v>
      </c>
      <c r="B157" s="5" t="s">
        <v>44</v>
      </c>
      <c r="C157" s="5"/>
      <c r="D157" s="5" t="s">
        <v>37</v>
      </c>
      <c r="E157" s="5" t="s">
        <v>40</v>
      </c>
      <c r="F157" s="5" t="s">
        <v>40</v>
      </c>
      <c r="G157" s="5" t="s">
        <v>47</v>
      </c>
      <c r="H157" s="6">
        <v>45347</v>
      </c>
      <c r="I157" s="5">
        <v>2.5</v>
      </c>
      <c r="J157" s="5">
        <v>96.6</v>
      </c>
      <c r="K157" s="5">
        <v>8.1999999999999993</v>
      </c>
      <c r="L157" s="5">
        <v>84.7</v>
      </c>
      <c r="M157" s="5">
        <v>87.6</v>
      </c>
    </row>
    <row r="158" spans="1:13" x14ac:dyDescent="0.3">
      <c r="A158" s="5">
        <v>113</v>
      </c>
      <c r="B158" s="5" t="s">
        <v>35</v>
      </c>
      <c r="C158" s="5" t="s">
        <v>42</v>
      </c>
      <c r="D158" s="5" t="s">
        <v>37</v>
      </c>
      <c r="E158" s="5" t="s">
        <v>37</v>
      </c>
      <c r="F158" s="5" t="s">
        <v>40</v>
      </c>
      <c r="G158" s="5" t="s">
        <v>41</v>
      </c>
      <c r="H158" s="6">
        <v>45422</v>
      </c>
      <c r="I158" s="5">
        <v>3.6</v>
      </c>
      <c r="J158" s="5">
        <v>98.3</v>
      </c>
      <c r="K158" s="5">
        <v>5.7</v>
      </c>
      <c r="L158" s="5">
        <v>37.4</v>
      </c>
      <c r="M158" s="5">
        <v>56.8</v>
      </c>
    </row>
    <row r="159" spans="1:13" x14ac:dyDescent="0.3">
      <c r="A159" s="5">
        <v>548</v>
      </c>
      <c r="B159" s="5" t="s">
        <v>44</v>
      </c>
      <c r="C159" s="5" t="s">
        <v>36</v>
      </c>
      <c r="D159" s="5" t="s">
        <v>37</v>
      </c>
      <c r="E159" s="5" t="s">
        <v>40</v>
      </c>
      <c r="F159" s="5" t="s">
        <v>40</v>
      </c>
      <c r="G159" s="5" t="s">
        <v>41</v>
      </c>
      <c r="H159" s="6">
        <v>45064</v>
      </c>
      <c r="I159" s="5">
        <v>1.5</v>
      </c>
      <c r="J159" s="5">
        <v>77.7</v>
      </c>
      <c r="K159" s="5">
        <v>7.6</v>
      </c>
      <c r="L159" s="5">
        <v>38.200000000000003</v>
      </c>
      <c r="M159" s="5">
        <v>50.7</v>
      </c>
    </row>
    <row r="160" spans="1:13" x14ac:dyDescent="0.3">
      <c r="A160" s="5">
        <v>669</v>
      </c>
      <c r="B160" s="5" t="s">
        <v>35</v>
      </c>
      <c r="C160" s="5"/>
      <c r="D160" s="5" t="s">
        <v>37</v>
      </c>
      <c r="E160" s="5" t="s">
        <v>37</v>
      </c>
      <c r="F160" s="5" t="s">
        <v>37</v>
      </c>
      <c r="G160" s="5" t="s">
        <v>41</v>
      </c>
      <c r="H160" s="6">
        <v>45259</v>
      </c>
      <c r="I160" s="5">
        <v>1.3</v>
      </c>
      <c r="J160" s="5">
        <v>97.3</v>
      </c>
      <c r="K160" s="5">
        <v>4.9000000000000004</v>
      </c>
      <c r="L160" s="5">
        <v>36.200000000000003</v>
      </c>
      <c r="M160" s="5">
        <v>59.8</v>
      </c>
    </row>
    <row r="161" spans="1:13" x14ac:dyDescent="0.3">
      <c r="A161" s="5">
        <v>676</v>
      </c>
      <c r="B161" s="5" t="s">
        <v>44</v>
      </c>
      <c r="C161" s="5" t="s">
        <v>45</v>
      </c>
      <c r="D161" s="5" t="s">
        <v>37</v>
      </c>
      <c r="E161" s="5" t="s">
        <v>37</v>
      </c>
      <c r="F161" s="5" t="s">
        <v>40</v>
      </c>
      <c r="G161" s="5" t="s">
        <v>47</v>
      </c>
      <c r="H161" s="6">
        <v>44974</v>
      </c>
      <c r="I161" s="5">
        <v>4.5</v>
      </c>
      <c r="J161" s="5">
        <v>86.2</v>
      </c>
      <c r="K161" s="5">
        <v>8.9</v>
      </c>
      <c r="L161" s="5">
        <v>73.3</v>
      </c>
      <c r="M161" s="5">
        <v>86</v>
      </c>
    </row>
    <row r="162" spans="1:13" x14ac:dyDescent="0.3">
      <c r="A162" s="5">
        <v>31</v>
      </c>
      <c r="B162" s="5" t="s">
        <v>44</v>
      </c>
      <c r="C162" s="5"/>
      <c r="D162" s="5" t="s">
        <v>37</v>
      </c>
      <c r="E162" s="5" t="s">
        <v>40</v>
      </c>
      <c r="F162" s="5" t="s">
        <v>40</v>
      </c>
      <c r="G162" s="5" t="s">
        <v>46</v>
      </c>
      <c r="H162" s="6">
        <v>45159</v>
      </c>
      <c r="I162" s="5">
        <v>0.8</v>
      </c>
      <c r="J162" s="5">
        <v>85.7</v>
      </c>
      <c r="K162" s="5">
        <v>7.4</v>
      </c>
      <c r="L162" s="5">
        <v>87.5</v>
      </c>
      <c r="M162" s="5">
        <v>66.099999999999994</v>
      </c>
    </row>
    <row r="163" spans="1:13" x14ac:dyDescent="0.3">
      <c r="A163" s="5">
        <v>5</v>
      </c>
      <c r="B163" s="5" t="s">
        <v>44</v>
      </c>
      <c r="C163" s="5"/>
      <c r="D163" s="5" t="s">
        <v>37</v>
      </c>
      <c r="E163" s="5" t="s">
        <v>37</v>
      </c>
      <c r="F163" s="5" t="s">
        <v>40</v>
      </c>
      <c r="G163" s="5" t="s">
        <v>46</v>
      </c>
      <c r="H163" s="6">
        <v>45534</v>
      </c>
      <c r="I163" s="5">
        <v>3.6</v>
      </c>
      <c r="J163" s="5">
        <v>72.900000000000006</v>
      </c>
      <c r="K163" s="5">
        <v>7.3</v>
      </c>
      <c r="L163" s="5">
        <v>53.7</v>
      </c>
      <c r="M163" s="5">
        <v>63.8</v>
      </c>
    </row>
    <row r="164" spans="1:13" x14ac:dyDescent="0.3">
      <c r="A164" s="5">
        <v>363</v>
      </c>
      <c r="B164" s="5" t="s">
        <v>35</v>
      </c>
      <c r="C164" s="5" t="s">
        <v>45</v>
      </c>
      <c r="D164" s="5" t="s">
        <v>40</v>
      </c>
      <c r="E164" s="5" t="s">
        <v>37</v>
      </c>
      <c r="F164" s="5" t="s">
        <v>40</v>
      </c>
      <c r="G164" s="5" t="s">
        <v>46</v>
      </c>
      <c r="H164" s="6">
        <v>45029</v>
      </c>
      <c r="I164" s="5">
        <v>2</v>
      </c>
      <c r="J164" s="5">
        <v>71.599999999999994</v>
      </c>
      <c r="K164" s="5">
        <v>7.8</v>
      </c>
      <c r="L164" s="5">
        <v>70.7</v>
      </c>
      <c r="M164" s="5">
        <v>66</v>
      </c>
    </row>
    <row r="165" spans="1:13" x14ac:dyDescent="0.3">
      <c r="A165" s="5">
        <v>772</v>
      </c>
      <c r="B165" s="5" t="s">
        <v>44</v>
      </c>
      <c r="C165" s="5" t="s">
        <v>45</v>
      </c>
      <c r="D165" s="5" t="s">
        <v>37</v>
      </c>
      <c r="E165" s="5" t="s">
        <v>37</v>
      </c>
      <c r="F165" s="5" t="s">
        <v>40</v>
      </c>
      <c r="G165" s="5" t="s">
        <v>43</v>
      </c>
      <c r="H165" s="6">
        <v>45055</v>
      </c>
      <c r="I165" s="5">
        <v>4.0999999999999996</v>
      </c>
      <c r="J165" s="5">
        <v>77.8</v>
      </c>
      <c r="K165" s="5">
        <v>0</v>
      </c>
      <c r="L165" s="5">
        <v>58.8</v>
      </c>
      <c r="M165" s="5">
        <v>77.599999999999994</v>
      </c>
    </row>
    <row r="166" spans="1:13" x14ac:dyDescent="0.3">
      <c r="A166" s="5">
        <v>605</v>
      </c>
      <c r="B166" s="5" t="s">
        <v>35</v>
      </c>
      <c r="C166" s="5" t="s">
        <v>42</v>
      </c>
      <c r="D166" s="5" t="s">
        <v>37</v>
      </c>
      <c r="E166" s="5" t="s">
        <v>40</v>
      </c>
      <c r="F166" s="5" t="s">
        <v>40</v>
      </c>
      <c r="G166" s="5" t="s">
        <v>43</v>
      </c>
      <c r="H166" s="6">
        <v>45054</v>
      </c>
      <c r="I166" s="5">
        <v>3.4</v>
      </c>
      <c r="J166" s="5">
        <v>65.2</v>
      </c>
      <c r="K166" s="5">
        <v>6.9</v>
      </c>
      <c r="L166" s="5">
        <v>66.8</v>
      </c>
      <c r="M166" s="5">
        <v>71.099999999999994</v>
      </c>
    </row>
    <row r="167" spans="1:13" x14ac:dyDescent="0.3">
      <c r="A167" s="5">
        <v>878</v>
      </c>
      <c r="B167" s="5" t="s">
        <v>44</v>
      </c>
      <c r="C167" s="5" t="s">
        <v>45</v>
      </c>
      <c r="D167" s="5" t="s">
        <v>40</v>
      </c>
      <c r="E167" s="5" t="s">
        <v>40</v>
      </c>
      <c r="F167" s="5" t="s">
        <v>37</v>
      </c>
      <c r="G167" s="5" t="s">
        <v>47</v>
      </c>
      <c r="H167" s="6">
        <v>45572</v>
      </c>
      <c r="I167" s="5">
        <v>3.2</v>
      </c>
      <c r="J167" s="5">
        <v>95.6</v>
      </c>
      <c r="K167" s="5">
        <v>8.5</v>
      </c>
      <c r="L167" s="5">
        <v>90.8</v>
      </c>
      <c r="M167" s="5">
        <v>80.599999999999994</v>
      </c>
    </row>
    <row r="168" spans="1:13" x14ac:dyDescent="0.3">
      <c r="A168" s="5">
        <v>370</v>
      </c>
      <c r="B168" s="5" t="s">
        <v>44</v>
      </c>
      <c r="C168" s="5" t="s">
        <v>39</v>
      </c>
      <c r="D168" s="5" t="s">
        <v>37</v>
      </c>
      <c r="E168" s="5" t="s">
        <v>40</v>
      </c>
      <c r="F168" s="5" t="s">
        <v>37</v>
      </c>
      <c r="G168" s="5" t="s">
        <v>46</v>
      </c>
      <c r="H168" s="6">
        <v>44946</v>
      </c>
      <c r="I168" s="5">
        <v>3.8</v>
      </c>
      <c r="J168" s="5">
        <v>72.8</v>
      </c>
      <c r="K168" s="5">
        <v>8.6999999999999993</v>
      </c>
      <c r="L168" s="5">
        <v>57</v>
      </c>
      <c r="M168" s="5">
        <v>67.400000000000006</v>
      </c>
    </row>
    <row r="169" spans="1:13" x14ac:dyDescent="0.3">
      <c r="A169" s="5">
        <v>314</v>
      </c>
      <c r="B169" s="5" t="s">
        <v>35</v>
      </c>
      <c r="C169" s="5" t="s">
        <v>45</v>
      </c>
      <c r="D169" s="5" t="s">
        <v>40</v>
      </c>
      <c r="E169" s="5" t="s">
        <v>40</v>
      </c>
      <c r="F169" s="5" t="s">
        <v>40</v>
      </c>
      <c r="G169" s="5" t="s">
        <v>46</v>
      </c>
      <c r="H169" s="6">
        <v>45466</v>
      </c>
      <c r="I169" s="5">
        <v>4.9000000000000004</v>
      </c>
      <c r="J169" s="5">
        <v>66.900000000000006</v>
      </c>
      <c r="K169" s="5">
        <v>8.8000000000000007</v>
      </c>
      <c r="L169" s="5">
        <v>48.2</v>
      </c>
      <c r="M169" s="5">
        <v>69.099999999999994</v>
      </c>
    </row>
    <row r="170" spans="1:13" x14ac:dyDescent="0.3">
      <c r="A170" s="5">
        <v>921</v>
      </c>
      <c r="B170" s="5" t="s">
        <v>35</v>
      </c>
      <c r="C170" s="5"/>
      <c r="D170" s="5" t="s">
        <v>37</v>
      </c>
      <c r="E170" s="5" t="s">
        <v>40</v>
      </c>
      <c r="F170" s="5" t="s">
        <v>40</v>
      </c>
      <c r="G170" s="5" t="s">
        <v>46</v>
      </c>
      <c r="H170" s="6">
        <v>45265</v>
      </c>
      <c r="I170" s="5">
        <v>2.7</v>
      </c>
      <c r="J170" s="5">
        <v>89.7</v>
      </c>
      <c r="K170" s="5">
        <v>6</v>
      </c>
      <c r="L170" s="5">
        <v>42.2</v>
      </c>
      <c r="M170" s="5">
        <v>65.599999999999994</v>
      </c>
    </row>
    <row r="171" spans="1:13" x14ac:dyDescent="0.3">
      <c r="A171" s="5">
        <v>171</v>
      </c>
      <c r="B171" s="5" t="s">
        <v>35</v>
      </c>
      <c r="C171" s="5" t="s">
        <v>36</v>
      </c>
      <c r="D171" s="5" t="s">
        <v>37</v>
      </c>
      <c r="E171" s="5" t="s">
        <v>37</v>
      </c>
      <c r="F171" s="5" t="s">
        <v>40</v>
      </c>
      <c r="G171" s="5" t="s">
        <v>46</v>
      </c>
      <c r="H171" s="6">
        <v>45522</v>
      </c>
      <c r="I171" s="5">
        <v>1</v>
      </c>
      <c r="J171" s="5">
        <v>81.8</v>
      </c>
      <c r="K171" s="5">
        <v>7.9</v>
      </c>
      <c r="L171" s="5">
        <v>84.2</v>
      </c>
      <c r="M171" s="5">
        <v>66.5</v>
      </c>
    </row>
    <row r="172" spans="1:13" x14ac:dyDescent="0.3">
      <c r="A172" s="5">
        <v>788</v>
      </c>
      <c r="B172" s="5" t="s">
        <v>35</v>
      </c>
      <c r="C172" s="5" t="s">
        <v>45</v>
      </c>
      <c r="D172" s="5" t="s">
        <v>37</v>
      </c>
      <c r="E172" s="5" t="s">
        <v>40</v>
      </c>
      <c r="F172" s="5" t="s">
        <v>40</v>
      </c>
      <c r="G172" s="5" t="s">
        <v>46</v>
      </c>
      <c r="H172" s="6"/>
      <c r="I172" s="5">
        <v>4.2</v>
      </c>
      <c r="J172" s="5">
        <v>67.2</v>
      </c>
      <c r="K172" s="5">
        <v>5.4</v>
      </c>
      <c r="L172" s="5">
        <v>55.2</v>
      </c>
      <c r="M172" s="5">
        <v>66.5</v>
      </c>
    </row>
    <row r="173" spans="1:13" x14ac:dyDescent="0.3">
      <c r="A173" s="5">
        <v>782</v>
      </c>
      <c r="B173" s="5" t="s">
        <v>44</v>
      </c>
      <c r="C173" s="5" t="s">
        <v>45</v>
      </c>
      <c r="D173" s="5" t="s">
        <v>40</v>
      </c>
      <c r="E173" s="5" t="s">
        <v>37</v>
      </c>
      <c r="F173" s="5" t="s">
        <v>37</v>
      </c>
      <c r="G173" s="5" t="s">
        <v>46</v>
      </c>
      <c r="H173" s="6">
        <v>45088</v>
      </c>
      <c r="I173" s="5">
        <v>2.6</v>
      </c>
      <c r="J173" s="5">
        <v>82.9</v>
      </c>
      <c r="K173" s="5">
        <v>5.5</v>
      </c>
      <c r="L173" s="5">
        <v>60.8</v>
      </c>
      <c r="M173" s="5">
        <v>64.7</v>
      </c>
    </row>
    <row r="174" spans="1:13" x14ac:dyDescent="0.3">
      <c r="A174" s="5">
        <v>664</v>
      </c>
      <c r="B174" s="5" t="s">
        <v>44</v>
      </c>
      <c r="C174" s="5" t="s">
        <v>42</v>
      </c>
      <c r="D174" s="5" t="s">
        <v>37</v>
      </c>
      <c r="E174" s="5" t="s">
        <v>40</v>
      </c>
      <c r="F174" s="5" t="s">
        <v>37</v>
      </c>
      <c r="G174" s="5" t="s">
        <v>38</v>
      </c>
      <c r="H174" s="6">
        <v>44958</v>
      </c>
      <c r="I174" s="5">
        <v>5.9</v>
      </c>
      <c r="J174" s="5">
        <v>76.8</v>
      </c>
      <c r="K174" s="5">
        <v>7.3</v>
      </c>
      <c r="L174" s="5">
        <v>92</v>
      </c>
      <c r="M174" s="5">
        <v>99</v>
      </c>
    </row>
    <row r="175" spans="1:13" x14ac:dyDescent="0.3">
      <c r="A175" s="5">
        <v>70</v>
      </c>
      <c r="B175" s="5" t="s">
        <v>35</v>
      </c>
      <c r="C175" s="5" t="s">
        <v>42</v>
      </c>
      <c r="D175" s="5" t="s">
        <v>37</v>
      </c>
      <c r="E175" s="5" t="s">
        <v>37</v>
      </c>
      <c r="F175" s="5" t="s">
        <v>40</v>
      </c>
      <c r="G175" s="5" t="s">
        <v>38</v>
      </c>
      <c r="H175" s="6"/>
      <c r="I175" s="5">
        <v>6.9</v>
      </c>
      <c r="J175" s="5">
        <v>79.400000000000006</v>
      </c>
      <c r="K175" s="5">
        <v>8</v>
      </c>
      <c r="L175" s="5">
        <v>90.5</v>
      </c>
      <c r="M175" s="5">
        <v>100</v>
      </c>
    </row>
    <row r="176" spans="1:13" x14ac:dyDescent="0.3">
      <c r="A176" s="5">
        <v>283</v>
      </c>
      <c r="B176" s="5" t="s">
        <v>44</v>
      </c>
      <c r="C176" s="5" t="s">
        <v>42</v>
      </c>
      <c r="D176" s="5" t="s">
        <v>37</v>
      </c>
      <c r="E176" s="5" t="s">
        <v>37</v>
      </c>
      <c r="F176" s="5" t="s">
        <v>37</v>
      </c>
      <c r="G176" s="5" t="s">
        <v>41</v>
      </c>
      <c r="H176" s="6"/>
      <c r="I176" s="5">
        <v>2.7</v>
      </c>
      <c r="J176" s="5">
        <v>73.7</v>
      </c>
      <c r="K176" s="5">
        <v>6.6</v>
      </c>
      <c r="L176" s="5">
        <v>54.2</v>
      </c>
      <c r="M176" s="5">
        <v>58.2</v>
      </c>
    </row>
    <row r="177" spans="1:13" x14ac:dyDescent="0.3">
      <c r="A177" s="5">
        <v>881</v>
      </c>
      <c r="B177" s="5" t="s">
        <v>44</v>
      </c>
      <c r="C177" s="5" t="s">
        <v>45</v>
      </c>
      <c r="D177" s="5" t="s">
        <v>37</v>
      </c>
      <c r="E177" s="5" t="s">
        <v>37</v>
      </c>
      <c r="F177" s="5" t="s">
        <v>40</v>
      </c>
      <c r="G177" s="5" t="s">
        <v>46</v>
      </c>
      <c r="H177" s="6">
        <v>45301</v>
      </c>
      <c r="I177" s="5">
        <v>4.5</v>
      </c>
      <c r="J177" s="5">
        <v>70.900000000000006</v>
      </c>
      <c r="K177" s="5">
        <v>5.8</v>
      </c>
      <c r="L177" s="5">
        <v>50.1</v>
      </c>
      <c r="M177" s="5">
        <v>69</v>
      </c>
    </row>
    <row r="178" spans="1:13" x14ac:dyDescent="0.3">
      <c r="A178" s="5">
        <v>209</v>
      </c>
      <c r="B178" s="5" t="s">
        <v>35</v>
      </c>
      <c r="C178" s="5" t="s">
        <v>36</v>
      </c>
      <c r="D178" s="5" t="s">
        <v>37</v>
      </c>
      <c r="E178" s="5" t="s">
        <v>37</v>
      </c>
      <c r="F178" s="5" t="s">
        <v>40</v>
      </c>
      <c r="G178" s="5" t="s">
        <v>43</v>
      </c>
      <c r="H178" s="6">
        <v>45296</v>
      </c>
      <c r="I178" s="5">
        <v>2.2000000000000002</v>
      </c>
      <c r="J178" s="5">
        <v>76.2</v>
      </c>
      <c r="K178" s="5">
        <v>6.7</v>
      </c>
      <c r="L178" s="5">
        <v>59.5</v>
      </c>
      <c r="M178" s="5">
        <v>72</v>
      </c>
    </row>
    <row r="179" spans="1:13" x14ac:dyDescent="0.3">
      <c r="A179" s="5">
        <v>620</v>
      </c>
      <c r="B179" s="5" t="s">
        <v>35</v>
      </c>
      <c r="C179" s="5" t="s">
        <v>36</v>
      </c>
      <c r="D179" s="5" t="s">
        <v>37</v>
      </c>
      <c r="E179" s="5" t="s">
        <v>40</v>
      </c>
      <c r="F179" s="5" t="s">
        <v>40</v>
      </c>
      <c r="G179" s="5" t="s">
        <v>47</v>
      </c>
      <c r="H179" s="6">
        <v>45284</v>
      </c>
      <c r="I179" s="5">
        <v>5.2</v>
      </c>
      <c r="J179" s="5">
        <v>98.3</v>
      </c>
      <c r="K179" s="5">
        <v>6.8</v>
      </c>
      <c r="L179" s="5">
        <v>60.6</v>
      </c>
      <c r="M179" s="5">
        <v>88.2</v>
      </c>
    </row>
    <row r="180" spans="1:13" x14ac:dyDescent="0.3">
      <c r="A180" s="5">
        <v>238</v>
      </c>
      <c r="B180" s="5" t="s">
        <v>35</v>
      </c>
      <c r="C180" s="5" t="s">
        <v>45</v>
      </c>
      <c r="D180" s="5" t="s">
        <v>40</v>
      </c>
      <c r="E180" s="5" t="s">
        <v>37</v>
      </c>
      <c r="F180" s="5" t="s">
        <v>40</v>
      </c>
      <c r="G180" s="5" t="s">
        <v>38</v>
      </c>
      <c r="H180" s="6">
        <v>45244</v>
      </c>
      <c r="I180" s="5">
        <v>5.5</v>
      </c>
      <c r="J180" s="5">
        <v>91.8</v>
      </c>
      <c r="K180" s="5">
        <v>6.5</v>
      </c>
      <c r="L180" s="5">
        <v>250</v>
      </c>
      <c r="M180" s="5">
        <v>98.5</v>
      </c>
    </row>
    <row r="181" spans="1:13" x14ac:dyDescent="0.3">
      <c r="A181" s="5">
        <v>39</v>
      </c>
      <c r="B181" s="5" t="s">
        <v>44</v>
      </c>
      <c r="C181" s="5" t="s">
        <v>36</v>
      </c>
      <c r="D181" s="5" t="s">
        <v>37</v>
      </c>
      <c r="E181" s="5" t="s">
        <v>37</v>
      </c>
      <c r="F181" s="5" t="s">
        <v>40</v>
      </c>
      <c r="G181" s="5" t="s">
        <v>47</v>
      </c>
      <c r="H181" s="6">
        <v>44996</v>
      </c>
      <c r="I181" s="5">
        <v>5.7</v>
      </c>
      <c r="J181" s="5">
        <v>98.1</v>
      </c>
      <c r="K181" s="5">
        <v>5.3</v>
      </c>
      <c r="L181" s="5">
        <v>45.3</v>
      </c>
      <c r="M181" s="5">
        <v>83.6</v>
      </c>
    </row>
    <row r="182" spans="1:13" x14ac:dyDescent="0.3">
      <c r="A182" s="5">
        <v>163</v>
      </c>
      <c r="B182" s="5" t="s">
        <v>44</v>
      </c>
      <c r="C182" s="5" t="s">
        <v>42</v>
      </c>
      <c r="D182" s="5" t="s">
        <v>37</v>
      </c>
      <c r="E182" s="5" t="s">
        <v>37</v>
      </c>
      <c r="F182" s="5" t="s">
        <v>37</v>
      </c>
      <c r="G182" s="5" t="s">
        <v>43</v>
      </c>
      <c r="H182" s="6">
        <v>45244</v>
      </c>
      <c r="I182" s="5">
        <v>1.7</v>
      </c>
      <c r="J182" s="5">
        <v>76.2</v>
      </c>
      <c r="K182" s="5">
        <v>7.3</v>
      </c>
      <c r="L182" s="5">
        <v>78.3</v>
      </c>
      <c r="M182" s="5">
        <v>73.2</v>
      </c>
    </row>
    <row r="183" spans="1:13" x14ac:dyDescent="0.3">
      <c r="A183" s="5">
        <v>67</v>
      </c>
      <c r="B183" s="5" t="s">
        <v>44</v>
      </c>
      <c r="C183" s="5" t="s">
        <v>36</v>
      </c>
      <c r="D183" s="5" t="s">
        <v>37</v>
      </c>
      <c r="E183" s="5" t="s">
        <v>40</v>
      </c>
      <c r="F183" s="5" t="s">
        <v>40</v>
      </c>
      <c r="G183" s="5" t="s">
        <v>47</v>
      </c>
      <c r="H183" s="6">
        <v>45482</v>
      </c>
      <c r="I183" s="5">
        <v>4.5999999999999996</v>
      </c>
      <c r="J183" s="5">
        <v>99.4</v>
      </c>
      <c r="K183" s="5">
        <v>7.1</v>
      </c>
      <c r="L183" s="5">
        <v>67</v>
      </c>
      <c r="M183" s="5">
        <v>80.2</v>
      </c>
    </row>
    <row r="184" spans="1:13" x14ac:dyDescent="0.3">
      <c r="A184" s="5">
        <v>720</v>
      </c>
      <c r="B184" s="5" t="s">
        <v>44</v>
      </c>
      <c r="C184" s="5"/>
      <c r="D184" s="5" t="s">
        <v>37</v>
      </c>
      <c r="E184" s="5" t="s">
        <v>40</v>
      </c>
      <c r="F184" s="5" t="s">
        <v>40</v>
      </c>
      <c r="G184" s="5" t="s">
        <v>43</v>
      </c>
      <c r="H184" s="6">
        <v>45044</v>
      </c>
      <c r="I184" s="5">
        <v>6.9</v>
      </c>
      <c r="J184" s="5">
        <v>74.099999999999994</v>
      </c>
      <c r="K184" s="5">
        <v>7.3</v>
      </c>
      <c r="L184" s="5">
        <v>35.700000000000003</v>
      </c>
      <c r="M184" s="5">
        <v>75.2</v>
      </c>
    </row>
    <row r="185" spans="1:13" x14ac:dyDescent="0.3">
      <c r="A185" s="5">
        <v>102</v>
      </c>
      <c r="B185" s="5" t="s">
        <v>35</v>
      </c>
      <c r="C185" s="5" t="s">
        <v>39</v>
      </c>
      <c r="D185" s="5" t="s">
        <v>37</v>
      </c>
      <c r="E185" s="5" t="s">
        <v>37</v>
      </c>
      <c r="F185" s="5" t="s">
        <v>37</v>
      </c>
      <c r="G185" s="5" t="s">
        <v>47</v>
      </c>
      <c r="H185" s="6">
        <v>45027</v>
      </c>
      <c r="I185" s="5">
        <v>6.9</v>
      </c>
      <c r="J185" s="5">
        <v>99.4</v>
      </c>
      <c r="K185" s="5">
        <v>8.8000000000000007</v>
      </c>
      <c r="L185" s="5">
        <v>68.2</v>
      </c>
      <c r="M185" s="5">
        <v>82.4</v>
      </c>
    </row>
    <row r="186" spans="1:13" x14ac:dyDescent="0.3">
      <c r="A186" s="5">
        <v>196</v>
      </c>
      <c r="B186" s="5" t="s">
        <v>44</v>
      </c>
      <c r="C186" s="5" t="s">
        <v>39</v>
      </c>
      <c r="D186" s="5" t="s">
        <v>37</v>
      </c>
      <c r="E186" s="5" t="s">
        <v>37</v>
      </c>
      <c r="F186" s="5" t="s">
        <v>37</v>
      </c>
      <c r="G186" s="5" t="s">
        <v>47</v>
      </c>
      <c r="H186" s="6"/>
      <c r="I186" s="5">
        <v>6.5</v>
      </c>
      <c r="J186" s="5">
        <v>83.5</v>
      </c>
      <c r="K186" s="5">
        <v>4.8</v>
      </c>
      <c r="L186" s="5">
        <v>39.299999999999997</v>
      </c>
      <c r="M186" s="5">
        <v>83.3</v>
      </c>
    </row>
    <row r="187" spans="1:13" x14ac:dyDescent="0.3">
      <c r="A187" s="5">
        <v>798</v>
      </c>
      <c r="B187" s="5" t="s">
        <v>44</v>
      </c>
      <c r="C187" s="5" t="s">
        <v>45</v>
      </c>
      <c r="D187" s="5" t="s">
        <v>40</v>
      </c>
      <c r="E187" s="5" t="s">
        <v>40</v>
      </c>
      <c r="F187" s="5" t="s">
        <v>40</v>
      </c>
      <c r="G187" s="5" t="s">
        <v>43</v>
      </c>
      <c r="H187" s="6">
        <v>45022</v>
      </c>
      <c r="I187" s="5">
        <v>4.0999999999999996</v>
      </c>
      <c r="J187" s="5">
        <v>82.2</v>
      </c>
      <c r="K187" s="5">
        <v>8</v>
      </c>
      <c r="L187" s="5">
        <v>77.3</v>
      </c>
      <c r="M187" s="5">
        <v>78.5</v>
      </c>
    </row>
    <row r="188" spans="1:13" x14ac:dyDescent="0.3">
      <c r="A188" s="5">
        <v>22</v>
      </c>
      <c r="B188" s="5" t="s">
        <v>44</v>
      </c>
      <c r="C188" s="5" t="s">
        <v>45</v>
      </c>
      <c r="D188" s="5" t="s">
        <v>37</v>
      </c>
      <c r="E188" s="5" t="s">
        <v>40</v>
      </c>
      <c r="F188" s="5" t="s">
        <v>37</v>
      </c>
      <c r="G188" s="5" t="s">
        <v>43</v>
      </c>
      <c r="H188" s="6">
        <v>45038</v>
      </c>
      <c r="I188" s="5">
        <v>6.6</v>
      </c>
      <c r="J188" s="5">
        <v>73.400000000000006</v>
      </c>
      <c r="K188" s="5">
        <v>4.5999999999999996</v>
      </c>
      <c r="L188" s="5">
        <v>71</v>
      </c>
      <c r="M188" s="5">
        <v>75.5</v>
      </c>
    </row>
    <row r="189" spans="1:13" x14ac:dyDescent="0.3">
      <c r="A189" s="5">
        <v>937</v>
      </c>
      <c r="B189" s="5" t="s">
        <v>44</v>
      </c>
      <c r="C189" s="5" t="s">
        <v>45</v>
      </c>
      <c r="D189" s="5" t="s">
        <v>37</v>
      </c>
      <c r="E189" s="5" t="s">
        <v>40</v>
      </c>
      <c r="F189" s="5" t="s">
        <v>37</v>
      </c>
      <c r="G189" s="5" t="s">
        <v>46</v>
      </c>
      <c r="H189" s="6">
        <v>45423</v>
      </c>
      <c r="I189" s="5">
        <v>3.2</v>
      </c>
      <c r="J189" s="5">
        <v>95.2</v>
      </c>
      <c r="K189" s="5">
        <v>4.0999999999999996</v>
      </c>
      <c r="L189" s="5">
        <v>82.5</v>
      </c>
      <c r="M189" s="5">
        <v>68.5</v>
      </c>
    </row>
    <row r="190" spans="1:13" x14ac:dyDescent="0.3">
      <c r="A190" s="5">
        <v>410</v>
      </c>
      <c r="B190" s="5" t="s">
        <v>44</v>
      </c>
      <c r="C190" s="5" t="s">
        <v>45</v>
      </c>
      <c r="D190" s="5" t="s">
        <v>37</v>
      </c>
      <c r="E190" s="5" t="s">
        <v>37</v>
      </c>
      <c r="F190" s="5" t="s">
        <v>40</v>
      </c>
      <c r="G190" s="5" t="s">
        <v>41</v>
      </c>
      <c r="H190" s="6">
        <v>45475</v>
      </c>
      <c r="I190" s="5">
        <v>0.8</v>
      </c>
      <c r="J190" s="5">
        <v>86</v>
      </c>
      <c r="K190" s="5">
        <v>4.5</v>
      </c>
      <c r="L190" s="5">
        <v>53</v>
      </c>
      <c r="M190" s="5">
        <v>49.2</v>
      </c>
    </row>
    <row r="191" spans="1:13" x14ac:dyDescent="0.3">
      <c r="A191" s="5">
        <v>138</v>
      </c>
      <c r="B191" s="5" t="s">
        <v>44</v>
      </c>
      <c r="C191" s="5" t="s">
        <v>45</v>
      </c>
      <c r="D191" s="5" t="s">
        <v>40</v>
      </c>
      <c r="E191" s="5" t="s">
        <v>37</v>
      </c>
      <c r="F191" s="5" t="s">
        <v>37</v>
      </c>
      <c r="G191" s="5" t="s">
        <v>46</v>
      </c>
      <c r="H191" s="6">
        <v>45160</v>
      </c>
      <c r="I191" s="5">
        <v>3.2</v>
      </c>
      <c r="J191" s="5">
        <v>83.5</v>
      </c>
      <c r="K191" s="5">
        <v>4.7</v>
      </c>
      <c r="L191" s="5">
        <v>38.299999999999997</v>
      </c>
      <c r="M191" s="5">
        <v>68.7</v>
      </c>
    </row>
    <row r="192" spans="1:13" x14ac:dyDescent="0.3">
      <c r="A192" s="5">
        <v>20</v>
      </c>
      <c r="B192" s="5" t="s">
        <v>35</v>
      </c>
      <c r="C192" s="5" t="s">
        <v>42</v>
      </c>
      <c r="D192" s="5" t="s">
        <v>37</v>
      </c>
      <c r="E192" s="5" t="s">
        <v>37</v>
      </c>
      <c r="F192" s="5" t="s">
        <v>40</v>
      </c>
      <c r="G192" s="5" t="s">
        <v>47</v>
      </c>
      <c r="H192" s="6"/>
      <c r="I192" s="5">
        <v>2.2000000000000002</v>
      </c>
      <c r="J192" s="5">
        <v>97.8</v>
      </c>
      <c r="K192" s="5">
        <v>4.8</v>
      </c>
      <c r="L192" s="5">
        <v>88.5</v>
      </c>
      <c r="M192" s="5">
        <v>84.4</v>
      </c>
    </row>
    <row r="193" spans="1:13" x14ac:dyDescent="0.3">
      <c r="A193" s="5">
        <v>348</v>
      </c>
      <c r="B193" s="5" t="s">
        <v>35</v>
      </c>
      <c r="C193" s="5" t="s">
        <v>39</v>
      </c>
      <c r="D193" s="5" t="s">
        <v>37</v>
      </c>
      <c r="E193" s="5" t="s">
        <v>37</v>
      </c>
      <c r="F193" s="5" t="s">
        <v>40</v>
      </c>
      <c r="G193" s="5" t="s">
        <v>43</v>
      </c>
      <c r="H193" s="6">
        <v>45453</v>
      </c>
      <c r="I193" s="5">
        <v>3.3</v>
      </c>
      <c r="J193" s="5">
        <v>96.5</v>
      </c>
      <c r="K193" s="5">
        <v>4.5</v>
      </c>
      <c r="L193" s="5">
        <v>85.6</v>
      </c>
      <c r="M193" s="5">
        <v>79</v>
      </c>
    </row>
    <row r="194" spans="1:13" x14ac:dyDescent="0.3">
      <c r="A194" s="5">
        <v>941</v>
      </c>
      <c r="B194" s="5" t="s">
        <v>44</v>
      </c>
      <c r="C194" s="5" t="s">
        <v>45</v>
      </c>
      <c r="D194" s="5" t="s">
        <v>37</v>
      </c>
      <c r="E194" s="5" t="s">
        <v>40</v>
      </c>
      <c r="F194" s="5" t="s">
        <v>40</v>
      </c>
      <c r="G194" s="5" t="s">
        <v>47</v>
      </c>
      <c r="H194" s="6">
        <v>45328</v>
      </c>
      <c r="I194" s="5">
        <v>5.8</v>
      </c>
      <c r="J194" s="5">
        <v>65.7</v>
      </c>
      <c r="K194" s="5">
        <v>4.9000000000000004</v>
      </c>
      <c r="L194" s="5">
        <v>85.3</v>
      </c>
      <c r="M194" s="5">
        <v>81.099999999999994</v>
      </c>
    </row>
    <row r="195" spans="1:13" x14ac:dyDescent="0.3">
      <c r="A195" s="5">
        <v>916</v>
      </c>
      <c r="B195" s="5" t="s">
        <v>35</v>
      </c>
      <c r="C195" s="5" t="s">
        <v>39</v>
      </c>
      <c r="D195" s="5" t="s">
        <v>37</v>
      </c>
      <c r="E195" s="5" t="s">
        <v>40</v>
      </c>
      <c r="F195" s="5" t="s">
        <v>40</v>
      </c>
      <c r="G195" s="5" t="s">
        <v>43</v>
      </c>
      <c r="H195" s="6">
        <v>45481</v>
      </c>
      <c r="I195" s="5">
        <v>5</v>
      </c>
      <c r="J195" s="5">
        <v>72</v>
      </c>
      <c r="K195" s="5">
        <v>7.8</v>
      </c>
      <c r="L195" s="5">
        <v>57</v>
      </c>
      <c r="M195" s="5">
        <v>79.3</v>
      </c>
    </row>
    <row r="196" spans="1:13" x14ac:dyDescent="0.3">
      <c r="A196" s="5">
        <v>146</v>
      </c>
      <c r="B196" s="5" t="s">
        <v>35</v>
      </c>
      <c r="C196" s="5" t="s">
        <v>42</v>
      </c>
      <c r="D196" s="5" t="s">
        <v>37</v>
      </c>
      <c r="E196" s="5" t="s">
        <v>40</v>
      </c>
      <c r="F196" s="5" t="s">
        <v>37</v>
      </c>
      <c r="G196" s="5" t="s">
        <v>38</v>
      </c>
      <c r="H196" s="6">
        <v>44930</v>
      </c>
      <c r="I196" s="5">
        <v>6.6</v>
      </c>
      <c r="J196" s="5">
        <v>78.7</v>
      </c>
      <c r="K196" s="5">
        <v>8.6</v>
      </c>
      <c r="L196" s="5">
        <v>75.8</v>
      </c>
      <c r="M196" s="5">
        <v>95.3</v>
      </c>
    </row>
    <row r="197" spans="1:13" x14ac:dyDescent="0.3">
      <c r="A197" s="5">
        <v>185</v>
      </c>
      <c r="B197" s="5" t="s">
        <v>44</v>
      </c>
      <c r="C197" s="5"/>
      <c r="D197" s="5" t="s">
        <v>37</v>
      </c>
      <c r="E197" s="5" t="s">
        <v>37</v>
      </c>
      <c r="F197" s="5" t="s">
        <v>40</v>
      </c>
      <c r="G197" s="5" t="s">
        <v>47</v>
      </c>
      <c r="H197" s="6">
        <v>45596</v>
      </c>
      <c r="I197" s="5">
        <v>1.6</v>
      </c>
      <c r="J197" s="5">
        <v>87.4</v>
      </c>
      <c r="K197" s="5">
        <v>7.9</v>
      </c>
      <c r="L197" s="5">
        <v>85.9</v>
      </c>
      <c r="M197" s="5">
        <v>84.5</v>
      </c>
    </row>
    <row r="198" spans="1:13" x14ac:dyDescent="0.3">
      <c r="A198" s="5">
        <v>930</v>
      </c>
      <c r="B198" s="5" t="s">
        <v>44</v>
      </c>
      <c r="C198" s="5" t="s">
        <v>42</v>
      </c>
      <c r="D198" s="5" t="s">
        <v>37</v>
      </c>
      <c r="E198" s="5" t="s">
        <v>40</v>
      </c>
      <c r="F198" s="5" t="s">
        <v>37</v>
      </c>
      <c r="G198" s="5" t="s">
        <v>38</v>
      </c>
      <c r="H198" s="6">
        <v>45052</v>
      </c>
      <c r="I198" s="5">
        <v>3.7</v>
      </c>
      <c r="J198" s="5">
        <v>84.8</v>
      </c>
      <c r="K198" s="5">
        <v>4.5</v>
      </c>
      <c r="L198" s="5">
        <v>93.4</v>
      </c>
      <c r="M198" s="5">
        <v>90.1</v>
      </c>
    </row>
    <row r="199" spans="1:13" x14ac:dyDescent="0.3">
      <c r="A199" s="5">
        <v>565</v>
      </c>
      <c r="B199" s="5" t="s">
        <v>35</v>
      </c>
      <c r="C199" s="5" t="s">
        <v>42</v>
      </c>
      <c r="D199" s="5" t="s">
        <v>37</v>
      </c>
      <c r="E199" s="5" t="s">
        <v>40</v>
      </c>
      <c r="F199" s="5" t="s">
        <v>37</v>
      </c>
      <c r="G199" s="5" t="s">
        <v>38</v>
      </c>
      <c r="H199" s="6">
        <v>45177</v>
      </c>
      <c r="I199" s="5">
        <v>6.6</v>
      </c>
      <c r="J199" s="5">
        <v>75.2</v>
      </c>
      <c r="K199" s="5">
        <v>6.1</v>
      </c>
      <c r="L199" s="5">
        <v>94.7</v>
      </c>
      <c r="M199" s="5">
        <v>91.2</v>
      </c>
    </row>
    <row r="200" spans="1:13" x14ac:dyDescent="0.3">
      <c r="A200" s="5">
        <v>940</v>
      </c>
      <c r="B200" s="5" t="s">
        <v>35</v>
      </c>
      <c r="C200" s="5" t="s">
        <v>45</v>
      </c>
      <c r="D200" s="5" t="s">
        <v>37</v>
      </c>
      <c r="E200" s="5" t="s">
        <v>37</v>
      </c>
      <c r="F200" s="5" t="s">
        <v>37</v>
      </c>
      <c r="G200" s="5" t="s">
        <v>47</v>
      </c>
      <c r="H200" s="6">
        <v>45133</v>
      </c>
      <c r="I200" s="5">
        <v>3.4</v>
      </c>
      <c r="J200" s="5">
        <v>93.1</v>
      </c>
      <c r="K200" s="5">
        <v>6.1</v>
      </c>
      <c r="L200" s="5">
        <v>82.6</v>
      </c>
      <c r="M200" s="5">
        <v>86.5</v>
      </c>
    </row>
    <row r="201" spans="1:13" x14ac:dyDescent="0.3">
      <c r="A201" s="5">
        <v>707</v>
      </c>
      <c r="B201" s="5" t="s">
        <v>44</v>
      </c>
      <c r="C201" s="5"/>
      <c r="D201" s="5" t="s">
        <v>37</v>
      </c>
      <c r="E201" s="5" t="s">
        <v>37</v>
      </c>
      <c r="F201" s="5" t="s">
        <v>40</v>
      </c>
      <c r="G201" s="5" t="s">
        <v>47</v>
      </c>
      <c r="H201" s="6">
        <v>45143</v>
      </c>
      <c r="I201" s="5">
        <v>6.8</v>
      </c>
      <c r="J201" s="5">
        <v>89.6</v>
      </c>
      <c r="K201" s="5">
        <v>5.4</v>
      </c>
      <c r="L201" s="5">
        <v>52.5</v>
      </c>
      <c r="M201" s="5">
        <v>87.6</v>
      </c>
    </row>
    <row r="202" spans="1:13" x14ac:dyDescent="0.3">
      <c r="A202" s="5">
        <v>571</v>
      </c>
      <c r="B202" s="5" t="s">
        <v>44</v>
      </c>
      <c r="C202" s="5" t="s">
        <v>42</v>
      </c>
      <c r="D202" s="5" t="s">
        <v>37</v>
      </c>
      <c r="E202" s="5" t="s">
        <v>37</v>
      </c>
      <c r="F202" s="5" t="s">
        <v>40</v>
      </c>
      <c r="G202" s="5" t="s">
        <v>43</v>
      </c>
      <c r="H202" s="6">
        <v>45581</v>
      </c>
      <c r="I202" s="5">
        <v>2.6</v>
      </c>
      <c r="J202" s="5">
        <v>97.5</v>
      </c>
      <c r="K202" s="5">
        <v>5.7</v>
      </c>
      <c r="L202" s="5">
        <v>88.7</v>
      </c>
      <c r="M202" s="5">
        <v>77.5</v>
      </c>
    </row>
    <row r="203" spans="1:13" x14ac:dyDescent="0.3">
      <c r="A203" s="5">
        <v>267</v>
      </c>
      <c r="B203" s="5" t="s">
        <v>44</v>
      </c>
      <c r="C203" s="5"/>
      <c r="D203" s="5" t="s">
        <v>37</v>
      </c>
      <c r="E203" s="5" t="s">
        <v>40</v>
      </c>
      <c r="F203" s="5" t="s">
        <v>40</v>
      </c>
      <c r="G203" s="5" t="s">
        <v>41</v>
      </c>
      <c r="H203" s="6">
        <v>45476</v>
      </c>
      <c r="I203" s="5">
        <v>1.3</v>
      </c>
      <c r="J203" s="5">
        <v>84.4</v>
      </c>
      <c r="K203" s="5">
        <v>7</v>
      </c>
      <c r="L203" s="5">
        <v>83.3</v>
      </c>
      <c r="M203" s="5">
        <v>57</v>
      </c>
    </row>
    <row r="204" spans="1:13" x14ac:dyDescent="0.3">
      <c r="A204" s="5">
        <v>170</v>
      </c>
      <c r="B204" s="5" t="s">
        <v>44</v>
      </c>
      <c r="C204" s="5" t="s">
        <v>36</v>
      </c>
      <c r="D204" s="5" t="s">
        <v>37</v>
      </c>
      <c r="E204" s="5" t="s">
        <v>37</v>
      </c>
      <c r="F204" s="5" t="s">
        <v>37</v>
      </c>
      <c r="G204" s="5" t="s">
        <v>41</v>
      </c>
      <c r="H204" s="6">
        <v>45126</v>
      </c>
      <c r="I204" s="5">
        <v>1.6</v>
      </c>
      <c r="J204" s="5">
        <v>77.5</v>
      </c>
      <c r="K204" s="5">
        <v>6.4</v>
      </c>
      <c r="L204" s="5">
        <v>42.6</v>
      </c>
      <c r="M204" s="5">
        <v>50.5</v>
      </c>
    </row>
    <row r="205" spans="1:13" x14ac:dyDescent="0.3">
      <c r="A205" s="5">
        <v>589</v>
      </c>
      <c r="B205" s="5" t="s">
        <v>35</v>
      </c>
      <c r="C205" s="5" t="s">
        <v>45</v>
      </c>
      <c r="D205" s="5" t="s">
        <v>37</v>
      </c>
      <c r="E205" s="5" t="s">
        <v>40</v>
      </c>
      <c r="F205" s="5" t="s">
        <v>37</v>
      </c>
      <c r="G205" s="5" t="s">
        <v>46</v>
      </c>
      <c r="H205" s="6">
        <v>45061</v>
      </c>
      <c r="I205" s="5">
        <v>0.6</v>
      </c>
      <c r="J205" s="5">
        <v>87.1</v>
      </c>
      <c r="K205" s="5">
        <v>9</v>
      </c>
      <c r="L205" s="5">
        <v>60.5</v>
      </c>
      <c r="M205" s="5">
        <v>63.6</v>
      </c>
    </row>
    <row r="206" spans="1:13" x14ac:dyDescent="0.3">
      <c r="A206" s="5">
        <v>11</v>
      </c>
      <c r="B206" s="5" t="s">
        <v>35</v>
      </c>
      <c r="C206" s="5"/>
      <c r="D206" s="5" t="s">
        <v>37</v>
      </c>
      <c r="E206" s="5" t="s">
        <v>40</v>
      </c>
      <c r="F206" s="5" t="s">
        <v>37</v>
      </c>
      <c r="G206" s="5" t="s">
        <v>46</v>
      </c>
      <c r="H206" s="6">
        <v>45387</v>
      </c>
      <c r="I206" s="5">
        <v>5</v>
      </c>
      <c r="J206" s="5">
        <v>80.599999999999994</v>
      </c>
      <c r="K206" s="5">
        <v>5.9</v>
      </c>
      <c r="L206" s="5">
        <v>40.299999999999997</v>
      </c>
      <c r="M206" s="5">
        <v>60.6</v>
      </c>
    </row>
    <row r="207" spans="1:13" x14ac:dyDescent="0.3">
      <c r="A207" s="5">
        <v>686</v>
      </c>
      <c r="B207" s="5" t="s">
        <v>44</v>
      </c>
      <c r="C207" s="5" t="s">
        <v>39</v>
      </c>
      <c r="D207" s="5" t="s">
        <v>37</v>
      </c>
      <c r="E207" s="5" t="s">
        <v>37</v>
      </c>
      <c r="F207" s="5" t="s">
        <v>40</v>
      </c>
      <c r="G207" s="5" t="s">
        <v>47</v>
      </c>
      <c r="H207" s="6">
        <v>45118</v>
      </c>
      <c r="I207" s="5">
        <v>4.8</v>
      </c>
      <c r="J207" s="5">
        <v>71.900000000000006</v>
      </c>
      <c r="K207" s="5">
        <v>7.6</v>
      </c>
      <c r="L207" s="5">
        <v>71.7</v>
      </c>
      <c r="M207" s="5">
        <v>84.5</v>
      </c>
    </row>
    <row r="208" spans="1:13" x14ac:dyDescent="0.3">
      <c r="A208" s="5">
        <v>795</v>
      </c>
      <c r="B208" s="5" t="s">
        <v>44</v>
      </c>
      <c r="C208" s="5" t="s">
        <v>39</v>
      </c>
      <c r="D208" s="5" t="s">
        <v>37</v>
      </c>
      <c r="E208" s="5" t="s">
        <v>37</v>
      </c>
      <c r="F208" s="5" t="s">
        <v>40</v>
      </c>
      <c r="G208" s="5" t="s">
        <v>43</v>
      </c>
      <c r="H208" s="6">
        <v>44942</v>
      </c>
      <c r="I208" s="5">
        <v>3.2</v>
      </c>
      <c r="J208" s="5">
        <v>90.1</v>
      </c>
      <c r="K208" s="5">
        <v>5</v>
      </c>
      <c r="L208" s="5">
        <v>67.7</v>
      </c>
      <c r="M208" s="5">
        <v>74.099999999999994</v>
      </c>
    </row>
    <row r="209" spans="1:13" x14ac:dyDescent="0.3">
      <c r="A209" s="5">
        <v>144</v>
      </c>
      <c r="B209" s="5" t="s">
        <v>44</v>
      </c>
      <c r="C209" s="5" t="s">
        <v>42</v>
      </c>
      <c r="D209" s="5" t="s">
        <v>37</v>
      </c>
      <c r="E209" s="5" t="s">
        <v>37</v>
      </c>
      <c r="F209" s="5" t="s">
        <v>37</v>
      </c>
      <c r="G209" s="5" t="s">
        <v>43</v>
      </c>
      <c r="H209" s="6">
        <v>45203</v>
      </c>
      <c r="I209" s="5">
        <v>4.8</v>
      </c>
      <c r="J209" s="5">
        <v>84.4</v>
      </c>
      <c r="K209" s="5">
        <v>5.6</v>
      </c>
      <c r="L209" s="5">
        <v>45</v>
      </c>
      <c r="M209" s="5">
        <v>75.599999999999994</v>
      </c>
    </row>
    <row r="210" spans="1:13" x14ac:dyDescent="0.3">
      <c r="A210" s="5">
        <v>453</v>
      </c>
      <c r="B210" s="5" t="s">
        <v>44</v>
      </c>
      <c r="C210" s="5" t="s">
        <v>42</v>
      </c>
      <c r="D210" s="5" t="s">
        <v>37</v>
      </c>
      <c r="E210" s="5" t="s">
        <v>37</v>
      </c>
      <c r="F210" s="5" t="s">
        <v>37</v>
      </c>
      <c r="G210" s="5" t="s">
        <v>41</v>
      </c>
      <c r="H210" s="6">
        <v>45459</v>
      </c>
      <c r="I210" s="5">
        <v>1.5</v>
      </c>
      <c r="J210" s="5">
        <v>80.8</v>
      </c>
      <c r="K210" s="5">
        <v>5.8</v>
      </c>
      <c r="L210" s="5">
        <v>67.400000000000006</v>
      </c>
      <c r="M210" s="5">
        <v>55.9</v>
      </c>
    </row>
    <row r="211" spans="1:13" x14ac:dyDescent="0.3">
      <c r="A211" s="5">
        <v>933</v>
      </c>
      <c r="B211" s="5" t="s">
        <v>44</v>
      </c>
      <c r="C211" s="5"/>
      <c r="D211" s="5" t="s">
        <v>37</v>
      </c>
      <c r="E211" s="5" t="s">
        <v>37</v>
      </c>
      <c r="F211" s="5" t="s">
        <v>40</v>
      </c>
      <c r="G211" s="5" t="s">
        <v>43</v>
      </c>
      <c r="H211" s="6">
        <v>45292</v>
      </c>
      <c r="I211" s="5">
        <v>5.0999999999999996</v>
      </c>
      <c r="J211" s="5">
        <v>95.8</v>
      </c>
      <c r="K211" s="5">
        <v>7.4</v>
      </c>
      <c r="L211" s="5">
        <v>52.7</v>
      </c>
      <c r="M211" s="5">
        <v>74.099999999999994</v>
      </c>
    </row>
    <row r="212" spans="1:13" x14ac:dyDescent="0.3">
      <c r="A212" s="5">
        <v>902</v>
      </c>
      <c r="B212" s="5" t="s">
        <v>35</v>
      </c>
      <c r="C212" s="5" t="s">
        <v>42</v>
      </c>
      <c r="D212" s="5" t="s">
        <v>40</v>
      </c>
      <c r="E212" s="5" t="s">
        <v>37</v>
      </c>
      <c r="F212" s="5" t="s">
        <v>40</v>
      </c>
      <c r="G212" s="5" t="s">
        <v>43</v>
      </c>
      <c r="H212" s="6">
        <v>45511</v>
      </c>
      <c r="I212" s="5">
        <v>4.5</v>
      </c>
      <c r="J212" s="5">
        <v>80.400000000000006</v>
      </c>
      <c r="K212" s="5">
        <v>7.2</v>
      </c>
      <c r="L212" s="5">
        <v>50.5</v>
      </c>
      <c r="M212" s="5">
        <v>75.599999999999994</v>
      </c>
    </row>
    <row r="213" spans="1:13" x14ac:dyDescent="0.3">
      <c r="A213" s="5">
        <v>213</v>
      </c>
      <c r="B213" s="5" t="s">
        <v>35</v>
      </c>
      <c r="C213" s="5"/>
      <c r="D213" s="5" t="s">
        <v>37</v>
      </c>
      <c r="E213" s="5" t="s">
        <v>40</v>
      </c>
      <c r="F213" s="5" t="s">
        <v>40</v>
      </c>
      <c r="G213" s="5" t="s">
        <v>43</v>
      </c>
      <c r="H213" s="6"/>
      <c r="I213" s="5">
        <v>6.4</v>
      </c>
      <c r="J213" s="5">
        <v>84.2</v>
      </c>
      <c r="K213" s="5">
        <v>6.5</v>
      </c>
      <c r="L213" s="5">
        <v>71</v>
      </c>
      <c r="M213" s="5">
        <v>73</v>
      </c>
    </row>
    <row r="214" spans="1:13" x14ac:dyDescent="0.3">
      <c r="A214" s="5">
        <v>105</v>
      </c>
      <c r="B214" s="5" t="s">
        <v>35</v>
      </c>
      <c r="C214" s="5"/>
      <c r="D214" s="5" t="s">
        <v>37</v>
      </c>
      <c r="E214" s="5" t="s">
        <v>37</v>
      </c>
      <c r="F214" s="5" t="s">
        <v>37</v>
      </c>
      <c r="G214" s="5" t="s">
        <v>43</v>
      </c>
      <c r="H214" s="6">
        <v>45255</v>
      </c>
      <c r="I214" s="5">
        <v>2.2000000000000002</v>
      </c>
      <c r="J214" s="5">
        <v>94.6</v>
      </c>
      <c r="K214" s="5">
        <v>4.9000000000000004</v>
      </c>
      <c r="L214" s="5">
        <v>77.599999999999994</v>
      </c>
      <c r="M214" s="5">
        <v>77.5</v>
      </c>
    </row>
    <row r="215" spans="1:13" x14ac:dyDescent="0.3">
      <c r="A215" s="5">
        <v>300</v>
      </c>
      <c r="B215" s="5" t="s">
        <v>44</v>
      </c>
      <c r="C215" s="5" t="s">
        <v>39</v>
      </c>
      <c r="D215" s="5" t="s">
        <v>37</v>
      </c>
      <c r="E215" s="5" t="s">
        <v>40</v>
      </c>
      <c r="F215" s="5" t="s">
        <v>40</v>
      </c>
      <c r="G215" s="5" t="s">
        <v>46</v>
      </c>
      <c r="H215" s="6">
        <v>45562</v>
      </c>
      <c r="I215" s="5">
        <v>1.6</v>
      </c>
      <c r="J215" s="5">
        <v>93.7</v>
      </c>
      <c r="K215" s="5">
        <v>4.2</v>
      </c>
      <c r="L215" s="5">
        <v>67</v>
      </c>
      <c r="M215" s="5">
        <v>61.9</v>
      </c>
    </row>
    <row r="216" spans="1:13" x14ac:dyDescent="0.3">
      <c r="A216" s="5">
        <v>406</v>
      </c>
      <c r="B216" s="5" t="s">
        <v>35</v>
      </c>
      <c r="C216" s="5" t="s">
        <v>45</v>
      </c>
      <c r="D216" s="5" t="s">
        <v>37</v>
      </c>
      <c r="E216" s="5" t="s">
        <v>40</v>
      </c>
      <c r="F216" s="5" t="s">
        <v>37</v>
      </c>
      <c r="G216" s="5" t="s">
        <v>41</v>
      </c>
      <c r="H216" s="6">
        <v>45569</v>
      </c>
      <c r="I216" s="5">
        <v>2.6</v>
      </c>
      <c r="J216" s="5">
        <v>67.900000000000006</v>
      </c>
      <c r="K216" s="5">
        <v>4.8</v>
      </c>
      <c r="L216" s="5">
        <v>47.8</v>
      </c>
      <c r="M216" s="5">
        <v>57</v>
      </c>
    </row>
    <row r="217" spans="1:13" x14ac:dyDescent="0.3">
      <c r="A217" s="5">
        <v>85</v>
      </c>
      <c r="B217" s="5" t="s">
        <v>44</v>
      </c>
      <c r="C217" s="5" t="s">
        <v>42</v>
      </c>
      <c r="D217" s="5" t="s">
        <v>37</v>
      </c>
      <c r="E217" s="5" t="s">
        <v>37</v>
      </c>
      <c r="F217" s="5" t="s">
        <v>37</v>
      </c>
      <c r="G217" s="5" t="s">
        <v>43</v>
      </c>
      <c r="H217" s="6">
        <v>45597</v>
      </c>
      <c r="I217" s="5">
        <v>5.0999999999999996</v>
      </c>
      <c r="J217" s="5">
        <v>70.3</v>
      </c>
      <c r="K217" s="5">
        <v>4.2</v>
      </c>
      <c r="L217" s="5">
        <v>67</v>
      </c>
      <c r="M217" s="5">
        <v>70</v>
      </c>
    </row>
    <row r="218" spans="1:13" x14ac:dyDescent="0.3">
      <c r="A218" s="5">
        <v>394</v>
      </c>
      <c r="B218" s="5" t="s">
        <v>44</v>
      </c>
      <c r="C218" s="5" t="s">
        <v>45</v>
      </c>
      <c r="D218" s="5" t="s">
        <v>40</v>
      </c>
      <c r="E218" s="5" t="s">
        <v>37</v>
      </c>
      <c r="F218" s="5" t="s">
        <v>40</v>
      </c>
      <c r="G218" s="5" t="s">
        <v>47</v>
      </c>
      <c r="H218" s="6">
        <v>45010</v>
      </c>
      <c r="I218" s="5">
        <v>2.6</v>
      </c>
      <c r="J218" s="5">
        <v>81.5</v>
      </c>
      <c r="K218" s="5">
        <v>6.4</v>
      </c>
      <c r="L218" s="5">
        <v>86.8</v>
      </c>
      <c r="M218" s="5">
        <v>80.900000000000006</v>
      </c>
    </row>
    <row r="219" spans="1:13" x14ac:dyDescent="0.3">
      <c r="A219" s="5">
        <v>449</v>
      </c>
      <c r="B219" s="5" t="s">
        <v>35</v>
      </c>
      <c r="C219" s="5" t="s">
        <v>36</v>
      </c>
      <c r="D219" s="5" t="s">
        <v>37</v>
      </c>
      <c r="E219" s="5" t="s">
        <v>40</v>
      </c>
      <c r="F219" s="5" t="s">
        <v>37</v>
      </c>
      <c r="G219" s="5" t="s">
        <v>41</v>
      </c>
      <c r="H219" s="6"/>
      <c r="I219" s="5">
        <v>1.4</v>
      </c>
      <c r="J219" s="5">
        <v>97.4</v>
      </c>
      <c r="K219" s="5">
        <v>6.4</v>
      </c>
      <c r="L219" s="5">
        <v>57</v>
      </c>
      <c r="M219" s="5">
        <v>51.4</v>
      </c>
    </row>
    <row r="220" spans="1:13" x14ac:dyDescent="0.3">
      <c r="A220" s="5">
        <v>201</v>
      </c>
      <c r="B220" s="5" t="s">
        <v>44</v>
      </c>
      <c r="C220" s="5" t="s">
        <v>36</v>
      </c>
      <c r="D220" s="5" t="s">
        <v>37</v>
      </c>
      <c r="E220" s="5" t="s">
        <v>37</v>
      </c>
      <c r="F220" s="5" t="s">
        <v>37</v>
      </c>
      <c r="G220" s="5" t="s">
        <v>46</v>
      </c>
      <c r="H220" s="6">
        <v>45225</v>
      </c>
      <c r="I220" s="5">
        <v>4.9000000000000004</v>
      </c>
      <c r="J220" s="5">
        <v>88.9</v>
      </c>
      <c r="K220" s="5">
        <v>4.4000000000000004</v>
      </c>
      <c r="L220" s="5">
        <v>48.3</v>
      </c>
      <c r="M220" s="5">
        <v>64.5</v>
      </c>
    </row>
    <row r="221" spans="1:13" x14ac:dyDescent="0.3">
      <c r="A221" s="5">
        <v>471</v>
      </c>
      <c r="B221" s="5" t="s">
        <v>35</v>
      </c>
      <c r="C221" s="5" t="s">
        <v>36</v>
      </c>
      <c r="D221" s="5" t="s">
        <v>37</v>
      </c>
      <c r="E221" s="5" t="s">
        <v>40</v>
      </c>
      <c r="F221" s="5" t="s">
        <v>37</v>
      </c>
      <c r="G221" s="5" t="s">
        <v>47</v>
      </c>
      <c r="H221" s="6">
        <v>45451</v>
      </c>
      <c r="I221" s="5">
        <v>5.6</v>
      </c>
      <c r="J221" s="5">
        <v>94</v>
      </c>
      <c r="K221" s="5">
        <v>6.4</v>
      </c>
      <c r="L221" s="5">
        <v>86.3</v>
      </c>
      <c r="M221" s="5">
        <v>89.3</v>
      </c>
    </row>
    <row r="222" spans="1:13" x14ac:dyDescent="0.3">
      <c r="A222" s="5">
        <v>52</v>
      </c>
      <c r="B222" s="5" t="s">
        <v>44</v>
      </c>
      <c r="C222" s="5"/>
      <c r="D222" s="5" t="s">
        <v>37</v>
      </c>
      <c r="E222" s="5" t="s">
        <v>37</v>
      </c>
      <c r="F222" s="5" t="s">
        <v>40</v>
      </c>
      <c r="G222" s="5" t="s">
        <v>43</v>
      </c>
      <c r="H222" s="6"/>
      <c r="I222" s="5">
        <v>6.6</v>
      </c>
      <c r="J222" s="5">
        <v>75.5</v>
      </c>
      <c r="K222" s="5">
        <v>6.9</v>
      </c>
      <c r="L222" s="5">
        <v>43.9</v>
      </c>
      <c r="M222" s="5">
        <v>77</v>
      </c>
    </row>
    <row r="223" spans="1:13" x14ac:dyDescent="0.3">
      <c r="A223" s="5">
        <v>140</v>
      </c>
      <c r="B223" s="5" t="s">
        <v>44</v>
      </c>
      <c r="C223" s="5"/>
      <c r="D223" s="5" t="s">
        <v>37</v>
      </c>
      <c r="E223" s="5" t="s">
        <v>37</v>
      </c>
      <c r="F223" s="5" t="s">
        <v>37</v>
      </c>
      <c r="G223" s="5" t="s">
        <v>38</v>
      </c>
      <c r="H223" s="6">
        <v>45654</v>
      </c>
      <c r="I223" s="5">
        <v>6</v>
      </c>
      <c r="J223" s="5">
        <v>91.4</v>
      </c>
      <c r="K223" s="5">
        <v>8.1</v>
      </c>
      <c r="L223" s="5">
        <v>59.1</v>
      </c>
      <c r="M223" s="5">
        <v>91.1</v>
      </c>
    </row>
    <row r="224" spans="1:13" x14ac:dyDescent="0.3">
      <c r="A224" s="5">
        <v>903</v>
      </c>
      <c r="B224" s="5" t="s">
        <v>44</v>
      </c>
      <c r="C224" s="5" t="s">
        <v>42</v>
      </c>
      <c r="D224" s="5" t="s">
        <v>37</v>
      </c>
      <c r="E224" s="5" t="s">
        <v>37</v>
      </c>
      <c r="F224" s="5" t="s">
        <v>37</v>
      </c>
      <c r="G224" s="5" t="s">
        <v>41</v>
      </c>
      <c r="H224" s="6">
        <v>45116</v>
      </c>
      <c r="I224" s="5">
        <v>0.8</v>
      </c>
      <c r="J224" s="5">
        <v>91.9</v>
      </c>
      <c r="K224" s="5">
        <v>6.7</v>
      </c>
      <c r="L224" s="5">
        <v>55.3</v>
      </c>
      <c r="M224" s="5">
        <v>48.6</v>
      </c>
    </row>
    <row r="225" spans="1:13" x14ac:dyDescent="0.3">
      <c r="A225" s="5">
        <v>129</v>
      </c>
      <c r="B225" s="5" t="s">
        <v>44</v>
      </c>
      <c r="C225" s="5"/>
      <c r="D225" s="5" t="s">
        <v>37</v>
      </c>
      <c r="E225" s="5" t="s">
        <v>37</v>
      </c>
      <c r="F225" s="5" t="s">
        <v>40</v>
      </c>
      <c r="G225" s="5" t="s">
        <v>46</v>
      </c>
      <c r="H225" s="6">
        <v>44952</v>
      </c>
      <c r="I225" s="5">
        <v>0.8</v>
      </c>
      <c r="J225" s="5">
        <v>65</v>
      </c>
      <c r="K225" s="5">
        <v>6.2</v>
      </c>
      <c r="L225" s="5">
        <v>84.4</v>
      </c>
      <c r="M225" s="5">
        <v>61.2</v>
      </c>
    </row>
    <row r="226" spans="1:13" x14ac:dyDescent="0.3">
      <c r="A226" s="5">
        <v>855</v>
      </c>
      <c r="B226" s="5" t="s">
        <v>44</v>
      </c>
      <c r="C226" s="5" t="s">
        <v>42</v>
      </c>
      <c r="D226" s="5"/>
      <c r="E226" s="5" t="s">
        <v>37</v>
      </c>
      <c r="F226" s="5" t="s">
        <v>40</v>
      </c>
      <c r="G226" s="5" t="s">
        <v>43</v>
      </c>
      <c r="H226" s="6">
        <v>45413</v>
      </c>
      <c r="I226" s="5">
        <v>3.8</v>
      </c>
      <c r="J226" s="5">
        <v>71.3</v>
      </c>
      <c r="K226" s="5">
        <v>6.3</v>
      </c>
      <c r="L226" s="5">
        <v>81.8</v>
      </c>
      <c r="M226" s="5">
        <v>73</v>
      </c>
    </row>
    <row r="227" spans="1:13" x14ac:dyDescent="0.3">
      <c r="A227" s="5">
        <v>383</v>
      </c>
      <c r="B227" s="5" t="s">
        <v>44</v>
      </c>
      <c r="C227" s="5" t="s">
        <v>39</v>
      </c>
      <c r="D227" s="5" t="s">
        <v>37</v>
      </c>
      <c r="E227" s="5" t="s">
        <v>40</v>
      </c>
      <c r="F227" s="5" t="s">
        <v>40</v>
      </c>
      <c r="G227" s="5" t="s">
        <v>43</v>
      </c>
      <c r="H227" s="6">
        <v>45526</v>
      </c>
      <c r="I227" s="5">
        <v>2.7</v>
      </c>
      <c r="J227" s="5">
        <v>88.8</v>
      </c>
      <c r="K227" s="5">
        <v>7.8</v>
      </c>
      <c r="L227" s="5">
        <v>68.599999999999994</v>
      </c>
      <c r="M227" s="5">
        <v>73.900000000000006</v>
      </c>
    </row>
    <row r="228" spans="1:13" x14ac:dyDescent="0.3">
      <c r="A228" s="5">
        <v>462</v>
      </c>
      <c r="B228" s="5" t="s">
        <v>35</v>
      </c>
      <c r="C228" s="5" t="s">
        <v>42</v>
      </c>
      <c r="D228" s="5" t="s">
        <v>40</v>
      </c>
      <c r="E228" s="5" t="s">
        <v>37</v>
      </c>
      <c r="F228" s="5" t="s">
        <v>40</v>
      </c>
      <c r="G228" s="5" t="s">
        <v>41</v>
      </c>
      <c r="H228" s="6">
        <v>45216</v>
      </c>
      <c r="I228" s="5">
        <v>1.8</v>
      </c>
      <c r="J228" s="5">
        <v>83.3</v>
      </c>
      <c r="K228" s="5">
        <v>5.4</v>
      </c>
      <c r="L228" s="5">
        <v>49.9</v>
      </c>
      <c r="M228" s="5">
        <v>55.9</v>
      </c>
    </row>
    <row r="229" spans="1:13" x14ac:dyDescent="0.3">
      <c r="A229" s="5">
        <v>517</v>
      </c>
      <c r="B229" s="5" t="s">
        <v>35</v>
      </c>
      <c r="C229" s="5" t="s">
        <v>39</v>
      </c>
      <c r="D229" s="5"/>
      <c r="E229" s="5" t="s">
        <v>37</v>
      </c>
      <c r="F229" s="5" t="s">
        <v>40</v>
      </c>
      <c r="G229" s="5" t="s">
        <v>38</v>
      </c>
      <c r="H229" s="6">
        <v>45427</v>
      </c>
      <c r="I229" s="5">
        <v>6.2</v>
      </c>
      <c r="J229" s="5">
        <v>68.8</v>
      </c>
      <c r="K229" s="5">
        <v>6.9</v>
      </c>
      <c r="L229" s="5">
        <v>62.3</v>
      </c>
      <c r="M229" s="5">
        <v>90.4</v>
      </c>
    </row>
    <row r="230" spans="1:13" x14ac:dyDescent="0.3">
      <c r="A230" s="5">
        <v>12</v>
      </c>
      <c r="B230" s="5" t="s">
        <v>44</v>
      </c>
      <c r="C230" s="5" t="s">
        <v>39</v>
      </c>
      <c r="D230" s="5" t="s">
        <v>40</v>
      </c>
      <c r="E230" s="5" t="s">
        <v>37</v>
      </c>
      <c r="F230" s="5" t="s">
        <v>40</v>
      </c>
      <c r="G230" s="5" t="s">
        <v>47</v>
      </c>
      <c r="H230" s="6">
        <v>45495</v>
      </c>
      <c r="I230" s="5">
        <v>6.4</v>
      </c>
      <c r="J230" s="5">
        <v>89.5</v>
      </c>
      <c r="K230" s="5">
        <v>5.3</v>
      </c>
      <c r="L230" s="5">
        <v>62</v>
      </c>
      <c r="M230" s="5">
        <v>82.2</v>
      </c>
    </row>
    <row r="231" spans="1:13" x14ac:dyDescent="0.3">
      <c r="A231" s="5">
        <v>604</v>
      </c>
      <c r="B231" s="5" t="s">
        <v>35</v>
      </c>
      <c r="C231" s="5" t="s">
        <v>42</v>
      </c>
      <c r="D231" s="5" t="s">
        <v>37</v>
      </c>
      <c r="E231" s="5" t="s">
        <v>37</v>
      </c>
      <c r="F231" s="5" t="s">
        <v>37</v>
      </c>
      <c r="G231" s="5" t="s">
        <v>46</v>
      </c>
      <c r="H231" s="6">
        <v>45628</v>
      </c>
      <c r="I231" s="5">
        <v>1.3</v>
      </c>
      <c r="J231" s="5">
        <v>93.4</v>
      </c>
      <c r="K231" s="5">
        <v>8.1</v>
      </c>
      <c r="L231" s="5">
        <v>84.6</v>
      </c>
      <c r="M231" s="5">
        <v>65.900000000000006</v>
      </c>
    </row>
    <row r="232" spans="1:13" x14ac:dyDescent="0.3">
      <c r="A232" s="5">
        <v>168</v>
      </c>
      <c r="B232" s="5" t="s">
        <v>44</v>
      </c>
      <c r="C232" s="5" t="s">
        <v>45</v>
      </c>
      <c r="D232" s="5" t="s">
        <v>37</v>
      </c>
      <c r="E232" s="5" t="s">
        <v>37</v>
      </c>
      <c r="F232" s="5" t="s">
        <v>40</v>
      </c>
      <c r="G232" s="5" t="s">
        <v>43</v>
      </c>
      <c r="H232" s="6">
        <v>45071</v>
      </c>
      <c r="I232" s="5">
        <v>3.5</v>
      </c>
      <c r="J232" s="5">
        <v>72.5</v>
      </c>
      <c r="K232" s="5">
        <v>7.7</v>
      </c>
      <c r="L232" s="5">
        <v>79.8</v>
      </c>
      <c r="M232" s="5">
        <v>76.099999999999994</v>
      </c>
    </row>
    <row r="233" spans="1:13" x14ac:dyDescent="0.3">
      <c r="A233" s="5">
        <v>880</v>
      </c>
      <c r="B233" s="5" t="s">
        <v>44</v>
      </c>
      <c r="C233" s="5" t="s">
        <v>36</v>
      </c>
      <c r="D233" s="5" t="s">
        <v>37</v>
      </c>
      <c r="E233" s="5" t="s">
        <v>37</v>
      </c>
      <c r="F233" s="5" t="s">
        <v>37</v>
      </c>
      <c r="G233" s="5" t="s">
        <v>46</v>
      </c>
      <c r="H233" s="6"/>
      <c r="I233" s="5">
        <v>2.4</v>
      </c>
      <c r="J233" s="5">
        <v>84.5</v>
      </c>
      <c r="K233" s="5">
        <v>4.4000000000000004</v>
      </c>
      <c r="L233" s="5">
        <v>47.9</v>
      </c>
      <c r="M233" s="5">
        <v>61.2</v>
      </c>
    </row>
    <row r="234" spans="1:13" x14ac:dyDescent="0.3">
      <c r="A234" s="5">
        <v>61</v>
      </c>
      <c r="B234" s="5" t="s">
        <v>44</v>
      </c>
      <c r="C234" s="5"/>
      <c r="D234" s="5" t="s">
        <v>37</v>
      </c>
      <c r="E234" s="5" t="s">
        <v>37</v>
      </c>
      <c r="F234" s="5" t="s">
        <v>40</v>
      </c>
      <c r="G234" s="5" t="s">
        <v>38</v>
      </c>
      <c r="H234" s="6">
        <v>44985</v>
      </c>
      <c r="I234" s="5">
        <v>6.9</v>
      </c>
      <c r="J234" s="5">
        <v>70</v>
      </c>
      <c r="K234" s="5">
        <v>6.2</v>
      </c>
      <c r="L234" s="5">
        <v>61</v>
      </c>
      <c r="M234" s="5">
        <v>91.7</v>
      </c>
    </row>
    <row r="235" spans="1:13" x14ac:dyDescent="0.3">
      <c r="A235" s="5">
        <v>713</v>
      </c>
      <c r="B235" s="5" t="s">
        <v>35</v>
      </c>
      <c r="C235" s="5" t="s">
        <v>42</v>
      </c>
      <c r="D235" s="5" t="s">
        <v>37</v>
      </c>
      <c r="E235" s="5" t="s">
        <v>40</v>
      </c>
      <c r="F235" s="5" t="s">
        <v>40</v>
      </c>
      <c r="G235" s="5" t="s">
        <v>41</v>
      </c>
      <c r="H235" s="6">
        <v>45227</v>
      </c>
      <c r="I235" s="5">
        <v>1.2</v>
      </c>
      <c r="J235" s="5">
        <v>78.8</v>
      </c>
      <c r="K235" s="5">
        <v>6.3</v>
      </c>
      <c r="L235" s="5">
        <v>41.5</v>
      </c>
      <c r="M235" s="5">
        <v>55.4</v>
      </c>
    </row>
    <row r="236" spans="1:13" x14ac:dyDescent="0.3">
      <c r="A236" s="5">
        <v>837</v>
      </c>
      <c r="B236" s="5" t="s">
        <v>44</v>
      </c>
      <c r="C236" s="5" t="s">
        <v>36</v>
      </c>
      <c r="D236" s="5" t="s">
        <v>37</v>
      </c>
      <c r="E236" s="5" t="s">
        <v>37</v>
      </c>
      <c r="F236" s="5" t="s">
        <v>37</v>
      </c>
      <c r="G236" s="5" t="s">
        <v>43</v>
      </c>
      <c r="H236" s="6">
        <v>44966</v>
      </c>
      <c r="I236" s="5">
        <v>6.8</v>
      </c>
      <c r="J236" s="5">
        <v>84.3</v>
      </c>
      <c r="K236" s="5">
        <v>5.5</v>
      </c>
      <c r="L236" s="5">
        <v>35.4</v>
      </c>
      <c r="M236" s="5">
        <v>75.5</v>
      </c>
    </row>
    <row r="237" spans="1:13" x14ac:dyDescent="0.3">
      <c r="A237" s="5">
        <v>10</v>
      </c>
      <c r="B237" s="5" t="s">
        <v>44</v>
      </c>
      <c r="C237" s="5" t="s">
        <v>42</v>
      </c>
      <c r="D237" s="5" t="s">
        <v>37</v>
      </c>
      <c r="E237" s="5" t="s">
        <v>40</v>
      </c>
      <c r="F237" s="5" t="s">
        <v>40</v>
      </c>
      <c r="G237" s="5" t="s">
        <v>46</v>
      </c>
      <c r="H237" s="6">
        <v>45454</v>
      </c>
      <c r="I237" s="5">
        <v>5.8</v>
      </c>
      <c r="J237" s="5">
        <v>70.8</v>
      </c>
      <c r="K237" s="5">
        <v>4.0999999999999996</v>
      </c>
      <c r="L237" s="5">
        <v>44.7</v>
      </c>
      <c r="M237" s="5">
        <v>67.7</v>
      </c>
    </row>
    <row r="238" spans="1:13" x14ac:dyDescent="0.3">
      <c r="A238" s="5">
        <v>674</v>
      </c>
      <c r="B238" s="5" t="s">
        <v>44</v>
      </c>
      <c r="C238" s="5"/>
      <c r="D238" s="5" t="s">
        <v>37</v>
      </c>
      <c r="E238" s="5" t="s">
        <v>40</v>
      </c>
      <c r="F238" s="5" t="s">
        <v>40</v>
      </c>
      <c r="G238" s="5" t="s">
        <v>43</v>
      </c>
      <c r="H238" s="6">
        <v>44977</v>
      </c>
      <c r="I238" s="5">
        <v>5.8</v>
      </c>
      <c r="J238" s="5">
        <v>83.3</v>
      </c>
      <c r="K238" s="5">
        <v>7.1</v>
      </c>
      <c r="L238" s="5">
        <v>46.5</v>
      </c>
      <c r="M238" s="5">
        <v>78.900000000000006</v>
      </c>
    </row>
    <row r="239" spans="1:13" x14ac:dyDescent="0.3">
      <c r="A239" s="5">
        <v>364</v>
      </c>
      <c r="B239" s="5" t="s">
        <v>35</v>
      </c>
      <c r="C239" s="5" t="s">
        <v>36</v>
      </c>
      <c r="D239" s="5" t="s">
        <v>37</v>
      </c>
      <c r="E239" s="5" t="s">
        <v>37</v>
      </c>
      <c r="F239" s="5" t="s">
        <v>37</v>
      </c>
      <c r="G239" s="5" t="s">
        <v>47</v>
      </c>
      <c r="H239" s="6">
        <v>45163</v>
      </c>
      <c r="I239" s="5">
        <v>5.0999999999999996</v>
      </c>
      <c r="J239" s="5">
        <v>93.7</v>
      </c>
      <c r="K239" s="5">
        <v>6.4</v>
      </c>
      <c r="L239" s="5">
        <v>74.900000000000006</v>
      </c>
      <c r="M239" s="5">
        <v>88.3</v>
      </c>
    </row>
    <row r="240" spans="1:13" x14ac:dyDescent="0.3">
      <c r="A240" s="5">
        <v>634</v>
      </c>
      <c r="B240" s="5" t="s">
        <v>35</v>
      </c>
      <c r="C240" s="5" t="s">
        <v>36</v>
      </c>
      <c r="D240" s="5" t="s">
        <v>37</v>
      </c>
      <c r="E240" s="5" t="s">
        <v>40</v>
      </c>
      <c r="F240" s="5" t="s">
        <v>37</v>
      </c>
      <c r="G240" s="5" t="s">
        <v>38</v>
      </c>
      <c r="H240" s="6">
        <v>45003</v>
      </c>
      <c r="I240" s="5">
        <v>5.5</v>
      </c>
      <c r="J240" s="5">
        <v>150</v>
      </c>
      <c r="K240" s="5">
        <v>8.9</v>
      </c>
      <c r="L240" s="5">
        <v>84.6</v>
      </c>
      <c r="M240" s="5">
        <v>100</v>
      </c>
    </row>
    <row r="241" spans="1:13" x14ac:dyDescent="0.3">
      <c r="A241" s="5">
        <v>833</v>
      </c>
      <c r="B241" s="5" t="s">
        <v>44</v>
      </c>
      <c r="C241" s="5" t="s">
        <v>39</v>
      </c>
      <c r="D241" s="5" t="s">
        <v>37</v>
      </c>
      <c r="E241" s="5" t="s">
        <v>40</v>
      </c>
      <c r="F241" s="5" t="s">
        <v>37</v>
      </c>
      <c r="G241" s="5" t="s">
        <v>38</v>
      </c>
      <c r="H241" s="6">
        <v>45324</v>
      </c>
      <c r="I241" s="5">
        <v>3.8</v>
      </c>
      <c r="J241" s="5">
        <v>86.8</v>
      </c>
      <c r="K241" s="5">
        <v>6.9</v>
      </c>
      <c r="L241" s="5">
        <v>76.900000000000006</v>
      </c>
      <c r="M241" s="5">
        <v>96.3</v>
      </c>
    </row>
    <row r="242" spans="1:13" x14ac:dyDescent="0.3">
      <c r="A242" s="5">
        <v>133</v>
      </c>
      <c r="B242" s="5" t="s">
        <v>35</v>
      </c>
      <c r="C242" s="5" t="s">
        <v>45</v>
      </c>
      <c r="D242" s="5" t="s">
        <v>37</v>
      </c>
      <c r="E242" s="5" t="s">
        <v>40</v>
      </c>
      <c r="F242" s="5" t="s">
        <v>40</v>
      </c>
      <c r="G242" s="5" t="s">
        <v>43</v>
      </c>
      <c r="H242" s="6">
        <v>45236</v>
      </c>
      <c r="I242" s="5">
        <v>6.2</v>
      </c>
      <c r="J242" s="5">
        <v>99.1</v>
      </c>
      <c r="K242" s="5">
        <v>6.5</v>
      </c>
      <c r="L242" s="5">
        <v>52.3</v>
      </c>
      <c r="M242" s="5">
        <v>78.7</v>
      </c>
    </row>
    <row r="243" spans="1:13" x14ac:dyDescent="0.3">
      <c r="A243" s="5">
        <v>860</v>
      </c>
      <c r="B243" s="5" t="s">
        <v>35</v>
      </c>
      <c r="C243" s="5" t="s">
        <v>39</v>
      </c>
      <c r="D243" s="5" t="s">
        <v>37</v>
      </c>
      <c r="E243" s="5" t="s">
        <v>40</v>
      </c>
      <c r="F243" s="5" t="s">
        <v>40</v>
      </c>
      <c r="G243" s="5" t="s">
        <v>47</v>
      </c>
      <c r="H243" s="6">
        <v>45236</v>
      </c>
      <c r="I243" s="5">
        <v>6.1</v>
      </c>
      <c r="J243" s="5">
        <v>74.400000000000006</v>
      </c>
      <c r="K243" s="5">
        <v>8.5</v>
      </c>
      <c r="L243" s="5">
        <v>42.2</v>
      </c>
      <c r="M243" s="5">
        <v>81.099999999999994</v>
      </c>
    </row>
    <row r="244" spans="1:13" x14ac:dyDescent="0.3">
      <c r="A244" s="5">
        <v>90</v>
      </c>
      <c r="B244" s="5" t="s">
        <v>44</v>
      </c>
      <c r="C244" s="5"/>
      <c r="D244" s="5" t="s">
        <v>37</v>
      </c>
      <c r="E244" s="5" t="s">
        <v>37</v>
      </c>
      <c r="F244" s="5" t="s">
        <v>37</v>
      </c>
      <c r="G244" s="5" t="s">
        <v>46</v>
      </c>
      <c r="H244" s="6">
        <v>45650</v>
      </c>
      <c r="I244" s="5">
        <v>1.4</v>
      </c>
      <c r="J244" s="5">
        <v>89.3</v>
      </c>
      <c r="K244" s="5">
        <v>4.9000000000000004</v>
      </c>
      <c r="L244" s="5">
        <v>67</v>
      </c>
      <c r="M244" s="5">
        <v>61.8</v>
      </c>
    </row>
    <row r="245" spans="1:13" x14ac:dyDescent="0.3">
      <c r="A245" s="5">
        <v>472</v>
      </c>
      <c r="B245" s="5" t="s">
        <v>35</v>
      </c>
      <c r="C245" s="5"/>
      <c r="D245" s="5" t="s">
        <v>37</v>
      </c>
      <c r="E245" s="5" t="s">
        <v>37</v>
      </c>
      <c r="F245" s="5" t="s">
        <v>40</v>
      </c>
      <c r="G245" s="5" t="s">
        <v>43</v>
      </c>
      <c r="H245" s="6">
        <v>45314</v>
      </c>
      <c r="I245" s="5">
        <v>5.7</v>
      </c>
      <c r="J245" s="5">
        <v>76.900000000000006</v>
      </c>
      <c r="K245" s="5">
        <v>4.7</v>
      </c>
      <c r="L245" s="5">
        <v>39.200000000000003</v>
      </c>
      <c r="M245" s="5">
        <v>70.7</v>
      </c>
    </row>
    <row r="246" spans="1:13" x14ac:dyDescent="0.3">
      <c r="A246" s="5">
        <v>748</v>
      </c>
      <c r="B246" s="5" t="s">
        <v>44</v>
      </c>
      <c r="C246" s="5" t="s">
        <v>42</v>
      </c>
      <c r="D246" s="5" t="s">
        <v>37</v>
      </c>
      <c r="E246" s="5" t="s">
        <v>37</v>
      </c>
      <c r="F246" s="5" t="s">
        <v>40</v>
      </c>
      <c r="G246" s="5" t="s">
        <v>41</v>
      </c>
      <c r="H246" s="6">
        <v>44998</v>
      </c>
      <c r="I246" s="5">
        <v>2.9</v>
      </c>
      <c r="J246" s="5">
        <v>67.099999999999994</v>
      </c>
      <c r="K246" s="5">
        <v>6.7</v>
      </c>
      <c r="L246" s="5">
        <v>67</v>
      </c>
      <c r="M246" s="5">
        <v>49.4</v>
      </c>
    </row>
    <row r="247" spans="1:13" x14ac:dyDescent="0.3">
      <c r="A247" s="5">
        <v>652</v>
      </c>
      <c r="B247" s="5" t="s">
        <v>44</v>
      </c>
      <c r="C247" s="5" t="s">
        <v>45</v>
      </c>
      <c r="D247" s="5" t="s">
        <v>37</v>
      </c>
      <c r="E247" s="5" t="s">
        <v>37</v>
      </c>
      <c r="F247" s="5" t="s">
        <v>37</v>
      </c>
      <c r="G247" s="5" t="s">
        <v>46</v>
      </c>
      <c r="H247" s="6"/>
      <c r="I247" s="5">
        <v>1.6</v>
      </c>
      <c r="J247" s="5">
        <v>81.7</v>
      </c>
      <c r="K247" s="5">
        <v>7</v>
      </c>
      <c r="L247" s="5">
        <v>53.7</v>
      </c>
      <c r="M247" s="5">
        <v>63.5</v>
      </c>
    </row>
    <row r="248" spans="1:13" x14ac:dyDescent="0.3">
      <c r="A248" s="5">
        <v>823</v>
      </c>
      <c r="B248" s="5" t="s">
        <v>44</v>
      </c>
      <c r="C248" s="5" t="s">
        <v>45</v>
      </c>
      <c r="D248" s="5" t="s">
        <v>37</v>
      </c>
      <c r="E248" s="5" t="s">
        <v>40</v>
      </c>
      <c r="F248" s="5" t="s">
        <v>37</v>
      </c>
      <c r="G248" s="5" t="s">
        <v>43</v>
      </c>
      <c r="H248" s="6">
        <v>45071</v>
      </c>
      <c r="I248" s="5">
        <v>6.2</v>
      </c>
      <c r="J248" s="5">
        <v>81.2</v>
      </c>
      <c r="K248" s="5">
        <v>4.5</v>
      </c>
      <c r="L248" s="5">
        <v>64.8</v>
      </c>
      <c r="M248" s="5">
        <v>74.099999999999994</v>
      </c>
    </row>
    <row r="249" spans="1:13" x14ac:dyDescent="0.3">
      <c r="A249" s="5">
        <v>205</v>
      </c>
      <c r="B249" s="5" t="s">
        <v>35</v>
      </c>
      <c r="C249" s="5" t="s">
        <v>36</v>
      </c>
      <c r="D249" s="5" t="s">
        <v>40</v>
      </c>
      <c r="E249" s="5" t="s">
        <v>40</v>
      </c>
      <c r="F249" s="5" t="s">
        <v>40</v>
      </c>
      <c r="G249" s="5" t="s">
        <v>41</v>
      </c>
      <c r="H249" s="6">
        <v>45049</v>
      </c>
      <c r="I249" s="5">
        <v>0.7</v>
      </c>
      <c r="J249" s="5">
        <v>84.9</v>
      </c>
      <c r="K249" s="5">
        <v>4.8</v>
      </c>
      <c r="L249" s="5">
        <v>54.6</v>
      </c>
      <c r="M249" s="5">
        <v>51.3</v>
      </c>
    </row>
    <row r="250" spans="1:13" x14ac:dyDescent="0.3">
      <c r="A250" s="5">
        <v>322</v>
      </c>
      <c r="B250" s="5" t="s">
        <v>35</v>
      </c>
      <c r="C250" s="5" t="s">
        <v>36</v>
      </c>
      <c r="D250" s="5" t="s">
        <v>37</v>
      </c>
      <c r="E250" s="5" t="s">
        <v>40</v>
      </c>
      <c r="F250" s="5" t="s">
        <v>40</v>
      </c>
      <c r="G250" s="5" t="s">
        <v>47</v>
      </c>
      <c r="H250" s="6"/>
      <c r="I250" s="5">
        <v>6.9</v>
      </c>
      <c r="J250" s="5">
        <v>68.099999999999994</v>
      </c>
      <c r="K250" s="5">
        <v>8.9</v>
      </c>
      <c r="L250" s="5">
        <v>58</v>
      </c>
      <c r="M250" s="5">
        <v>89.5</v>
      </c>
    </row>
    <row r="251" spans="1:13" x14ac:dyDescent="0.3">
      <c r="A251" s="5">
        <v>498</v>
      </c>
      <c r="B251" s="5" t="s">
        <v>35</v>
      </c>
      <c r="C251" s="5" t="s">
        <v>45</v>
      </c>
      <c r="D251" s="5" t="s">
        <v>37</v>
      </c>
      <c r="E251" s="5" t="s">
        <v>40</v>
      </c>
      <c r="F251" s="5" t="s">
        <v>40</v>
      </c>
      <c r="G251" s="5" t="s">
        <v>47</v>
      </c>
      <c r="H251" s="6">
        <v>45137</v>
      </c>
      <c r="I251" s="5">
        <v>6.1</v>
      </c>
      <c r="J251" s="5">
        <v>74.8</v>
      </c>
      <c r="K251" s="5">
        <v>7.9</v>
      </c>
      <c r="L251" s="5">
        <v>66.5</v>
      </c>
      <c r="M251" s="5">
        <v>88.9</v>
      </c>
    </row>
    <row r="252" spans="1:13" x14ac:dyDescent="0.3">
      <c r="A252" s="5">
        <v>801</v>
      </c>
      <c r="B252" s="5" t="s">
        <v>35</v>
      </c>
      <c r="C252" s="5" t="s">
        <v>45</v>
      </c>
      <c r="D252" s="5" t="s">
        <v>37</v>
      </c>
      <c r="E252" s="5" t="s">
        <v>40</v>
      </c>
      <c r="F252" s="5" t="s">
        <v>40</v>
      </c>
      <c r="G252" s="5" t="s">
        <v>41</v>
      </c>
      <c r="H252" s="6">
        <v>45026</v>
      </c>
      <c r="I252" s="5">
        <v>1.8</v>
      </c>
      <c r="J252" s="5">
        <v>72.5</v>
      </c>
      <c r="K252" s="5">
        <v>5</v>
      </c>
      <c r="L252" s="5">
        <v>41.3</v>
      </c>
      <c r="M252" s="5">
        <v>52.3</v>
      </c>
    </row>
    <row r="253" spans="1:13" x14ac:dyDescent="0.3">
      <c r="A253" s="5">
        <v>693</v>
      </c>
      <c r="B253" s="5" t="s">
        <v>35</v>
      </c>
      <c r="C253" s="5" t="s">
        <v>42</v>
      </c>
      <c r="D253" s="5" t="s">
        <v>37</v>
      </c>
      <c r="E253" s="5" t="s">
        <v>37</v>
      </c>
      <c r="F253" s="5" t="s">
        <v>37</v>
      </c>
      <c r="G253" s="5" t="s">
        <v>38</v>
      </c>
      <c r="H253" s="6">
        <v>45535</v>
      </c>
      <c r="I253" s="5">
        <v>6.6</v>
      </c>
      <c r="J253" s="5">
        <v>98.7</v>
      </c>
      <c r="K253" s="5">
        <v>7.1</v>
      </c>
      <c r="L253" s="5">
        <v>60.8</v>
      </c>
      <c r="M253" s="5">
        <v>100</v>
      </c>
    </row>
    <row r="254" spans="1:13" x14ac:dyDescent="0.3">
      <c r="A254" s="5">
        <v>332</v>
      </c>
      <c r="B254" s="5" t="s">
        <v>35</v>
      </c>
      <c r="C254" s="5" t="s">
        <v>36</v>
      </c>
      <c r="D254" s="5" t="s">
        <v>37</v>
      </c>
      <c r="E254" s="5" t="s">
        <v>40</v>
      </c>
      <c r="F254" s="5" t="s">
        <v>40</v>
      </c>
      <c r="G254" s="5" t="s">
        <v>41</v>
      </c>
      <c r="H254" s="6">
        <v>45044</v>
      </c>
      <c r="I254" s="5">
        <v>0.9</v>
      </c>
      <c r="J254" s="5">
        <v>73.400000000000006</v>
      </c>
      <c r="K254" s="5">
        <v>4.3</v>
      </c>
      <c r="L254" s="5">
        <v>82.5</v>
      </c>
      <c r="M254" s="5">
        <v>55.8</v>
      </c>
    </row>
    <row r="255" spans="1:13" x14ac:dyDescent="0.3">
      <c r="A255" s="5">
        <v>167</v>
      </c>
      <c r="B255" s="5" t="s">
        <v>35</v>
      </c>
      <c r="C255" s="5" t="s">
        <v>36</v>
      </c>
      <c r="D255" s="5" t="s">
        <v>40</v>
      </c>
      <c r="E255" s="5" t="s">
        <v>40</v>
      </c>
      <c r="F255" s="5" t="s">
        <v>40</v>
      </c>
      <c r="G255" s="5" t="s">
        <v>43</v>
      </c>
      <c r="H255" s="6"/>
      <c r="I255" s="5">
        <v>2.8</v>
      </c>
      <c r="J255" s="5">
        <v>88.2</v>
      </c>
      <c r="K255" s="5">
        <v>7.4</v>
      </c>
      <c r="L255" s="5">
        <v>83.7</v>
      </c>
      <c r="M255" s="5">
        <v>79</v>
      </c>
    </row>
    <row r="256" spans="1:13" x14ac:dyDescent="0.3">
      <c r="A256" s="5">
        <v>9</v>
      </c>
      <c r="B256" s="5" t="s">
        <v>35</v>
      </c>
      <c r="C256" s="5" t="s">
        <v>39</v>
      </c>
      <c r="D256" s="5" t="s">
        <v>37</v>
      </c>
      <c r="E256" s="5" t="s">
        <v>37</v>
      </c>
      <c r="F256" s="5" t="s">
        <v>40</v>
      </c>
      <c r="G256" s="5" t="s">
        <v>46</v>
      </c>
      <c r="H256" s="6">
        <v>45410</v>
      </c>
      <c r="I256" s="5">
        <v>2</v>
      </c>
      <c r="J256" s="5">
        <v>67</v>
      </c>
      <c r="K256" s="5">
        <v>5.4</v>
      </c>
      <c r="L256" s="5">
        <v>82</v>
      </c>
      <c r="M256" s="5">
        <v>69</v>
      </c>
    </row>
    <row r="257" spans="1:13" x14ac:dyDescent="0.3">
      <c r="A257" s="5">
        <v>101</v>
      </c>
      <c r="B257" s="5" t="s">
        <v>44</v>
      </c>
      <c r="C257" s="5" t="s">
        <v>42</v>
      </c>
      <c r="D257" s="5" t="s">
        <v>37</v>
      </c>
      <c r="E257" s="5" t="s">
        <v>37</v>
      </c>
      <c r="F257" s="5" t="s">
        <v>37</v>
      </c>
      <c r="G257" s="5" t="s">
        <v>38</v>
      </c>
      <c r="H257" s="6"/>
      <c r="I257" s="5">
        <v>6.7</v>
      </c>
      <c r="J257" s="5">
        <v>87.8</v>
      </c>
      <c r="K257" s="5">
        <v>6.5</v>
      </c>
      <c r="L257" s="5">
        <v>80.900000000000006</v>
      </c>
      <c r="M257" s="5">
        <v>93.2</v>
      </c>
    </row>
    <row r="258" spans="1:13" x14ac:dyDescent="0.3">
      <c r="A258" s="5">
        <v>468</v>
      </c>
      <c r="B258" s="5" t="s">
        <v>44</v>
      </c>
      <c r="C258" s="5" t="s">
        <v>42</v>
      </c>
      <c r="D258" s="5" t="s">
        <v>37</v>
      </c>
      <c r="E258" s="5" t="s">
        <v>37</v>
      </c>
      <c r="F258" s="5" t="s">
        <v>40</v>
      </c>
      <c r="G258" s="5" t="s">
        <v>46</v>
      </c>
      <c r="H258" s="6">
        <v>44978</v>
      </c>
      <c r="I258" s="5">
        <v>1.2</v>
      </c>
      <c r="J258" s="5">
        <v>84.9</v>
      </c>
      <c r="K258" s="5">
        <v>4.9000000000000004</v>
      </c>
      <c r="L258" s="5">
        <v>76.099999999999994</v>
      </c>
      <c r="M258" s="5">
        <v>67.5</v>
      </c>
    </row>
    <row r="259" spans="1:13" x14ac:dyDescent="0.3">
      <c r="A259" s="5">
        <v>117</v>
      </c>
      <c r="B259" s="5" t="s">
        <v>44</v>
      </c>
      <c r="C259" s="5" t="s">
        <v>36</v>
      </c>
      <c r="D259" s="5" t="s">
        <v>37</v>
      </c>
      <c r="E259" s="5" t="s">
        <v>40</v>
      </c>
      <c r="F259" s="5" t="s">
        <v>37</v>
      </c>
      <c r="G259" s="5" t="s">
        <v>47</v>
      </c>
      <c r="H259" s="6">
        <v>45127</v>
      </c>
      <c r="I259" s="5">
        <v>6.1</v>
      </c>
      <c r="J259" s="5">
        <v>73.599999999999994</v>
      </c>
      <c r="K259" s="5">
        <v>7.3</v>
      </c>
      <c r="L259" s="5">
        <v>52</v>
      </c>
      <c r="M259" s="5">
        <v>80.7</v>
      </c>
    </row>
    <row r="260" spans="1:13" x14ac:dyDescent="0.3">
      <c r="A260" s="5">
        <v>460</v>
      </c>
      <c r="B260" s="5" t="s">
        <v>35</v>
      </c>
      <c r="C260" s="5" t="s">
        <v>45</v>
      </c>
      <c r="D260" s="5" t="s">
        <v>37</v>
      </c>
      <c r="E260" s="5" t="s">
        <v>37</v>
      </c>
      <c r="F260" s="5" t="s">
        <v>37</v>
      </c>
      <c r="G260" s="5" t="s">
        <v>43</v>
      </c>
      <c r="H260" s="6">
        <v>45113</v>
      </c>
      <c r="I260" s="5">
        <v>3.9</v>
      </c>
      <c r="J260" s="5">
        <v>66.2</v>
      </c>
      <c r="K260" s="5">
        <v>5.9</v>
      </c>
      <c r="L260" s="5">
        <v>76.400000000000006</v>
      </c>
      <c r="M260" s="5">
        <v>76.099999999999994</v>
      </c>
    </row>
    <row r="261" spans="1:13" x14ac:dyDescent="0.3">
      <c r="A261" s="5">
        <v>340</v>
      </c>
      <c r="B261" s="5" t="s">
        <v>35</v>
      </c>
      <c r="C261" s="5" t="s">
        <v>42</v>
      </c>
      <c r="D261" s="5" t="s">
        <v>37</v>
      </c>
      <c r="E261" s="5" t="s">
        <v>37</v>
      </c>
      <c r="F261" s="5" t="s">
        <v>40</v>
      </c>
      <c r="G261" s="5" t="s">
        <v>46</v>
      </c>
      <c r="H261" s="6">
        <v>45363</v>
      </c>
      <c r="I261" s="5">
        <v>4.5</v>
      </c>
      <c r="J261" s="5">
        <v>70.3</v>
      </c>
      <c r="K261" s="5">
        <v>5.0999999999999996</v>
      </c>
      <c r="L261" s="5">
        <v>49.7</v>
      </c>
      <c r="M261" s="5">
        <v>65.099999999999994</v>
      </c>
    </row>
    <row r="262" spans="1:13" x14ac:dyDescent="0.3">
      <c r="A262" s="5">
        <v>165</v>
      </c>
      <c r="B262" s="5" t="s">
        <v>35</v>
      </c>
      <c r="C262" s="5" t="s">
        <v>42</v>
      </c>
      <c r="D262" s="5" t="s">
        <v>37</v>
      </c>
      <c r="E262" s="5" t="s">
        <v>40</v>
      </c>
      <c r="F262" s="5" t="s">
        <v>37</v>
      </c>
      <c r="G262" s="5" t="s">
        <v>47</v>
      </c>
      <c r="H262" s="6">
        <v>45392</v>
      </c>
      <c r="I262" s="5">
        <v>3.2</v>
      </c>
      <c r="J262" s="5">
        <v>67.3</v>
      </c>
      <c r="K262" s="5">
        <v>7</v>
      </c>
      <c r="L262" s="5">
        <v>93.9</v>
      </c>
      <c r="M262" s="5">
        <v>87.2</v>
      </c>
    </row>
    <row r="263" spans="1:13" x14ac:dyDescent="0.3">
      <c r="A263" s="5">
        <v>895</v>
      </c>
      <c r="B263" s="5" t="s">
        <v>44</v>
      </c>
      <c r="C263" s="5" t="s">
        <v>39</v>
      </c>
      <c r="D263" s="5" t="s">
        <v>37</v>
      </c>
      <c r="E263" s="5" t="s">
        <v>37</v>
      </c>
      <c r="F263" s="5" t="s">
        <v>40</v>
      </c>
      <c r="G263" s="5" t="s">
        <v>41</v>
      </c>
      <c r="H263" s="6">
        <v>45642</v>
      </c>
      <c r="I263" s="5">
        <v>1.5</v>
      </c>
      <c r="J263" s="5">
        <v>69.5</v>
      </c>
      <c r="K263" s="5">
        <v>6.7</v>
      </c>
      <c r="L263" s="5">
        <v>67</v>
      </c>
      <c r="M263" s="5">
        <v>54.9</v>
      </c>
    </row>
    <row r="264" spans="1:13" x14ac:dyDescent="0.3">
      <c r="A264" s="5">
        <v>24</v>
      </c>
      <c r="B264" s="5" t="s">
        <v>35</v>
      </c>
      <c r="C264" s="5"/>
      <c r="D264" s="5" t="s">
        <v>37</v>
      </c>
      <c r="E264" s="5" t="s">
        <v>40</v>
      </c>
      <c r="F264" s="5" t="s">
        <v>40</v>
      </c>
      <c r="G264" s="5" t="s">
        <v>47</v>
      </c>
      <c r="H264" s="6">
        <v>45514</v>
      </c>
      <c r="I264" s="5">
        <v>3.8</v>
      </c>
      <c r="J264" s="5">
        <v>89.3</v>
      </c>
      <c r="K264" s="5">
        <v>6.9</v>
      </c>
      <c r="L264" s="5">
        <v>79.3</v>
      </c>
      <c r="M264" s="5">
        <v>81.2</v>
      </c>
    </row>
    <row r="265" spans="1:13" x14ac:dyDescent="0.3">
      <c r="A265" s="5">
        <v>658</v>
      </c>
      <c r="B265" s="5" t="s">
        <v>35</v>
      </c>
      <c r="C265" s="5" t="s">
        <v>39</v>
      </c>
      <c r="D265" s="5" t="s">
        <v>37</v>
      </c>
      <c r="E265" s="5" t="s">
        <v>40</v>
      </c>
      <c r="F265" s="5" t="s">
        <v>37</v>
      </c>
      <c r="G265" s="5" t="s">
        <v>47</v>
      </c>
      <c r="H265" s="6">
        <v>45152</v>
      </c>
      <c r="I265" s="5">
        <v>6.2</v>
      </c>
      <c r="J265" s="5">
        <v>66.599999999999994</v>
      </c>
      <c r="K265" s="5">
        <v>9</v>
      </c>
      <c r="L265" s="5">
        <v>51.1</v>
      </c>
      <c r="M265" s="5">
        <v>81.7</v>
      </c>
    </row>
    <row r="266" spans="1:13" x14ac:dyDescent="0.3">
      <c r="A266" s="5">
        <v>672</v>
      </c>
      <c r="B266" s="5" t="s">
        <v>44</v>
      </c>
      <c r="C266" s="5"/>
      <c r="D266" s="5" t="s">
        <v>40</v>
      </c>
      <c r="E266" s="5" t="s">
        <v>40</v>
      </c>
      <c r="F266" s="5" t="s">
        <v>40</v>
      </c>
      <c r="G266" s="5" t="s">
        <v>41</v>
      </c>
      <c r="H266" s="6">
        <v>45390</v>
      </c>
      <c r="I266" s="5">
        <v>1.4</v>
      </c>
      <c r="J266" s="5">
        <v>85</v>
      </c>
      <c r="K266" s="5">
        <v>8</v>
      </c>
      <c r="L266" s="5">
        <v>44.3</v>
      </c>
      <c r="M266" s="5">
        <v>57.6</v>
      </c>
    </row>
    <row r="267" spans="1:13" x14ac:dyDescent="0.3">
      <c r="A267" s="5">
        <v>712</v>
      </c>
      <c r="B267" s="5" t="s">
        <v>44</v>
      </c>
      <c r="C267" s="5" t="s">
        <v>42</v>
      </c>
      <c r="D267" s="5" t="s">
        <v>37</v>
      </c>
      <c r="E267" s="5" t="s">
        <v>40</v>
      </c>
      <c r="F267" s="5" t="s">
        <v>40</v>
      </c>
      <c r="G267" s="5" t="s">
        <v>43</v>
      </c>
      <c r="H267" s="6">
        <v>45312</v>
      </c>
      <c r="I267" s="5">
        <v>1.8</v>
      </c>
      <c r="J267" s="5">
        <v>83.5</v>
      </c>
      <c r="K267" s="5">
        <v>7.5</v>
      </c>
      <c r="L267" s="5">
        <v>82</v>
      </c>
      <c r="M267" s="5">
        <v>71.8</v>
      </c>
    </row>
    <row r="268" spans="1:13" x14ac:dyDescent="0.3">
      <c r="A268" s="5">
        <v>481</v>
      </c>
      <c r="B268" s="5" t="s">
        <v>44</v>
      </c>
      <c r="C268" s="5" t="s">
        <v>39</v>
      </c>
      <c r="D268" s="5" t="s">
        <v>37</v>
      </c>
      <c r="E268" s="5" t="s">
        <v>37</v>
      </c>
      <c r="F268" s="5" t="s">
        <v>37</v>
      </c>
      <c r="G268" s="5" t="s">
        <v>41</v>
      </c>
      <c r="H268" s="6">
        <v>45540</v>
      </c>
      <c r="I268" s="5">
        <v>1.2</v>
      </c>
      <c r="J268" s="5">
        <v>97.9</v>
      </c>
      <c r="K268" s="5">
        <v>4.3</v>
      </c>
      <c r="L268" s="5">
        <v>36.1</v>
      </c>
      <c r="M268" s="5">
        <v>52.5</v>
      </c>
    </row>
    <row r="269" spans="1:13" x14ac:dyDescent="0.3">
      <c r="A269" s="5">
        <v>350</v>
      </c>
      <c r="B269" s="5" t="s">
        <v>44</v>
      </c>
      <c r="C269" s="5" t="s">
        <v>36</v>
      </c>
      <c r="D269" s="5" t="s">
        <v>37</v>
      </c>
      <c r="E269" s="5" t="s">
        <v>37</v>
      </c>
      <c r="F269" s="5" t="s">
        <v>37</v>
      </c>
      <c r="G269" s="5" t="s">
        <v>46</v>
      </c>
      <c r="H269" s="6">
        <v>45185</v>
      </c>
      <c r="I269" s="5">
        <v>6.1</v>
      </c>
      <c r="J269" s="5">
        <v>71.400000000000006</v>
      </c>
      <c r="K269" s="5">
        <v>4</v>
      </c>
      <c r="L269" s="5">
        <v>46.2</v>
      </c>
      <c r="M269" s="5">
        <v>62.8</v>
      </c>
    </row>
    <row r="270" spans="1:13" x14ac:dyDescent="0.3">
      <c r="A270" s="5">
        <v>777</v>
      </c>
      <c r="B270" s="5" t="s">
        <v>44</v>
      </c>
      <c r="C270" s="5" t="s">
        <v>39</v>
      </c>
      <c r="D270" s="5" t="s">
        <v>37</v>
      </c>
      <c r="E270" s="5" t="s">
        <v>40</v>
      </c>
      <c r="F270" s="5" t="s">
        <v>37</v>
      </c>
      <c r="G270" s="5" t="s">
        <v>43</v>
      </c>
      <c r="H270" s="6">
        <v>45519</v>
      </c>
      <c r="I270" s="5">
        <v>4.4000000000000004</v>
      </c>
      <c r="J270" s="5">
        <v>83.5</v>
      </c>
      <c r="K270" s="5">
        <v>8.5</v>
      </c>
      <c r="L270" s="5">
        <v>35.1</v>
      </c>
      <c r="M270" s="5">
        <v>72</v>
      </c>
    </row>
    <row r="271" spans="1:13" x14ac:dyDescent="0.3">
      <c r="A271" s="5">
        <v>503</v>
      </c>
      <c r="B271" s="5" t="s">
        <v>35</v>
      </c>
      <c r="C271" s="5" t="s">
        <v>45</v>
      </c>
      <c r="D271" s="5" t="s">
        <v>37</v>
      </c>
      <c r="E271" s="5" t="s">
        <v>40</v>
      </c>
      <c r="F271" s="5" t="s">
        <v>40</v>
      </c>
      <c r="G271" s="5" t="s">
        <v>43</v>
      </c>
      <c r="H271" s="6">
        <v>45278</v>
      </c>
      <c r="I271" s="5">
        <v>4.0999999999999996</v>
      </c>
      <c r="J271" s="5">
        <v>92</v>
      </c>
      <c r="K271" s="5">
        <v>5.6</v>
      </c>
      <c r="L271" s="5">
        <v>40.4</v>
      </c>
      <c r="M271" s="5">
        <v>70</v>
      </c>
    </row>
    <row r="272" spans="1:13" x14ac:dyDescent="0.3">
      <c r="A272" s="5">
        <v>929</v>
      </c>
      <c r="B272" s="5" t="s">
        <v>44</v>
      </c>
      <c r="C272" s="5" t="s">
        <v>45</v>
      </c>
      <c r="D272" s="5" t="s">
        <v>37</v>
      </c>
      <c r="E272" s="5" t="s">
        <v>40</v>
      </c>
      <c r="F272" s="5" t="s">
        <v>40</v>
      </c>
      <c r="G272" s="5" t="s">
        <v>43</v>
      </c>
      <c r="H272" s="6">
        <v>45347</v>
      </c>
      <c r="I272" s="5">
        <v>4.0999999999999996</v>
      </c>
      <c r="J272" s="5">
        <v>72.2</v>
      </c>
      <c r="K272" s="5">
        <v>6</v>
      </c>
      <c r="L272" s="5">
        <v>85.2</v>
      </c>
      <c r="M272" s="5">
        <v>77.400000000000006</v>
      </c>
    </row>
    <row r="273" spans="1:13" x14ac:dyDescent="0.3">
      <c r="A273" s="5">
        <v>148</v>
      </c>
      <c r="B273" s="5" t="s">
        <v>35</v>
      </c>
      <c r="C273" s="5" t="s">
        <v>45</v>
      </c>
      <c r="D273" s="5" t="s">
        <v>37</v>
      </c>
      <c r="E273" s="5" t="s">
        <v>37</v>
      </c>
      <c r="F273" s="5" t="s">
        <v>40</v>
      </c>
      <c r="G273" s="5" t="s">
        <v>43</v>
      </c>
      <c r="H273" s="6">
        <v>45289</v>
      </c>
      <c r="I273" s="5">
        <v>4.2</v>
      </c>
      <c r="J273" s="5">
        <v>74.5</v>
      </c>
      <c r="K273" s="5">
        <v>4.8</v>
      </c>
      <c r="L273" s="5">
        <v>92.9</v>
      </c>
      <c r="M273" s="5">
        <v>70.2</v>
      </c>
    </row>
    <row r="274" spans="1:13" x14ac:dyDescent="0.3">
      <c r="A274" s="5">
        <v>928</v>
      </c>
      <c r="B274" s="5" t="s">
        <v>35</v>
      </c>
      <c r="C274" s="5" t="s">
        <v>39</v>
      </c>
      <c r="D274" s="5" t="s">
        <v>40</v>
      </c>
      <c r="E274" s="5" t="s">
        <v>40</v>
      </c>
      <c r="F274" s="5" t="s">
        <v>40</v>
      </c>
      <c r="G274" s="5" t="s">
        <v>46</v>
      </c>
      <c r="H274" s="6">
        <v>45014</v>
      </c>
      <c r="I274" s="5">
        <v>3.7</v>
      </c>
      <c r="J274" s="5">
        <v>78.099999999999994</v>
      </c>
      <c r="K274" s="5">
        <v>6.8</v>
      </c>
      <c r="L274" s="5">
        <v>55.1</v>
      </c>
      <c r="M274" s="5">
        <v>73</v>
      </c>
    </row>
    <row r="275" spans="1:13" x14ac:dyDescent="0.3">
      <c r="A275" s="5">
        <v>228</v>
      </c>
      <c r="B275" s="5" t="s">
        <v>44</v>
      </c>
      <c r="C275" s="5" t="s">
        <v>42</v>
      </c>
      <c r="D275" s="5" t="s">
        <v>40</v>
      </c>
      <c r="E275" s="5" t="s">
        <v>37</v>
      </c>
      <c r="F275" s="5" t="s">
        <v>40</v>
      </c>
      <c r="G275" s="5" t="s">
        <v>47</v>
      </c>
      <c r="H275" s="6">
        <v>44938</v>
      </c>
      <c r="I275" s="5">
        <v>4.0999999999999996</v>
      </c>
      <c r="J275" s="5">
        <v>70.099999999999994</v>
      </c>
      <c r="K275" s="5">
        <v>5.7</v>
      </c>
      <c r="L275" s="5">
        <v>85.6</v>
      </c>
      <c r="M275" s="5">
        <v>81.099999999999994</v>
      </c>
    </row>
    <row r="276" spans="1:13" x14ac:dyDescent="0.3">
      <c r="A276" s="5">
        <v>739</v>
      </c>
      <c r="B276" s="5" t="s">
        <v>44</v>
      </c>
      <c r="C276" s="5" t="s">
        <v>42</v>
      </c>
      <c r="D276" s="5" t="s">
        <v>37</v>
      </c>
      <c r="E276" s="5" t="s">
        <v>40</v>
      </c>
      <c r="F276" s="5" t="s">
        <v>40</v>
      </c>
      <c r="G276" s="5" t="s">
        <v>47</v>
      </c>
      <c r="H276" s="6">
        <v>45113</v>
      </c>
      <c r="I276" s="5">
        <v>2.7</v>
      </c>
      <c r="J276" s="5">
        <v>95.9</v>
      </c>
      <c r="K276" s="5">
        <v>4.7</v>
      </c>
      <c r="L276" s="5">
        <v>83.4</v>
      </c>
      <c r="M276" s="5">
        <v>88.1</v>
      </c>
    </row>
    <row r="277" spans="1:13" x14ac:dyDescent="0.3">
      <c r="A277" s="5">
        <v>646</v>
      </c>
      <c r="B277" s="5" t="s">
        <v>44</v>
      </c>
      <c r="C277" s="5" t="s">
        <v>42</v>
      </c>
      <c r="D277" s="5" t="s">
        <v>37</v>
      </c>
      <c r="E277" s="5" t="s">
        <v>37</v>
      </c>
      <c r="F277" s="5" t="s">
        <v>37</v>
      </c>
      <c r="G277" s="5" t="s">
        <v>38</v>
      </c>
      <c r="H277" s="6">
        <v>45194</v>
      </c>
      <c r="I277" s="5">
        <v>5</v>
      </c>
      <c r="J277" s="5">
        <v>94.6</v>
      </c>
      <c r="K277" s="5">
        <v>7.6</v>
      </c>
      <c r="L277" s="5">
        <v>76.2</v>
      </c>
      <c r="M277" s="5">
        <v>98.9</v>
      </c>
    </row>
    <row r="278" spans="1:13" x14ac:dyDescent="0.3">
      <c r="A278" s="5">
        <v>850</v>
      </c>
      <c r="B278" s="5" t="s">
        <v>44</v>
      </c>
      <c r="C278" s="5" t="s">
        <v>45</v>
      </c>
      <c r="D278" s="5" t="s">
        <v>40</v>
      </c>
      <c r="E278" s="5" t="s">
        <v>37</v>
      </c>
      <c r="F278" s="5" t="s">
        <v>40</v>
      </c>
      <c r="G278" s="5" t="s">
        <v>47</v>
      </c>
      <c r="H278" s="6">
        <v>45033</v>
      </c>
      <c r="I278" s="5">
        <v>3.2</v>
      </c>
      <c r="J278" s="5">
        <v>99.7</v>
      </c>
      <c r="K278" s="5">
        <v>7.3</v>
      </c>
      <c r="L278" s="5">
        <v>81.3</v>
      </c>
      <c r="M278" s="5">
        <v>88.1</v>
      </c>
    </row>
    <row r="279" spans="1:13" x14ac:dyDescent="0.3">
      <c r="A279" s="5">
        <v>825</v>
      </c>
      <c r="B279" s="5" t="s">
        <v>35</v>
      </c>
      <c r="C279" s="5" t="s">
        <v>42</v>
      </c>
      <c r="D279" s="5" t="s">
        <v>37</v>
      </c>
      <c r="E279" s="5" t="s">
        <v>37</v>
      </c>
      <c r="F279" s="5" t="s">
        <v>40</v>
      </c>
      <c r="G279" s="5" t="s">
        <v>43</v>
      </c>
      <c r="H279" s="6">
        <v>45595</v>
      </c>
      <c r="I279" s="5">
        <v>3.3</v>
      </c>
      <c r="J279" s="5">
        <v>68.099999999999994</v>
      </c>
      <c r="K279" s="5">
        <v>5.8</v>
      </c>
      <c r="L279" s="5">
        <v>84.1</v>
      </c>
      <c r="M279" s="5">
        <v>79.7</v>
      </c>
    </row>
    <row r="280" spans="1:13" x14ac:dyDescent="0.3">
      <c r="A280" s="5">
        <v>386</v>
      </c>
      <c r="B280" s="5" t="s">
        <v>35</v>
      </c>
      <c r="C280" s="5" t="s">
        <v>42</v>
      </c>
      <c r="D280" s="5" t="s">
        <v>37</v>
      </c>
      <c r="E280" s="5" t="s">
        <v>40</v>
      </c>
      <c r="F280" s="5" t="s">
        <v>40</v>
      </c>
      <c r="G280" s="5" t="s">
        <v>47</v>
      </c>
      <c r="H280" s="6">
        <v>45530</v>
      </c>
      <c r="I280" s="5">
        <v>4.0999999999999996</v>
      </c>
      <c r="J280" s="5">
        <v>79.3</v>
      </c>
      <c r="K280" s="5">
        <v>6.8</v>
      </c>
      <c r="L280" s="5">
        <v>90.9</v>
      </c>
      <c r="M280" s="5">
        <v>88.6</v>
      </c>
    </row>
    <row r="281" spans="1:13" x14ac:dyDescent="0.3">
      <c r="A281" s="5">
        <v>328</v>
      </c>
      <c r="B281" s="5" t="s">
        <v>35</v>
      </c>
      <c r="C281" s="5" t="s">
        <v>36</v>
      </c>
      <c r="D281" s="5" t="s">
        <v>37</v>
      </c>
      <c r="E281" s="5" t="s">
        <v>37</v>
      </c>
      <c r="F281" s="5" t="s">
        <v>40</v>
      </c>
      <c r="G281" s="5" t="s">
        <v>47</v>
      </c>
      <c r="H281" s="6"/>
      <c r="I281" s="5">
        <v>6.7</v>
      </c>
      <c r="J281" s="5">
        <v>95.6</v>
      </c>
      <c r="K281" s="5">
        <v>4.8</v>
      </c>
      <c r="L281" s="5">
        <v>66.099999999999994</v>
      </c>
      <c r="M281" s="5">
        <v>81.900000000000006</v>
      </c>
    </row>
    <row r="282" spans="1:13" x14ac:dyDescent="0.3">
      <c r="A282" s="5">
        <v>711</v>
      </c>
      <c r="B282" s="5" t="s">
        <v>44</v>
      </c>
      <c r="C282" s="5" t="s">
        <v>45</v>
      </c>
      <c r="D282" s="5" t="s">
        <v>37</v>
      </c>
      <c r="E282" s="5" t="s">
        <v>40</v>
      </c>
      <c r="F282" s="5" t="s">
        <v>40</v>
      </c>
      <c r="G282" s="5" t="s">
        <v>43</v>
      </c>
      <c r="H282" s="6">
        <v>45243</v>
      </c>
      <c r="I282" s="5">
        <v>4.7</v>
      </c>
      <c r="J282" s="5">
        <v>72.400000000000006</v>
      </c>
      <c r="K282" s="5">
        <v>4.0999999999999996</v>
      </c>
      <c r="L282" s="5">
        <v>67.099999999999994</v>
      </c>
      <c r="M282" s="5">
        <v>72.3</v>
      </c>
    </row>
    <row r="283" spans="1:13" x14ac:dyDescent="0.3">
      <c r="A283" s="5">
        <v>395</v>
      </c>
      <c r="B283" s="5" t="s">
        <v>44</v>
      </c>
      <c r="C283" s="5" t="s">
        <v>45</v>
      </c>
      <c r="D283" s="5" t="s">
        <v>37</v>
      </c>
      <c r="E283" s="5" t="s">
        <v>40</v>
      </c>
      <c r="F283" s="5" t="s">
        <v>40</v>
      </c>
      <c r="G283" s="5" t="s">
        <v>47</v>
      </c>
      <c r="H283" s="6">
        <v>45602</v>
      </c>
      <c r="I283" s="5">
        <v>3.9</v>
      </c>
      <c r="J283" s="5">
        <v>75.2</v>
      </c>
      <c r="K283" s="5">
        <v>8</v>
      </c>
      <c r="L283" s="5">
        <v>67</v>
      </c>
      <c r="M283" s="5">
        <v>82.2</v>
      </c>
    </row>
    <row r="284" spans="1:13" x14ac:dyDescent="0.3">
      <c r="A284" s="5">
        <v>388</v>
      </c>
      <c r="B284" s="5" t="s">
        <v>35</v>
      </c>
      <c r="C284" s="5" t="s">
        <v>42</v>
      </c>
      <c r="D284" s="5" t="s">
        <v>37</v>
      </c>
      <c r="E284" s="5" t="s">
        <v>37</v>
      </c>
      <c r="F284" s="5" t="s">
        <v>40</v>
      </c>
      <c r="G284" s="5" t="s">
        <v>43</v>
      </c>
      <c r="H284" s="6">
        <v>45021</v>
      </c>
      <c r="I284" s="5">
        <v>4.3</v>
      </c>
      <c r="J284" s="5">
        <v>65.099999999999994</v>
      </c>
      <c r="K284" s="5">
        <v>8.3000000000000007</v>
      </c>
      <c r="L284" s="5">
        <v>78</v>
      </c>
      <c r="M284" s="5">
        <v>79.900000000000006</v>
      </c>
    </row>
    <row r="285" spans="1:13" x14ac:dyDescent="0.3">
      <c r="A285" s="5">
        <v>659</v>
      </c>
      <c r="B285" s="5" t="s">
        <v>44</v>
      </c>
      <c r="C285" s="5" t="s">
        <v>45</v>
      </c>
      <c r="D285" s="5" t="s">
        <v>37</v>
      </c>
      <c r="E285" s="5" t="s">
        <v>40</v>
      </c>
      <c r="F285" s="5" t="s">
        <v>37</v>
      </c>
      <c r="G285" s="5" t="s">
        <v>43</v>
      </c>
      <c r="H285" s="6">
        <v>45360</v>
      </c>
      <c r="I285" s="5">
        <v>3.1</v>
      </c>
      <c r="J285" s="5">
        <v>87.9</v>
      </c>
      <c r="K285" s="5">
        <v>8.1999999999999993</v>
      </c>
      <c r="L285" s="5">
        <v>84</v>
      </c>
      <c r="M285" s="5">
        <v>76</v>
      </c>
    </row>
    <row r="286" spans="1:13" x14ac:dyDescent="0.3">
      <c r="A286" s="5">
        <v>778</v>
      </c>
      <c r="B286" s="5" t="s">
        <v>35</v>
      </c>
      <c r="C286" s="5"/>
      <c r="D286" s="5" t="s">
        <v>37</v>
      </c>
      <c r="E286" s="5" t="s">
        <v>40</v>
      </c>
      <c r="F286" s="5" t="s">
        <v>37</v>
      </c>
      <c r="G286" s="5" t="s">
        <v>43</v>
      </c>
      <c r="H286" s="6">
        <v>45633</v>
      </c>
      <c r="I286" s="5">
        <v>6.8</v>
      </c>
      <c r="J286" s="5">
        <v>65.2</v>
      </c>
      <c r="K286" s="5">
        <v>7.6</v>
      </c>
      <c r="L286" s="5">
        <v>36.6</v>
      </c>
      <c r="M286" s="5">
        <v>78.7</v>
      </c>
    </row>
    <row r="287" spans="1:13" x14ac:dyDescent="0.3">
      <c r="A287" s="5">
        <v>45</v>
      </c>
      <c r="B287" s="5" t="s">
        <v>35</v>
      </c>
      <c r="C287" s="5" t="s">
        <v>42</v>
      </c>
      <c r="D287" s="5" t="s">
        <v>37</v>
      </c>
      <c r="E287" s="5" t="s">
        <v>40</v>
      </c>
      <c r="F287" s="5" t="s">
        <v>40</v>
      </c>
      <c r="G287" s="5" t="s">
        <v>43</v>
      </c>
      <c r="H287" s="6">
        <v>45007</v>
      </c>
      <c r="I287" s="5">
        <v>3.4</v>
      </c>
      <c r="J287" s="5">
        <v>75.599999999999994</v>
      </c>
      <c r="K287" s="5">
        <v>8.6</v>
      </c>
      <c r="L287" s="5">
        <v>87.8</v>
      </c>
      <c r="M287" s="5">
        <v>79.3</v>
      </c>
    </row>
    <row r="288" spans="1:13" x14ac:dyDescent="0.3">
      <c r="A288" s="5">
        <v>661</v>
      </c>
      <c r="B288" s="5" t="s">
        <v>35</v>
      </c>
      <c r="C288" s="5" t="s">
        <v>42</v>
      </c>
      <c r="D288" s="5" t="s">
        <v>37</v>
      </c>
      <c r="E288" s="5" t="s">
        <v>37</v>
      </c>
      <c r="F288" s="5" t="s">
        <v>37</v>
      </c>
      <c r="G288" s="5" t="s">
        <v>41</v>
      </c>
      <c r="H288" s="6">
        <v>45152</v>
      </c>
      <c r="I288" s="5">
        <v>4.7</v>
      </c>
      <c r="J288" s="5">
        <v>84.1</v>
      </c>
      <c r="K288" s="5">
        <v>4.4000000000000004</v>
      </c>
      <c r="L288" s="5">
        <v>44.3</v>
      </c>
      <c r="M288" s="5">
        <v>55.1</v>
      </c>
    </row>
    <row r="289" spans="1:13" x14ac:dyDescent="0.3">
      <c r="A289" s="5">
        <v>601</v>
      </c>
      <c r="B289" s="5" t="s">
        <v>35</v>
      </c>
      <c r="C289" s="5" t="s">
        <v>45</v>
      </c>
      <c r="D289" s="5" t="s">
        <v>37</v>
      </c>
      <c r="E289" s="5" t="s">
        <v>37</v>
      </c>
      <c r="F289" s="5" t="s">
        <v>37</v>
      </c>
      <c r="G289" s="5" t="s">
        <v>46</v>
      </c>
      <c r="H289" s="6">
        <v>45627</v>
      </c>
      <c r="I289" s="5">
        <v>1.7</v>
      </c>
      <c r="J289" s="5">
        <v>90.5</v>
      </c>
      <c r="K289" s="5">
        <v>6.3</v>
      </c>
      <c r="L289" s="5">
        <v>56.2</v>
      </c>
      <c r="M289" s="5">
        <v>63.2</v>
      </c>
    </row>
    <row r="290" spans="1:13" x14ac:dyDescent="0.3">
      <c r="A290" s="5">
        <v>27</v>
      </c>
      <c r="B290" s="5" t="s">
        <v>35</v>
      </c>
      <c r="C290" s="5" t="s">
        <v>39</v>
      </c>
      <c r="D290" s="5" t="s">
        <v>37</v>
      </c>
      <c r="E290" s="5" t="s">
        <v>37</v>
      </c>
      <c r="F290" s="5" t="s">
        <v>40</v>
      </c>
      <c r="G290" s="5" t="s">
        <v>46</v>
      </c>
      <c r="H290" s="6">
        <v>45532</v>
      </c>
      <c r="I290" s="5">
        <v>3.5</v>
      </c>
      <c r="J290" s="5">
        <v>92.5</v>
      </c>
      <c r="K290" s="5">
        <v>4.0999999999999996</v>
      </c>
      <c r="L290" s="5">
        <v>49</v>
      </c>
      <c r="M290" s="5">
        <v>63.2</v>
      </c>
    </row>
    <row r="291" spans="1:13" x14ac:dyDescent="0.3">
      <c r="A291" s="5">
        <v>876</v>
      </c>
      <c r="B291" s="5" t="s">
        <v>35</v>
      </c>
      <c r="C291" s="5" t="s">
        <v>42</v>
      </c>
      <c r="D291" s="5" t="s">
        <v>37</v>
      </c>
      <c r="E291" s="5" t="s">
        <v>40</v>
      </c>
      <c r="F291" s="5" t="s">
        <v>37</v>
      </c>
      <c r="G291" s="5" t="s">
        <v>43</v>
      </c>
      <c r="H291" s="6">
        <v>45626</v>
      </c>
      <c r="I291" s="5">
        <v>3</v>
      </c>
      <c r="J291" s="5">
        <v>88</v>
      </c>
      <c r="K291" s="5">
        <v>6.9</v>
      </c>
      <c r="L291" s="5">
        <v>56.5</v>
      </c>
      <c r="M291" s="5">
        <v>75.3</v>
      </c>
    </row>
    <row r="292" spans="1:13" x14ac:dyDescent="0.3">
      <c r="A292" s="5">
        <v>251</v>
      </c>
      <c r="B292" s="5" t="s">
        <v>44</v>
      </c>
      <c r="C292" s="5" t="s">
        <v>45</v>
      </c>
      <c r="D292" s="5" t="s">
        <v>37</v>
      </c>
      <c r="E292" s="5" t="s">
        <v>37</v>
      </c>
      <c r="F292" s="5" t="s">
        <v>40</v>
      </c>
      <c r="G292" s="5" t="s">
        <v>38</v>
      </c>
      <c r="H292" s="6">
        <v>45262</v>
      </c>
      <c r="I292" s="5">
        <v>6.8</v>
      </c>
      <c r="J292" s="5">
        <v>83.3</v>
      </c>
      <c r="K292" s="5">
        <v>8.5</v>
      </c>
      <c r="L292" s="5">
        <v>76.900000000000006</v>
      </c>
      <c r="M292" s="5">
        <v>100</v>
      </c>
    </row>
    <row r="293" spans="1:13" x14ac:dyDescent="0.3">
      <c r="A293" s="5">
        <v>479</v>
      </c>
      <c r="B293" s="5" t="s">
        <v>35</v>
      </c>
      <c r="C293" s="5" t="s">
        <v>36</v>
      </c>
      <c r="D293" s="5" t="s">
        <v>37</v>
      </c>
      <c r="E293" s="5" t="s">
        <v>37</v>
      </c>
      <c r="F293" s="5" t="s">
        <v>40</v>
      </c>
      <c r="G293" s="5" t="s">
        <v>46</v>
      </c>
      <c r="H293" s="6">
        <v>45609</v>
      </c>
      <c r="I293" s="5">
        <v>2.2000000000000002</v>
      </c>
      <c r="J293" s="5">
        <v>93.7</v>
      </c>
      <c r="K293" s="5">
        <v>4</v>
      </c>
      <c r="L293" s="5">
        <v>86.2</v>
      </c>
      <c r="M293" s="5">
        <v>69.2</v>
      </c>
    </row>
    <row r="294" spans="1:13" x14ac:dyDescent="0.3">
      <c r="A294" s="5">
        <v>834</v>
      </c>
      <c r="B294" s="5" t="s">
        <v>35</v>
      </c>
      <c r="C294" s="5" t="s">
        <v>42</v>
      </c>
      <c r="D294" s="5" t="s">
        <v>37</v>
      </c>
      <c r="E294" s="5" t="s">
        <v>40</v>
      </c>
      <c r="F294" s="5" t="s">
        <v>37</v>
      </c>
      <c r="G294" s="5" t="s">
        <v>47</v>
      </c>
      <c r="H294" s="6">
        <v>44970</v>
      </c>
      <c r="I294" s="5">
        <v>6.2</v>
      </c>
      <c r="J294" s="5">
        <v>82.2</v>
      </c>
      <c r="K294" s="5">
        <v>5.8</v>
      </c>
      <c r="L294" s="5">
        <v>62.7</v>
      </c>
      <c r="M294" s="5">
        <v>80.7</v>
      </c>
    </row>
    <row r="295" spans="1:13" x14ac:dyDescent="0.3">
      <c r="A295" s="5">
        <v>791</v>
      </c>
      <c r="B295" s="5" t="s">
        <v>35</v>
      </c>
      <c r="C295" s="5" t="s">
        <v>39</v>
      </c>
      <c r="D295" s="5" t="s">
        <v>37</v>
      </c>
      <c r="E295" s="5" t="s">
        <v>40</v>
      </c>
      <c r="F295" s="5" t="s">
        <v>37</v>
      </c>
      <c r="G295" s="5" t="s">
        <v>43</v>
      </c>
      <c r="H295" s="6">
        <v>45057</v>
      </c>
      <c r="I295" s="5">
        <v>2.5</v>
      </c>
      <c r="J295" s="5">
        <v>80.8</v>
      </c>
      <c r="K295" s="5">
        <v>7.3</v>
      </c>
      <c r="L295" s="5">
        <v>75.599999999999994</v>
      </c>
      <c r="M295" s="5">
        <v>71.400000000000006</v>
      </c>
    </row>
    <row r="296" spans="1:13" x14ac:dyDescent="0.3">
      <c r="A296" s="5">
        <v>733</v>
      </c>
      <c r="B296" s="5" t="s">
        <v>44</v>
      </c>
      <c r="C296" s="5"/>
      <c r="D296" s="5" t="s">
        <v>37</v>
      </c>
      <c r="E296" s="5" t="s">
        <v>37</v>
      </c>
      <c r="F296" s="5" t="s">
        <v>37</v>
      </c>
      <c r="G296" s="5" t="s">
        <v>47</v>
      </c>
      <c r="H296" s="6">
        <v>45449</v>
      </c>
      <c r="I296" s="5">
        <v>6.1</v>
      </c>
      <c r="J296" s="5">
        <v>72.7</v>
      </c>
      <c r="K296" s="5">
        <v>4.5</v>
      </c>
      <c r="L296" s="5">
        <v>65.599999999999994</v>
      </c>
      <c r="M296" s="5">
        <v>87.9</v>
      </c>
    </row>
    <row r="297" spans="1:13" x14ac:dyDescent="0.3">
      <c r="A297" s="5">
        <v>358</v>
      </c>
      <c r="B297" s="5" t="s">
        <v>44</v>
      </c>
      <c r="C297" s="5" t="s">
        <v>45</v>
      </c>
      <c r="D297" s="5" t="s">
        <v>37</v>
      </c>
      <c r="E297" s="5" t="s">
        <v>37</v>
      </c>
      <c r="F297" s="5" t="s">
        <v>40</v>
      </c>
      <c r="G297" s="5" t="s">
        <v>43</v>
      </c>
      <c r="H297" s="6">
        <v>45028</v>
      </c>
      <c r="I297" s="5">
        <v>2.2999999999999998</v>
      </c>
      <c r="J297" s="5">
        <v>93.4</v>
      </c>
      <c r="K297" s="5">
        <v>7.8</v>
      </c>
      <c r="L297" s="5">
        <v>75.599999999999994</v>
      </c>
      <c r="M297" s="5">
        <v>78.3</v>
      </c>
    </row>
    <row r="298" spans="1:13" x14ac:dyDescent="0.3">
      <c r="A298" s="5">
        <v>302</v>
      </c>
      <c r="B298" s="5" t="s">
        <v>44</v>
      </c>
      <c r="C298" s="5" t="s">
        <v>45</v>
      </c>
      <c r="D298" s="5" t="s">
        <v>37</v>
      </c>
      <c r="E298" s="5" t="s">
        <v>40</v>
      </c>
      <c r="F298" s="5" t="s">
        <v>37</v>
      </c>
      <c r="G298" s="5" t="s">
        <v>46</v>
      </c>
      <c r="H298" s="6">
        <v>45650</v>
      </c>
      <c r="I298" s="5">
        <v>1.4</v>
      </c>
      <c r="J298" s="5">
        <v>95.1</v>
      </c>
      <c r="K298" s="5">
        <v>5.0999999999999996</v>
      </c>
      <c r="L298" s="5">
        <v>68.400000000000006</v>
      </c>
      <c r="M298" s="5">
        <v>63.1</v>
      </c>
    </row>
    <row r="299" spans="1:13" x14ac:dyDescent="0.3">
      <c r="A299" s="5">
        <v>475</v>
      </c>
      <c r="B299" s="5" t="s">
        <v>35</v>
      </c>
      <c r="C299" s="5"/>
      <c r="D299" s="5" t="s">
        <v>37</v>
      </c>
      <c r="E299" s="5" t="s">
        <v>40</v>
      </c>
      <c r="F299" s="5" t="s">
        <v>37</v>
      </c>
      <c r="G299" s="5" t="s">
        <v>43</v>
      </c>
      <c r="H299" s="6">
        <v>44932</v>
      </c>
      <c r="I299" s="5">
        <v>3.1</v>
      </c>
      <c r="J299" s="5">
        <v>95</v>
      </c>
      <c r="K299" s="5">
        <v>5.4</v>
      </c>
      <c r="L299" s="5">
        <v>71.900000000000006</v>
      </c>
      <c r="M299" s="5">
        <v>73.5</v>
      </c>
    </row>
    <row r="300" spans="1:13" x14ac:dyDescent="0.3">
      <c r="A300" s="5">
        <v>561</v>
      </c>
      <c r="B300" s="5" t="s">
        <v>35</v>
      </c>
      <c r="C300" s="5"/>
      <c r="D300" s="5" t="s">
        <v>37</v>
      </c>
      <c r="E300" s="5" t="s">
        <v>37</v>
      </c>
      <c r="F300" s="5" t="s">
        <v>40</v>
      </c>
      <c r="G300" s="5" t="s">
        <v>47</v>
      </c>
      <c r="H300" s="6">
        <v>45327</v>
      </c>
      <c r="I300" s="5">
        <v>4.0999999999999996</v>
      </c>
      <c r="J300" s="5">
        <v>69.2</v>
      </c>
      <c r="K300" s="5">
        <v>8.1</v>
      </c>
      <c r="L300" s="5">
        <v>71.2</v>
      </c>
      <c r="M300" s="5">
        <v>81.099999999999994</v>
      </c>
    </row>
    <row r="301" spans="1:13" x14ac:dyDescent="0.3">
      <c r="A301" s="5">
        <v>717</v>
      </c>
      <c r="B301" s="5" t="s">
        <v>44</v>
      </c>
      <c r="C301" s="5" t="s">
        <v>36</v>
      </c>
      <c r="D301" s="5" t="s">
        <v>40</v>
      </c>
      <c r="E301" s="5" t="s">
        <v>37</v>
      </c>
      <c r="F301" s="5" t="s">
        <v>40</v>
      </c>
      <c r="G301" s="5" t="s">
        <v>43</v>
      </c>
      <c r="H301" s="6">
        <v>45109</v>
      </c>
      <c r="I301" s="5">
        <v>5.0999999999999996</v>
      </c>
      <c r="J301" s="5">
        <v>74.3</v>
      </c>
      <c r="K301" s="5">
        <v>6.8</v>
      </c>
      <c r="L301" s="5">
        <v>92.2</v>
      </c>
      <c r="M301" s="5">
        <v>76.8</v>
      </c>
    </row>
    <row r="302" spans="1:13" x14ac:dyDescent="0.3">
      <c r="A302" s="5">
        <v>635</v>
      </c>
      <c r="B302" s="5" t="s">
        <v>44</v>
      </c>
      <c r="C302" s="5"/>
      <c r="D302" s="5" t="s">
        <v>37</v>
      </c>
      <c r="E302" s="5" t="s">
        <v>40</v>
      </c>
      <c r="F302" s="5" t="s">
        <v>40</v>
      </c>
      <c r="G302" s="5" t="s">
        <v>46</v>
      </c>
      <c r="H302" s="6">
        <v>45575</v>
      </c>
      <c r="I302" s="5">
        <v>1.2</v>
      </c>
      <c r="J302" s="5">
        <v>91.7</v>
      </c>
      <c r="K302" s="5">
        <v>6.7</v>
      </c>
      <c r="L302" s="5">
        <v>87.9</v>
      </c>
      <c r="M302" s="5">
        <v>68.7</v>
      </c>
    </row>
    <row r="303" spans="1:13" x14ac:dyDescent="0.3">
      <c r="A303" s="5">
        <v>49</v>
      </c>
      <c r="B303" s="5" t="s">
        <v>44</v>
      </c>
      <c r="C303" s="5"/>
      <c r="D303" s="5" t="s">
        <v>37</v>
      </c>
      <c r="E303" s="5" t="s">
        <v>40</v>
      </c>
      <c r="F303" s="5" t="s">
        <v>40</v>
      </c>
      <c r="G303" s="5" t="s">
        <v>41</v>
      </c>
      <c r="H303" s="6">
        <v>45386</v>
      </c>
      <c r="I303" s="5">
        <v>1.8</v>
      </c>
      <c r="J303" s="5">
        <v>69.400000000000006</v>
      </c>
      <c r="K303" s="5">
        <v>6.5</v>
      </c>
      <c r="L303" s="5">
        <v>44.3</v>
      </c>
      <c r="M303" s="5">
        <v>45.1</v>
      </c>
    </row>
    <row r="304" spans="1:13" x14ac:dyDescent="0.3">
      <c r="A304" s="5">
        <v>751</v>
      </c>
      <c r="B304" s="5" t="s">
        <v>44</v>
      </c>
      <c r="C304" s="5" t="s">
        <v>42</v>
      </c>
      <c r="D304" s="5" t="s">
        <v>37</v>
      </c>
      <c r="E304" s="5" t="s">
        <v>40</v>
      </c>
      <c r="F304" s="5" t="s">
        <v>40</v>
      </c>
      <c r="G304" s="5" t="s">
        <v>43</v>
      </c>
      <c r="H304" s="6">
        <v>45266</v>
      </c>
      <c r="I304" s="5">
        <v>5.8</v>
      </c>
      <c r="J304" s="5">
        <v>78.7</v>
      </c>
      <c r="K304" s="5">
        <v>5.7</v>
      </c>
      <c r="L304" s="5">
        <v>66</v>
      </c>
      <c r="M304" s="5">
        <v>79.900000000000006</v>
      </c>
    </row>
    <row r="305" spans="1:13" x14ac:dyDescent="0.3">
      <c r="A305" s="5">
        <v>483</v>
      </c>
      <c r="B305" s="5" t="s">
        <v>44</v>
      </c>
      <c r="C305" s="5" t="s">
        <v>45</v>
      </c>
      <c r="D305" s="5" t="s">
        <v>37</v>
      </c>
      <c r="E305" s="5" t="s">
        <v>40</v>
      </c>
      <c r="F305" s="5" t="s">
        <v>37</v>
      </c>
      <c r="G305" s="5" t="s">
        <v>43</v>
      </c>
      <c r="H305" s="6">
        <v>45405</v>
      </c>
      <c r="I305" s="5">
        <v>3.9</v>
      </c>
      <c r="J305" s="5">
        <v>94.1</v>
      </c>
      <c r="K305" s="5">
        <v>4.9000000000000004</v>
      </c>
      <c r="L305" s="5">
        <v>88.5</v>
      </c>
      <c r="M305" s="5">
        <v>70.8</v>
      </c>
    </row>
    <row r="306" spans="1:13" x14ac:dyDescent="0.3">
      <c r="A306" s="5">
        <v>888</v>
      </c>
      <c r="B306" s="5" t="s">
        <v>44</v>
      </c>
      <c r="C306" s="5" t="s">
        <v>39</v>
      </c>
      <c r="D306" s="5" t="s">
        <v>37</v>
      </c>
      <c r="E306" s="5" t="s">
        <v>37</v>
      </c>
      <c r="F306" s="5" t="s">
        <v>40</v>
      </c>
      <c r="G306" s="5" t="s">
        <v>41</v>
      </c>
      <c r="H306" s="6"/>
      <c r="I306" s="5">
        <v>2.2999999999999998</v>
      </c>
      <c r="J306" s="5">
        <v>65.900000000000006</v>
      </c>
      <c r="K306" s="5">
        <v>7.9</v>
      </c>
      <c r="L306" s="5">
        <v>85.4</v>
      </c>
      <c r="M306" s="5">
        <v>56</v>
      </c>
    </row>
    <row r="307" spans="1:13" x14ac:dyDescent="0.3">
      <c r="A307" s="5">
        <v>804</v>
      </c>
      <c r="B307" s="5" t="s">
        <v>35</v>
      </c>
      <c r="C307" s="5" t="s">
        <v>39</v>
      </c>
      <c r="D307" s="5" t="s">
        <v>37</v>
      </c>
      <c r="E307" s="5" t="s">
        <v>40</v>
      </c>
      <c r="F307" s="5" t="s">
        <v>40</v>
      </c>
      <c r="G307" s="5" t="s">
        <v>43</v>
      </c>
      <c r="H307" s="6">
        <v>45317</v>
      </c>
      <c r="I307" s="5">
        <v>6.2</v>
      </c>
      <c r="J307" s="5">
        <v>71.900000000000006</v>
      </c>
      <c r="K307" s="5">
        <v>7.9</v>
      </c>
      <c r="L307" s="5">
        <v>86.2</v>
      </c>
      <c r="M307" s="5">
        <v>78.2</v>
      </c>
    </row>
    <row r="308" spans="1:13" x14ac:dyDescent="0.3">
      <c r="A308" s="5">
        <v>371</v>
      </c>
      <c r="B308" s="5" t="s">
        <v>44</v>
      </c>
      <c r="C308" s="5" t="s">
        <v>42</v>
      </c>
      <c r="D308" s="5" t="s">
        <v>37</v>
      </c>
      <c r="E308" s="5" t="s">
        <v>40</v>
      </c>
      <c r="F308" s="5" t="s">
        <v>37</v>
      </c>
      <c r="G308" s="5" t="s">
        <v>43</v>
      </c>
      <c r="H308" s="6">
        <v>45526</v>
      </c>
      <c r="I308" s="5">
        <v>6.2</v>
      </c>
      <c r="J308" s="5">
        <v>75.2</v>
      </c>
      <c r="K308" s="5">
        <v>6.6</v>
      </c>
      <c r="L308" s="5">
        <v>41.2</v>
      </c>
      <c r="M308" s="5">
        <v>74.099999999999994</v>
      </c>
    </row>
    <row r="309" spans="1:13" x14ac:dyDescent="0.3">
      <c r="A309" s="5">
        <v>375</v>
      </c>
      <c r="B309" s="5" t="s">
        <v>35</v>
      </c>
      <c r="C309" s="5" t="s">
        <v>39</v>
      </c>
      <c r="D309" s="5" t="s">
        <v>37</v>
      </c>
      <c r="E309" s="5" t="s">
        <v>40</v>
      </c>
      <c r="F309" s="5" t="s">
        <v>40</v>
      </c>
      <c r="G309" s="5" t="s">
        <v>43</v>
      </c>
      <c r="H309" s="6">
        <v>45595</v>
      </c>
      <c r="I309" s="5">
        <v>1.6</v>
      </c>
      <c r="J309" s="5">
        <v>82.8</v>
      </c>
      <c r="K309" s="5">
        <v>6.1</v>
      </c>
      <c r="L309" s="5">
        <v>92.3</v>
      </c>
      <c r="M309" s="5">
        <v>78.3</v>
      </c>
    </row>
    <row r="310" spans="1:13" x14ac:dyDescent="0.3">
      <c r="A310" s="5">
        <v>853</v>
      </c>
      <c r="B310" s="5" t="s">
        <v>35</v>
      </c>
      <c r="C310" s="5" t="s">
        <v>42</v>
      </c>
      <c r="D310" s="5" t="s">
        <v>37</v>
      </c>
      <c r="E310" s="5" t="s">
        <v>37</v>
      </c>
      <c r="F310" s="5" t="s">
        <v>40</v>
      </c>
      <c r="G310" s="5" t="s">
        <v>41</v>
      </c>
      <c r="H310" s="6">
        <v>45236</v>
      </c>
      <c r="I310" s="5">
        <v>4.9000000000000004</v>
      </c>
      <c r="J310" s="5">
        <v>78.099999999999994</v>
      </c>
      <c r="K310" s="5">
        <v>5.8</v>
      </c>
      <c r="L310" s="5">
        <v>48.5</v>
      </c>
      <c r="M310" s="5">
        <v>59.1</v>
      </c>
    </row>
    <row r="311" spans="1:13" x14ac:dyDescent="0.3">
      <c r="A311" s="5">
        <v>906</v>
      </c>
      <c r="B311" s="5" t="s">
        <v>44</v>
      </c>
      <c r="C311" s="5" t="s">
        <v>45</v>
      </c>
      <c r="D311" s="5" t="s">
        <v>40</v>
      </c>
      <c r="E311" s="5" t="s">
        <v>40</v>
      </c>
      <c r="F311" s="5" t="s">
        <v>37</v>
      </c>
      <c r="G311" s="5" t="s">
        <v>43</v>
      </c>
      <c r="H311" s="6">
        <v>45074</v>
      </c>
      <c r="I311" s="5">
        <v>3</v>
      </c>
      <c r="J311" s="5">
        <v>88.5</v>
      </c>
      <c r="K311" s="5">
        <v>7.4</v>
      </c>
      <c r="L311" s="5">
        <v>92.9</v>
      </c>
      <c r="M311" s="5">
        <v>79.3</v>
      </c>
    </row>
    <row r="312" spans="1:13" x14ac:dyDescent="0.3">
      <c r="A312" s="5">
        <v>207</v>
      </c>
      <c r="B312" s="5" t="s">
        <v>35</v>
      </c>
      <c r="C312" s="5" t="s">
        <v>45</v>
      </c>
      <c r="D312" s="5" t="s">
        <v>40</v>
      </c>
      <c r="E312" s="5" t="s">
        <v>37</v>
      </c>
      <c r="F312" s="5" t="s">
        <v>40</v>
      </c>
      <c r="G312" s="5" t="s">
        <v>41</v>
      </c>
      <c r="H312" s="6">
        <v>45649</v>
      </c>
      <c r="I312" s="5">
        <v>2.1</v>
      </c>
      <c r="J312" s="5">
        <v>74.2</v>
      </c>
      <c r="K312" s="5">
        <v>6.9</v>
      </c>
      <c r="L312" s="5">
        <v>73.3</v>
      </c>
      <c r="M312" s="5">
        <v>54.8</v>
      </c>
    </row>
    <row r="313" spans="1:13" x14ac:dyDescent="0.3">
      <c r="A313" s="5">
        <v>229</v>
      </c>
      <c r="B313" s="5" t="s">
        <v>44</v>
      </c>
      <c r="C313" s="5" t="s">
        <v>42</v>
      </c>
      <c r="D313" s="5" t="s">
        <v>37</v>
      </c>
      <c r="E313" s="5" t="s">
        <v>40</v>
      </c>
      <c r="F313" s="5" t="s">
        <v>37</v>
      </c>
      <c r="G313" s="5" t="s">
        <v>43</v>
      </c>
      <c r="H313" s="6"/>
      <c r="I313" s="5">
        <v>6.9</v>
      </c>
      <c r="J313" s="5">
        <v>81.599999999999994</v>
      </c>
      <c r="K313" s="5">
        <v>4.7</v>
      </c>
      <c r="L313" s="5">
        <v>65.2</v>
      </c>
      <c r="M313" s="5">
        <v>79.7</v>
      </c>
    </row>
    <row r="314" spans="1:13" x14ac:dyDescent="0.3">
      <c r="A314" s="5">
        <v>831</v>
      </c>
      <c r="B314" s="5" t="s">
        <v>44</v>
      </c>
      <c r="C314" s="5"/>
      <c r="D314" s="5" t="s">
        <v>37</v>
      </c>
      <c r="E314" s="5" t="s">
        <v>37</v>
      </c>
      <c r="F314" s="5" t="s">
        <v>40</v>
      </c>
      <c r="G314" s="5" t="s">
        <v>47</v>
      </c>
      <c r="H314" s="6">
        <v>45005</v>
      </c>
      <c r="I314" s="5">
        <v>0.6</v>
      </c>
      <c r="J314" s="5">
        <v>98.1</v>
      </c>
      <c r="K314" s="5">
        <v>9</v>
      </c>
      <c r="L314" s="5">
        <v>79.599999999999994</v>
      </c>
      <c r="M314" s="5">
        <v>82.9</v>
      </c>
    </row>
    <row r="315" spans="1:13" x14ac:dyDescent="0.3">
      <c r="A315" s="5">
        <v>793</v>
      </c>
      <c r="B315" s="5" t="s">
        <v>44</v>
      </c>
      <c r="C315" s="5" t="s">
        <v>45</v>
      </c>
      <c r="D315" s="5" t="s">
        <v>37</v>
      </c>
      <c r="E315" s="5" t="s">
        <v>37</v>
      </c>
      <c r="F315" s="5" t="s">
        <v>40</v>
      </c>
      <c r="G315" s="5" t="s">
        <v>47</v>
      </c>
      <c r="H315" s="6"/>
      <c r="I315" s="5">
        <v>5.5</v>
      </c>
      <c r="J315" s="5">
        <v>90.5</v>
      </c>
      <c r="K315" s="5">
        <v>7</v>
      </c>
      <c r="L315" s="5">
        <v>69.7</v>
      </c>
      <c r="M315" s="5">
        <v>89</v>
      </c>
    </row>
    <row r="316" spans="1:13" x14ac:dyDescent="0.3">
      <c r="A316" s="5">
        <v>655</v>
      </c>
      <c r="B316" s="5" t="s">
        <v>44</v>
      </c>
      <c r="C316" s="5" t="s">
        <v>39</v>
      </c>
      <c r="D316" s="5" t="s">
        <v>37</v>
      </c>
      <c r="E316" s="5" t="s">
        <v>37</v>
      </c>
      <c r="F316" s="5" t="s">
        <v>40</v>
      </c>
      <c r="G316" s="5" t="s">
        <v>46</v>
      </c>
      <c r="H316" s="6"/>
      <c r="I316" s="5">
        <v>0.7</v>
      </c>
      <c r="J316" s="5">
        <v>69.8</v>
      </c>
      <c r="K316" s="5">
        <v>8</v>
      </c>
      <c r="L316" s="5">
        <v>72.400000000000006</v>
      </c>
      <c r="M316" s="5">
        <v>65.5</v>
      </c>
    </row>
    <row r="317" spans="1:13" x14ac:dyDescent="0.3">
      <c r="A317" s="5">
        <v>805</v>
      </c>
      <c r="B317" s="5" t="s">
        <v>35</v>
      </c>
      <c r="C317" s="5" t="s">
        <v>42</v>
      </c>
      <c r="D317" s="5" t="s">
        <v>37</v>
      </c>
      <c r="E317" s="5" t="s">
        <v>37</v>
      </c>
      <c r="F317" s="5" t="s">
        <v>40</v>
      </c>
      <c r="G317" s="5" t="s">
        <v>43</v>
      </c>
      <c r="H317" s="6">
        <v>45109</v>
      </c>
      <c r="I317" s="5">
        <v>0.8</v>
      </c>
      <c r="J317" s="5">
        <v>80.7</v>
      </c>
      <c r="K317" s="5">
        <v>8.5</v>
      </c>
      <c r="L317" s="5">
        <v>84.6</v>
      </c>
      <c r="M317" s="5">
        <v>75.599999999999994</v>
      </c>
    </row>
    <row r="318" spans="1:13" x14ac:dyDescent="0.3">
      <c r="A318" s="5">
        <v>241</v>
      </c>
      <c r="B318" s="5" t="s">
        <v>35</v>
      </c>
      <c r="C318" s="5" t="s">
        <v>42</v>
      </c>
      <c r="D318" s="5" t="s">
        <v>37</v>
      </c>
      <c r="E318" s="5" t="s">
        <v>40</v>
      </c>
      <c r="F318" s="5" t="s">
        <v>40</v>
      </c>
      <c r="G318" s="5" t="s">
        <v>47</v>
      </c>
      <c r="H318" s="6">
        <v>45166</v>
      </c>
      <c r="I318" s="5">
        <v>6.2</v>
      </c>
      <c r="J318" s="5">
        <v>74.5</v>
      </c>
      <c r="K318" s="5">
        <v>8.5</v>
      </c>
      <c r="L318" s="5">
        <v>60.1</v>
      </c>
      <c r="M318" s="5">
        <v>85</v>
      </c>
    </row>
    <row r="319" spans="1:13" x14ac:dyDescent="0.3">
      <c r="A319" s="5">
        <v>157</v>
      </c>
      <c r="B319" s="5" t="s">
        <v>44</v>
      </c>
      <c r="C319" s="5"/>
      <c r="D319" s="5" t="s">
        <v>40</v>
      </c>
      <c r="E319" s="5" t="s">
        <v>40</v>
      </c>
      <c r="F319" s="5" t="s">
        <v>40</v>
      </c>
      <c r="G319" s="5" t="s">
        <v>47</v>
      </c>
      <c r="H319" s="6">
        <v>45541</v>
      </c>
      <c r="I319" s="5">
        <v>6.1</v>
      </c>
      <c r="J319" s="5">
        <v>89.8</v>
      </c>
      <c r="K319" s="5">
        <v>8.1999999999999993</v>
      </c>
      <c r="L319" s="5">
        <v>42.6</v>
      </c>
      <c r="M319" s="5">
        <v>83.4</v>
      </c>
    </row>
    <row r="320" spans="1:13" x14ac:dyDescent="0.3">
      <c r="A320" s="5">
        <v>584</v>
      </c>
      <c r="B320" s="5" t="s">
        <v>35</v>
      </c>
      <c r="C320" s="5" t="s">
        <v>42</v>
      </c>
      <c r="D320" s="5" t="s">
        <v>37</v>
      </c>
      <c r="E320" s="5" t="s">
        <v>40</v>
      </c>
      <c r="F320" s="5" t="s">
        <v>37</v>
      </c>
      <c r="G320" s="5" t="s">
        <v>46</v>
      </c>
      <c r="H320" s="6">
        <v>45573</v>
      </c>
      <c r="I320" s="5">
        <v>1.8</v>
      </c>
      <c r="J320" s="5">
        <v>87.8</v>
      </c>
      <c r="K320" s="5">
        <v>6.9</v>
      </c>
      <c r="L320" s="5">
        <v>38</v>
      </c>
      <c r="M320" s="5">
        <v>63.6</v>
      </c>
    </row>
    <row r="321" spans="1:13" x14ac:dyDescent="0.3">
      <c r="A321" s="5">
        <v>137</v>
      </c>
      <c r="B321" s="5" t="s">
        <v>35</v>
      </c>
      <c r="C321" s="5" t="s">
        <v>42</v>
      </c>
      <c r="D321" s="5" t="s">
        <v>37</v>
      </c>
      <c r="E321" s="5" t="s">
        <v>37</v>
      </c>
      <c r="F321" s="5" t="s">
        <v>40</v>
      </c>
      <c r="G321" s="5" t="s">
        <v>46</v>
      </c>
      <c r="H321" s="6"/>
      <c r="I321" s="5">
        <v>6.6</v>
      </c>
      <c r="J321" s="5">
        <v>67.099999999999994</v>
      </c>
      <c r="K321" s="5">
        <v>5.0999999999999996</v>
      </c>
      <c r="L321" s="5">
        <v>47.8</v>
      </c>
      <c r="M321" s="5">
        <v>67.099999999999994</v>
      </c>
    </row>
    <row r="322" spans="1:13" x14ac:dyDescent="0.3">
      <c r="A322" s="5">
        <v>432</v>
      </c>
      <c r="B322" s="5" t="s">
        <v>44</v>
      </c>
      <c r="C322" s="5" t="s">
        <v>39</v>
      </c>
      <c r="D322" s="5" t="s">
        <v>37</v>
      </c>
      <c r="E322" s="5" t="s">
        <v>37</v>
      </c>
      <c r="F322" s="5" t="s">
        <v>40</v>
      </c>
      <c r="G322" s="5" t="s">
        <v>43</v>
      </c>
      <c r="H322" s="6">
        <v>45303</v>
      </c>
      <c r="I322" s="5">
        <v>6.5</v>
      </c>
      <c r="J322" s="5">
        <v>73.900000000000006</v>
      </c>
      <c r="K322" s="5">
        <v>4.7</v>
      </c>
      <c r="L322" s="5">
        <v>90.5</v>
      </c>
      <c r="M322" s="5">
        <v>73</v>
      </c>
    </row>
    <row r="323" spans="1:13" x14ac:dyDescent="0.3">
      <c r="A323" s="5">
        <v>779</v>
      </c>
      <c r="B323" s="5" t="s">
        <v>44</v>
      </c>
      <c r="C323" s="5" t="s">
        <v>42</v>
      </c>
      <c r="D323" s="5" t="s">
        <v>37</v>
      </c>
      <c r="E323" s="5" t="s">
        <v>40</v>
      </c>
      <c r="F323" s="5" t="s">
        <v>40</v>
      </c>
      <c r="G323" s="5" t="s">
        <v>38</v>
      </c>
      <c r="H323" s="6">
        <v>45000</v>
      </c>
      <c r="I323" s="5">
        <v>6.9</v>
      </c>
      <c r="J323" s="5">
        <v>99.3</v>
      </c>
      <c r="K323" s="5">
        <v>5.7</v>
      </c>
      <c r="L323" s="5">
        <v>71</v>
      </c>
      <c r="M323" s="5">
        <v>92</v>
      </c>
    </row>
    <row r="324" spans="1:13" x14ac:dyDescent="0.3">
      <c r="A324" s="5">
        <v>488</v>
      </c>
      <c r="B324" s="5" t="s">
        <v>44</v>
      </c>
      <c r="C324" s="5" t="s">
        <v>36</v>
      </c>
      <c r="D324" s="5" t="s">
        <v>37</v>
      </c>
      <c r="E324" s="5" t="s">
        <v>37</v>
      </c>
      <c r="F324" s="5" t="s">
        <v>40</v>
      </c>
      <c r="G324" s="5" t="s">
        <v>47</v>
      </c>
      <c r="H324" s="6">
        <v>45041</v>
      </c>
      <c r="I324" s="5">
        <v>2.8</v>
      </c>
      <c r="J324" s="5">
        <v>80.400000000000006</v>
      </c>
      <c r="K324" s="5">
        <v>4.9000000000000004</v>
      </c>
      <c r="L324" s="5">
        <v>82.9</v>
      </c>
      <c r="M324" s="5">
        <v>81.599999999999994</v>
      </c>
    </row>
    <row r="325" spans="1:13" x14ac:dyDescent="0.3">
      <c r="A325" s="5">
        <v>419</v>
      </c>
      <c r="B325" s="5" t="s">
        <v>35</v>
      </c>
      <c r="C325" s="5" t="s">
        <v>39</v>
      </c>
      <c r="D325" s="5"/>
      <c r="E325" s="5" t="s">
        <v>37</v>
      </c>
      <c r="F325" s="5" t="s">
        <v>40</v>
      </c>
      <c r="G325" s="5" t="s">
        <v>47</v>
      </c>
      <c r="H325" s="6">
        <v>45285</v>
      </c>
      <c r="I325" s="5">
        <v>6.7</v>
      </c>
      <c r="J325" s="5">
        <v>88.8</v>
      </c>
      <c r="K325" s="5">
        <v>8.1</v>
      </c>
      <c r="L325" s="5">
        <v>39.700000000000003</v>
      </c>
      <c r="M325" s="5">
        <v>81.900000000000006</v>
      </c>
    </row>
    <row r="326" spans="1:13" x14ac:dyDescent="0.3">
      <c r="A326" s="5">
        <v>273</v>
      </c>
      <c r="B326" s="5" t="s">
        <v>35</v>
      </c>
      <c r="C326" s="5" t="s">
        <v>36</v>
      </c>
      <c r="D326" s="5" t="s">
        <v>37</v>
      </c>
      <c r="E326" s="5" t="s">
        <v>37</v>
      </c>
      <c r="F326" s="5" t="s">
        <v>37</v>
      </c>
      <c r="G326" s="5" t="s">
        <v>43</v>
      </c>
      <c r="H326" s="6">
        <v>45369</v>
      </c>
      <c r="I326" s="5">
        <v>4.7</v>
      </c>
      <c r="J326" s="5">
        <v>92.7</v>
      </c>
      <c r="K326" s="5">
        <v>7.1</v>
      </c>
      <c r="L326" s="5">
        <v>51.4</v>
      </c>
      <c r="M326" s="5">
        <v>74.400000000000006</v>
      </c>
    </row>
    <row r="327" spans="1:13" x14ac:dyDescent="0.3">
      <c r="A327" s="5">
        <v>590</v>
      </c>
      <c r="B327" s="5" t="s">
        <v>44</v>
      </c>
      <c r="C327" s="5" t="s">
        <v>36</v>
      </c>
      <c r="D327" s="5" t="s">
        <v>40</v>
      </c>
      <c r="E327" s="5" t="s">
        <v>37</v>
      </c>
      <c r="F327" s="5" t="s">
        <v>37</v>
      </c>
      <c r="G327" s="5" t="s">
        <v>41</v>
      </c>
      <c r="H327" s="6">
        <v>45224</v>
      </c>
      <c r="I327" s="5">
        <v>2.7</v>
      </c>
      <c r="J327" s="5">
        <v>78.900000000000006</v>
      </c>
      <c r="K327" s="5">
        <v>4.2</v>
      </c>
      <c r="L327" s="5">
        <v>40.200000000000003</v>
      </c>
      <c r="M327" s="5">
        <v>54.8</v>
      </c>
    </row>
    <row r="328" spans="1:13" x14ac:dyDescent="0.3">
      <c r="A328" s="5">
        <v>911</v>
      </c>
      <c r="B328" s="5" t="s">
        <v>35</v>
      </c>
      <c r="C328" s="5" t="s">
        <v>36</v>
      </c>
      <c r="D328" s="5" t="s">
        <v>37</v>
      </c>
      <c r="E328" s="5" t="s">
        <v>40</v>
      </c>
      <c r="F328" s="5" t="s">
        <v>37</v>
      </c>
      <c r="G328" s="5" t="s">
        <v>38</v>
      </c>
      <c r="H328" s="6">
        <v>45370</v>
      </c>
      <c r="I328" s="5">
        <v>6.7</v>
      </c>
      <c r="J328" s="5">
        <v>80</v>
      </c>
      <c r="K328" s="5">
        <v>8.9</v>
      </c>
      <c r="L328" s="5">
        <v>66.75</v>
      </c>
      <c r="M328" s="5">
        <v>90.5</v>
      </c>
    </row>
    <row r="329" spans="1:13" x14ac:dyDescent="0.3">
      <c r="A329" s="5">
        <v>147</v>
      </c>
      <c r="B329" s="5" t="s">
        <v>44</v>
      </c>
      <c r="C329" s="5"/>
      <c r="D329" s="5" t="s">
        <v>37</v>
      </c>
      <c r="E329" s="5" t="s">
        <v>37</v>
      </c>
      <c r="F329" s="5" t="s">
        <v>40</v>
      </c>
      <c r="G329" s="5" t="s">
        <v>43</v>
      </c>
      <c r="H329" s="6"/>
      <c r="I329" s="5">
        <v>5.3</v>
      </c>
      <c r="J329" s="5">
        <v>94.8</v>
      </c>
      <c r="K329" s="5">
        <v>6.5</v>
      </c>
      <c r="L329" s="5">
        <v>54.8</v>
      </c>
      <c r="M329" s="5">
        <v>79.599999999999994</v>
      </c>
    </row>
    <row r="330" spans="1:13" x14ac:dyDescent="0.3">
      <c r="A330" s="5">
        <v>871</v>
      </c>
      <c r="B330" s="5" t="s">
        <v>44</v>
      </c>
      <c r="C330" s="5" t="s">
        <v>45</v>
      </c>
      <c r="D330" s="5" t="s">
        <v>37</v>
      </c>
      <c r="E330" s="5" t="s">
        <v>40</v>
      </c>
      <c r="F330" s="5" t="s">
        <v>37</v>
      </c>
      <c r="G330" s="5" t="s">
        <v>38</v>
      </c>
      <c r="H330" s="6">
        <v>45279</v>
      </c>
      <c r="I330" s="5">
        <v>5.0999999999999996</v>
      </c>
      <c r="J330" s="5">
        <v>84.1</v>
      </c>
      <c r="K330" s="5">
        <v>8.1999999999999993</v>
      </c>
      <c r="L330" s="5">
        <v>82.5</v>
      </c>
      <c r="M330" s="5">
        <v>94.8</v>
      </c>
    </row>
    <row r="331" spans="1:13" x14ac:dyDescent="0.3">
      <c r="A331" s="5">
        <v>883</v>
      </c>
      <c r="B331" s="5" t="s">
        <v>44</v>
      </c>
      <c r="C331" s="5" t="s">
        <v>45</v>
      </c>
      <c r="D331" s="5"/>
      <c r="E331" s="5" t="s">
        <v>37</v>
      </c>
      <c r="F331" s="5" t="s">
        <v>40</v>
      </c>
      <c r="G331" s="5" t="s">
        <v>43</v>
      </c>
      <c r="H331" s="6">
        <v>45116</v>
      </c>
      <c r="I331" s="5">
        <v>2.2000000000000002</v>
      </c>
      <c r="J331" s="5">
        <v>83.5</v>
      </c>
      <c r="K331" s="5">
        <v>8.6999999999999993</v>
      </c>
      <c r="L331" s="5">
        <v>67</v>
      </c>
      <c r="M331" s="5">
        <v>70.2</v>
      </c>
    </row>
    <row r="332" spans="1:13" x14ac:dyDescent="0.3">
      <c r="A332" s="5">
        <v>250</v>
      </c>
      <c r="B332" s="5" t="s">
        <v>35</v>
      </c>
      <c r="C332" s="5" t="s">
        <v>45</v>
      </c>
      <c r="D332" s="5" t="s">
        <v>37</v>
      </c>
      <c r="E332" s="5" t="s">
        <v>37</v>
      </c>
      <c r="F332" s="5" t="s">
        <v>40</v>
      </c>
      <c r="G332" s="5" t="s">
        <v>46</v>
      </c>
      <c r="H332" s="6">
        <v>45179</v>
      </c>
      <c r="I332" s="5">
        <v>1.8</v>
      </c>
      <c r="J332" s="5">
        <v>74.2</v>
      </c>
      <c r="K332" s="5">
        <v>7.1</v>
      </c>
      <c r="L332" s="5">
        <v>81.3</v>
      </c>
      <c r="M332" s="5">
        <v>69.8</v>
      </c>
    </row>
    <row r="333" spans="1:13" x14ac:dyDescent="0.3">
      <c r="A333" s="5">
        <v>103</v>
      </c>
      <c r="B333" s="5" t="s">
        <v>35</v>
      </c>
      <c r="C333" s="5" t="s">
        <v>39</v>
      </c>
      <c r="D333" s="5" t="s">
        <v>37</v>
      </c>
      <c r="E333" s="5" t="s">
        <v>37</v>
      </c>
      <c r="F333" s="5" t="s">
        <v>40</v>
      </c>
      <c r="G333" s="5" t="s">
        <v>43</v>
      </c>
      <c r="H333" s="6">
        <v>45044</v>
      </c>
      <c r="I333" s="5">
        <v>4.5</v>
      </c>
      <c r="J333" s="5">
        <v>84</v>
      </c>
      <c r="K333" s="5">
        <v>4.8</v>
      </c>
      <c r="L333" s="5">
        <v>70.099999999999994</v>
      </c>
      <c r="M333" s="5">
        <v>70.2</v>
      </c>
    </row>
    <row r="334" spans="1:13" x14ac:dyDescent="0.3">
      <c r="A334" s="5">
        <v>405</v>
      </c>
      <c r="B334" s="5" t="s">
        <v>44</v>
      </c>
      <c r="C334" s="5"/>
      <c r="D334" s="5" t="s">
        <v>37</v>
      </c>
      <c r="E334" s="5" t="s">
        <v>37</v>
      </c>
      <c r="F334" s="5" t="s">
        <v>37</v>
      </c>
      <c r="G334" s="5" t="s">
        <v>43</v>
      </c>
      <c r="H334" s="6">
        <v>45554</v>
      </c>
      <c r="I334" s="5">
        <v>5.4</v>
      </c>
      <c r="J334" s="5">
        <v>77.3</v>
      </c>
      <c r="K334" s="5">
        <v>5.9</v>
      </c>
      <c r="L334" s="5">
        <v>47.6</v>
      </c>
      <c r="M334" s="5">
        <v>75</v>
      </c>
    </row>
    <row r="335" spans="1:13" x14ac:dyDescent="0.3">
      <c r="A335" s="5">
        <v>738</v>
      </c>
      <c r="B335" s="5" t="s">
        <v>35</v>
      </c>
      <c r="C335" s="5" t="s">
        <v>36</v>
      </c>
      <c r="D335" s="5" t="s">
        <v>37</v>
      </c>
      <c r="E335" s="5" t="s">
        <v>40</v>
      </c>
      <c r="F335" s="5" t="s">
        <v>40</v>
      </c>
      <c r="G335" s="5" t="s">
        <v>38</v>
      </c>
      <c r="H335" s="6">
        <v>45202</v>
      </c>
      <c r="I335" s="5">
        <v>6.9</v>
      </c>
      <c r="J335" s="5">
        <v>88.4</v>
      </c>
      <c r="K335" s="5">
        <v>6.6</v>
      </c>
      <c r="L335" s="5">
        <v>92.5</v>
      </c>
      <c r="M335" s="5">
        <v>100</v>
      </c>
    </row>
    <row r="336" spans="1:13" x14ac:dyDescent="0.3">
      <c r="A336" s="5">
        <v>643</v>
      </c>
      <c r="B336" s="5" t="s">
        <v>44</v>
      </c>
      <c r="C336" s="5"/>
      <c r="D336" s="5" t="s">
        <v>37</v>
      </c>
      <c r="E336" s="5" t="s">
        <v>40</v>
      </c>
      <c r="F336" s="5" t="s">
        <v>40</v>
      </c>
      <c r="G336" s="5" t="s">
        <v>46</v>
      </c>
      <c r="H336" s="6">
        <v>45589</v>
      </c>
      <c r="I336" s="5">
        <v>1.2</v>
      </c>
      <c r="J336" s="5">
        <v>92</v>
      </c>
      <c r="K336" s="5">
        <v>7.1</v>
      </c>
      <c r="L336" s="5">
        <v>58.8</v>
      </c>
      <c r="M336" s="5">
        <v>64.900000000000006</v>
      </c>
    </row>
    <row r="337" spans="1:13" x14ac:dyDescent="0.3">
      <c r="A337" s="5">
        <v>7</v>
      </c>
      <c r="B337" s="5" t="s">
        <v>44</v>
      </c>
      <c r="C337" s="5" t="s">
        <v>36</v>
      </c>
      <c r="D337" s="5" t="s">
        <v>37</v>
      </c>
      <c r="E337" s="5" t="s">
        <v>37</v>
      </c>
      <c r="F337" s="5" t="s">
        <v>40</v>
      </c>
      <c r="G337" s="5" t="s">
        <v>43</v>
      </c>
      <c r="H337" s="6">
        <v>45010</v>
      </c>
      <c r="I337" s="5">
        <v>5.6</v>
      </c>
      <c r="J337" s="5">
        <v>81.099999999999994</v>
      </c>
      <c r="K337" s="5">
        <v>6.8</v>
      </c>
      <c r="L337" s="5">
        <v>63.3</v>
      </c>
      <c r="M337" s="5">
        <v>71.099999999999994</v>
      </c>
    </row>
    <row r="338" spans="1:13" x14ac:dyDescent="0.3">
      <c r="A338" s="5">
        <v>343</v>
      </c>
      <c r="B338" s="5" t="s">
        <v>44</v>
      </c>
      <c r="C338" s="5" t="s">
        <v>36</v>
      </c>
      <c r="D338" s="5" t="s">
        <v>37</v>
      </c>
      <c r="E338" s="5" t="s">
        <v>37</v>
      </c>
      <c r="F338" s="5" t="s">
        <v>40</v>
      </c>
      <c r="G338" s="5" t="s">
        <v>43</v>
      </c>
      <c r="H338" s="6">
        <v>45258</v>
      </c>
      <c r="I338" s="5">
        <v>5.6</v>
      </c>
      <c r="J338" s="5">
        <v>83.5</v>
      </c>
      <c r="K338" s="5">
        <v>5.6</v>
      </c>
      <c r="L338" s="5">
        <v>90.1</v>
      </c>
      <c r="M338" s="5">
        <v>78.599999999999994</v>
      </c>
    </row>
    <row r="339" spans="1:13" x14ac:dyDescent="0.3">
      <c r="A339" s="5">
        <v>747</v>
      </c>
      <c r="B339" s="5" t="s">
        <v>35</v>
      </c>
      <c r="C339" s="5" t="s">
        <v>42</v>
      </c>
      <c r="D339" s="5" t="s">
        <v>40</v>
      </c>
      <c r="E339" s="5" t="s">
        <v>37</v>
      </c>
      <c r="F339" s="5" t="s">
        <v>40</v>
      </c>
      <c r="G339" s="5" t="s">
        <v>38</v>
      </c>
      <c r="H339" s="6">
        <v>44937</v>
      </c>
      <c r="I339" s="5">
        <v>6.1</v>
      </c>
      <c r="J339" s="5">
        <v>92.9</v>
      </c>
      <c r="K339" s="5">
        <v>4.5</v>
      </c>
      <c r="L339" s="5">
        <v>82.6</v>
      </c>
      <c r="M339" s="5">
        <v>96.1</v>
      </c>
    </row>
    <row r="340" spans="1:13" x14ac:dyDescent="0.3">
      <c r="A340" s="5">
        <v>905</v>
      </c>
      <c r="B340" s="5" t="s">
        <v>44</v>
      </c>
      <c r="C340" s="5" t="s">
        <v>36</v>
      </c>
      <c r="D340" s="5" t="s">
        <v>37</v>
      </c>
      <c r="E340" s="5" t="s">
        <v>37</v>
      </c>
      <c r="F340" s="5" t="s">
        <v>37</v>
      </c>
      <c r="G340" s="5" t="s">
        <v>47</v>
      </c>
      <c r="H340" s="6">
        <v>45178</v>
      </c>
      <c r="I340" s="5">
        <v>6.8</v>
      </c>
      <c r="J340" s="5">
        <v>95.5</v>
      </c>
      <c r="K340" s="5">
        <v>5.0999999999999996</v>
      </c>
      <c r="L340" s="5">
        <v>68.2</v>
      </c>
      <c r="M340" s="5">
        <v>83.6</v>
      </c>
    </row>
    <row r="341" spans="1:13" x14ac:dyDescent="0.3">
      <c r="A341" s="5">
        <v>294</v>
      </c>
      <c r="B341" s="5" t="s">
        <v>35</v>
      </c>
      <c r="C341" s="5" t="s">
        <v>36</v>
      </c>
      <c r="D341" s="5" t="s">
        <v>37</v>
      </c>
      <c r="E341" s="5" t="s">
        <v>40</v>
      </c>
      <c r="F341" s="5" t="s">
        <v>40</v>
      </c>
      <c r="G341" s="5" t="s">
        <v>38</v>
      </c>
      <c r="H341" s="6">
        <v>45570</v>
      </c>
      <c r="I341" s="5">
        <v>5.4</v>
      </c>
      <c r="J341" s="5">
        <v>85.1</v>
      </c>
      <c r="K341" s="5">
        <v>8.3000000000000007</v>
      </c>
      <c r="L341" s="5">
        <v>82.9</v>
      </c>
      <c r="M341" s="5">
        <v>94.9</v>
      </c>
    </row>
    <row r="342" spans="1:13" x14ac:dyDescent="0.3">
      <c r="A342" s="5">
        <v>126</v>
      </c>
      <c r="B342" s="5" t="s">
        <v>35</v>
      </c>
      <c r="C342" s="5" t="s">
        <v>36</v>
      </c>
      <c r="D342" s="5"/>
      <c r="E342" s="5" t="s">
        <v>40</v>
      </c>
      <c r="F342" s="5" t="s">
        <v>40</v>
      </c>
      <c r="G342" s="5" t="s">
        <v>38</v>
      </c>
      <c r="H342" s="6">
        <v>45458</v>
      </c>
      <c r="I342" s="5">
        <v>6.9</v>
      </c>
      <c r="J342" s="5">
        <v>100</v>
      </c>
      <c r="K342" s="5">
        <v>6.6</v>
      </c>
      <c r="L342" s="5">
        <v>54.1</v>
      </c>
      <c r="M342" s="5">
        <v>95</v>
      </c>
    </row>
    <row r="343" spans="1:13" x14ac:dyDescent="0.3">
      <c r="A343" s="5">
        <v>55</v>
      </c>
      <c r="B343" s="5" t="s">
        <v>44</v>
      </c>
      <c r="C343" s="5" t="s">
        <v>42</v>
      </c>
      <c r="D343" s="5" t="s">
        <v>37</v>
      </c>
      <c r="E343" s="5" t="s">
        <v>40</v>
      </c>
      <c r="F343" s="5" t="s">
        <v>40</v>
      </c>
      <c r="G343" s="5" t="s">
        <v>43</v>
      </c>
      <c r="H343" s="6"/>
      <c r="I343" s="5">
        <v>4.2</v>
      </c>
      <c r="J343" s="5">
        <v>89.6</v>
      </c>
      <c r="K343" s="5">
        <v>7.2</v>
      </c>
      <c r="L343" s="5">
        <v>67</v>
      </c>
      <c r="M343" s="5">
        <v>72.599999999999994</v>
      </c>
    </row>
    <row r="344" spans="1:13" x14ac:dyDescent="0.3">
      <c r="A344" s="5">
        <v>47</v>
      </c>
      <c r="B344" s="5" t="s">
        <v>44</v>
      </c>
      <c r="C344" s="5"/>
      <c r="D344" s="5" t="s">
        <v>37</v>
      </c>
      <c r="E344" s="5" t="s">
        <v>40</v>
      </c>
      <c r="F344" s="5" t="s">
        <v>37</v>
      </c>
      <c r="G344" s="5" t="s">
        <v>46</v>
      </c>
      <c r="H344" s="6">
        <v>44953</v>
      </c>
      <c r="I344" s="5">
        <v>5.5</v>
      </c>
      <c r="J344" s="5">
        <v>71.900000000000006</v>
      </c>
      <c r="K344" s="5">
        <v>8.6</v>
      </c>
      <c r="L344" s="5">
        <v>38.1</v>
      </c>
      <c r="M344" s="5">
        <v>61.3</v>
      </c>
    </row>
    <row r="345" spans="1:13" x14ac:dyDescent="0.3">
      <c r="A345" s="5">
        <v>227</v>
      </c>
      <c r="B345" s="5" t="s">
        <v>44</v>
      </c>
      <c r="C345" s="5"/>
      <c r="D345" s="5" t="s">
        <v>37</v>
      </c>
      <c r="E345" s="5" t="s">
        <v>40</v>
      </c>
      <c r="F345" s="5" t="s">
        <v>40</v>
      </c>
      <c r="G345" s="5" t="s">
        <v>47</v>
      </c>
      <c r="H345" s="6">
        <v>45388</v>
      </c>
      <c r="I345" s="5">
        <v>4.4000000000000004</v>
      </c>
      <c r="J345" s="5">
        <v>91.7</v>
      </c>
      <c r="K345" s="5">
        <v>5.4</v>
      </c>
      <c r="L345" s="5">
        <v>93.9</v>
      </c>
      <c r="M345" s="5">
        <v>83.7</v>
      </c>
    </row>
    <row r="346" spans="1:13" x14ac:dyDescent="0.3">
      <c r="A346" s="5">
        <v>299</v>
      </c>
      <c r="B346" s="5" t="s">
        <v>35</v>
      </c>
      <c r="C346" s="5" t="s">
        <v>36</v>
      </c>
      <c r="D346" s="5" t="s">
        <v>37</v>
      </c>
      <c r="E346" s="5" t="s">
        <v>37</v>
      </c>
      <c r="F346" s="5" t="s">
        <v>37</v>
      </c>
      <c r="G346" s="5" t="s">
        <v>43</v>
      </c>
      <c r="H346" s="6">
        <v>45619</v>
      </c>
      <c r="I346" s="5">
        <v>2.1</v>
      </c>
      <c r="J346" s="5">
        <v>88.5</v>
      </c>
      <c r="K346" s="5">
        <v>5.3</v>
      </c>
      <c r="L346" s="5">
        <v>87.5</v>
      </c>
      <c r="M346" s="5">
        <v>79.599999999999994</v>
      </c>
    </row>
    <row r="347" spans="1:13" x14ac:dyDescent="0.3">
      <c r="A347" s="5">
        <v>40</v>
      </c>
      <c r="B347" s="5" t="s">
        <v>44</v>
      </c>
      <c r="C347" s="5" t="s">
        <v>42</v>
      </c>
      <c r="D347" s="5" t="s">
        <v>37</v>
      </c>
      <c r="E347" s="5" t="s">
        <v>40</v>
      </c>
      <c r="F347" s="5" t="s">
        <v>40</v>
      </c>
      <c r="G347" s="5" t="s">
        <v>47</v>
      </c>
      <c r="H347" s="6">
        <v>45286</v>
      </c>
      <c r="I347" s="5">
        <v>3.5</v>
      </c>
      <c r="J347" s="5">
        <v>83.3</v>
      </c>
      <c r="K347" s="5">
        <v>7.8</v>
      </c>
      <c r="L347" s="5">
        <v>90.9</v>
      </c>
      <c r="M347" s="5">
        <v>87.5</v>
      </c>
    </row>
    <row r="348" spans="1:13" x14ac:dyDescent="0.3">
      <c r="A348" s="5">
        <v>382</v>
      </c>
      <c r="B348" s="5" t="s">
        <v>44</v>
      </c>
      <c r="C348" s="5" t="s">
        <v>42</v>
      </c>
      <c r="D348" s="5" t="s">
        <v>37</v>
      </c>
      <c r="E348" s="5" t="s">
        <v>37</v>
      </c>
      <c r="F348" s="5" t="s">
        <v>37</v>
      </c>
      <c r="G348" s="5" t="s">
        <v>41</v>
      </c>
      <c r="H348" s="6"/>
      <c r="I348" s="5">
        <v>2.6</v>
      </c>
      <c r="J348" s="5">
        <v>76.3</v>
      </c>
      <c r="K348" s="5">
        <v>4</v>
      </c>
      <c r="L348" s="5">
        <v>37.4</v>
      </c>
      <c r="M348" s="5">
        <v>44.2</v>
      </c>
    </row>
    <row r="349" spans="1:13" x14ac:dyDescent="0.3">
      <c r="A349" s="5">
        <v>177</v>
      </c>
      <c r="B349" s="5" t="s">
        <v>35</v>
      </c>
      <c r="C349" s="5" t="s">
        <v>42</v>
      </c>
      <c r="D349" s="5" t="s">
        <v>37</v>
      </c>
      <c r="E349" s="5" t="s">
        <v>40</v>
      </c>
      <c r="F349" s="5" t="s">
        <v>40</v>
      </c>
      <c r="G349" s="5" t="s">
        <v>46</v>
      </c>
      <c r="H349" s="6">
        <v>45619</v>
      </c>
      <c r="I349" s="5">
        <v>2.4</v>
      </c>
      <c r="J349" s="5">
        <v>70.900000000000006</v>
      </c>
      <c r="K349" s="5">
        <v>5</v>
      </c>
      <c r="L349" s="5">
        <v>85</v>
      </c>
      <c r="M349" s="5">
        <v>64.5</v>
      </c>
    </row>
    <row r="350" spans="1:13" x14ac:dyDescent="0.3">
      <c r="A350" s="5">
        <v>741</v>
      </c>
      <c r="B350" s="5" t="s">
        <v>35</v>
      </c>
      <c r="C350" s="5" t="s">
        <v>42</v>
      </c>
      <c r="D350" s="5" t="s">
        <v>40</v>
      </c>
      <c r="E350" s="5" t="s">
        <v>37</v>
      </c>
      <c r="F350" s="5" t="s">
        <v>40</v>
      </c>
      <c r="G350" s="5" t="s">
        <v>41</v>
      </c>
      <c r="H350" s="6">
        <v>45360</v>
      </c>
      <c r="I350" s="5">
        <v>0.7</v>
      </c>
      <c r="J350" s="5">
        <v>81</v>
      </c>
      <c r="K350" s="5">
        <v>7.3</v>
      </c>
      <c r="L350" s="5">
        <v>48.4</v>
      </c>
      <c r="M350" s="5">
        <v>49.6</v>
      </c>
    </row>
    <row r="351" spans="1:13" x14ac:dyDescent="0.3">
      <c r="A351" s="5">
        <v>259</v>
      </c>
      <c r="B351" s="5" t="s">
        <v>44</v>
      </c>
      <c r="C351" s="5" t="s">
        <v>39</v>
      </c>
      <c r="D351" s="5" t="s">
        <v>37</v>
      </c>
      <c r="E351" s="5" t="s">
        <v>40</v>
      </c>
      <c r="F351" s="5" t="s">
        <v>37</v>
      </c>
      <c r="G351" s="5" t="s">
        <v>43</v>
      </c>
      <c r="H351" s="6">
        <v>45350</v>
      </c>
      <c r="I351" s="5">
        <v>1.9</v>
      </c>
      <c r="J351" s="5">
        <v>71.900000000000006</v>
      </c>
      <c r="K351" s="5">
        <v>6.9</v>
      </c>
      <c r="L351" s="5">
        <v>84.6</v>
      </c>
      <c r="M351" s="5">
        <v>71.599999999999994</v>
      </c>
    </row>
    <row r="352" spans="1:13" x14ac:dyDescent="0.3">
      <c r="A352" s="5">
        <v>579</v>
      </c>
      <c r="B352" s="5" t="s">
        <v>35</v>
      </c>
      <c r="C352" s="5" t="s">
        <v>39</v>
      </c>
      <c r="D352" s="5"/>
      <c r="E352" s="5" t="s">
        <v>37</v>
      </c>
      <c r="F352" s="5" t="s">
        <v>37</v>
      </c>
      <c r="G352" s="5" t="s">
        <v>41</v>
      </c>
      <c r="H352" s="6">
        <v>45140</v>
      </c>
      <c r="I352" s="5">
        <v>3.1</v>
      </c>
      <c r="J352" s="5">
        <v>80.7</v>
      </c>
      <c r="K352" s="5">
        <v>5.9</v>
      </c>
      <c r="L352" s="5">
        <v>41.1</v>
      </c>
      <c r="M352" s="5">
        <v>73</v>
      </c>
    </row>
    <row r="353" spans="1:13" x14ac:dyDescent="0.3">
      <c r="A353" s="5">
        <v>217</v>
      </c>
      <c r="B353" s="5" t="s">
        <v>35</v>
      </c>
      <c r="C353" s="5" t="s">
        <v>39</v>
      </c>
      <c r="D353" s="5" t="s">
        <v>37</v>
      </c>
      <c r="E353" s="5" t="s">
        <v>40</v>
      </c>
      <c r="F353" s="5" t="s">
        <v>40</v>
      </c>
      <c r="G353" s="5" t="s">
        <v>43</v>
      </c>
      <c r="H353" s="6">
        <v>45484</v>
      </c>
      <c r="I353" s="5">
        <v>0.6</v>
      </c>
      <c r="J353" s="5">
        <v>97.4</v>
      </c>
      <c r="K353" s="5">
        <v>8.8000000000000007</v>
      </c>
      <c r="L353" s="5">
        <v>89.4</v>
      </c>
      <c r="M353" s="5">
        <v>71.3</v>
      </c>
    </row>
    <row r="354" spans="1:13" x14ac:dyDescent="0.3">
      <c r="A354" s="5">
        <v>175</v>
      </c>
      <c r="B354" s="5" t="s">
        <v>44</v>
      </c>
      <c r="C354" s="5" t="s">
        <v>42</v>
      </c>
      <c r="D354" s="5" t="s">
        <v>37</v>
      </c>
      <c r="E354" s="5" t="s">
        <v>40</v>
      </c>
      <c r="F354" s="5" t="s">
        <v>37</v>
      </c>
      <c r="G354" s="5" t="s">
        <v>46</v>
      </c>
      <c r="H354" s="6">
        <v>45006</v>
      </c>
      <c r="I354" s="5">
        <v>3.1</v>
      </c>
      <c r="J354" s="5">
        <v>84.9</v>
      </c>
      <c r="K354" s="5">
        <v>6.8</v>
      </c>
      <c r="L354" s="5">
        <v>82.6</v>
      </c>
      <c r="M354" s="5">
        <v>67.599999999999994</v>
      </c>
    </row>
    <row r="355" spans="1:13" x14ac:dyDescent="0.3">
      <c r="A355" s="5">
        <v>861</v>
      </c>
      <c r="B355" s="5" t="s">
        <v>44</v>
      </c>
      <c r="C355" s="5" t="s">
        <v>45</v>
      </c>
      <c r="D355" s="5" t="s">
        <v>37</v>
      </c>
      <c r="E355" s="5" t="s">
        <v>40</v>
      </c>
      <c r="F355" s="5" t="s">
        <v>40</v>
      </c>
      <c r="G355" s="5" t="s">
        <v>43</v>
      </c>
      <c r="H355" s="6">
        <v>45132</v>
      </c>
      <c r="I355" s="5">
        <v>4.2</v>
      </c>
      <c r="J355" s="5">
        <v>77.3</v>
      </c>
      <c r="K355" s="5">
        <v>8.6999999999999993</v>
      </c>
      <c r="L355" s="5">
        <v>67</v>
      </c>
      <c r="M355" s="5">
        <v>76</v>
      </c>
    </row>
    <row r="356" spans="1:13" x14ac:dyDescent="0.3">
      <c r="A356" s="5">
        <v>580</v>
      </c>
      <c r="B356" s="5" t="s">
        <v>35</v>
      </c>
      <c r="C356" s="5"/>
      <c r="D356" s="5" t="s">
        <v>37</v>
      </c>
      <c r="E356" s="5" t="s">
        <v>37</v>
      </c>
      <c r="F356" s="5" t="s">
        <v>37</v>
      </c>
      <c r="G356" s="5" t="s">
        <v>41</v>
      </c>
      <c r="H356" s="6">
        <v>44930</v>
      </c>
      <c r="I356" s="5">
        <v>1.2</v>
      </c>
      <c r="J356" s="5">
        <v>81.8</v>
      </c>
      <c r="K356" s="5">
        <v>6.2</v>
      </c>
      <c r="L356" s="5">
        <v>49.2</v>
      </c>
      <c r="M356" s="5">
        <v>53.2</v>
      </c>
    </row>
    <row r="357" spans="1:13" x14ac:dyDescent="0.3">
      <c r="A357" s="5">
        <v>614</v>
      </c>
      <c r="B357" s="5" t="s">
        <v>35</v>
      </c>
      <c r="C357" s="5" t="s">
        <v>39</v>
      </c>
      <c r="D357" s="5" t="s">
        <v>37</v>
      </c>
      <c r="E357" s="5" t="s">
        <v>37</v>
      </c>
      <c r="F357" s="5" t="s">
        <v>40</v>
      </c>
      <c r="G357" s="5" t="s">
        <v>43</v>
      </c>
      <c r="H357" s="6">
        <v>45539</v>
      </c>
      <c r="I357" s="5">
        <v>2.7</v>
      </c>
      <c r="J357" s="5">
        <v>94.5</v>
      </c>
      <c r="K357" s="5">
        <v>6.6</v>
      </c>
      <c r="L357" s="5">
        <v>52.9</v>
      </c>
      <c r="M357" s="5">
        <v>74.400000000000006</v>
      </c>
    </row>
    <row r="358" spans="1:13" x14ac:dyDescent="0.3">
      <c r="A358" s="5">
        <v>330</v>
      </c>
      <c r="B358" s="5" t="s">
        <v>35</v>
      </c>
      <c r="C358" s="5" t="s">
        <v>42</v>
      </c>
      <c r="D358" s="5" t="s">
        <v>37</v>
      </c>
      <c r="E358" s="5" t="s">
        <v>37</v>
      </c>
      <c r="F358" s="5" t="s">
        <v>40</v>
      </c>
      <c r="G358" s="5" t="s">
        <v>46</v>
      </c>
      <c r="H358" s="6">
        <v>45269</v>
      </c>
      <c r="I358" s="5">
        <v>2.6</v>
      </c>
      <c r="J358" s="5">
        <v>74.900000000000006</v>
      </c>
      <c r="K358" s="5">
        <v>6.5</v>
      </c>
      <c r="L358" s="5">
        <v>42.7</v>
      </c>
      <c r="M358" s="5">
        <v>66</v>
      </c>
    </row>
    <row r="359" spans="1:13" x14ac:dyDescent="0.3">
      <c r="A359" s="5">
        <v>429</v>
      </c>
      <c r="B359" s="5" t="s">
        <v>44</v>
      </c>
      <c r="C359" s="5" t="s">
        <v>42</v>
      </c>
      <c r="D359" s="5" t="s">
        <v>40</v>
      </c>
      <c r="E359" s="5" t="s">
        <v>40</v>
      </c>
      <c r="F359" s="5" t="s">
        <v>40</v>
      </c>
      <c r="G359" s="5" t="s">
        <v>41</v>
      </c>
      <c r="H359" s="6">
        <v>45163</v>
      </c>
      <c r="I359" s="5">
        <v>0.7</v>
      </c>
      <c r="J359" s="5">
        <v>88.7</v>
      </c>
      <c r="K359" s="5">
        <v>5.7</v>
      </c>
      <c r="L359" s="5">
        <v>67</v>
      </c>
      <c r="M359" s="5">
        <v>43.1</v>
      </c>
    </row>
    <row r="360" spans="1:13" x14ac:dyDescent="0.3">
      <c r="A360" s="5">
        <v>193</v>
      </c>
      <c r="B360" s="5" t="s">
        <v>35</v>
      </c>
      <c r="C360" s="5"/>
      <c r="D360" s="5" t="s">
        <v>37</v>
      </c>
      <c r="E360" s="5" t="s">
        <v>40</v>
      </c>
      <c r="F360" s="5" t="s">
        <v>37</v>
      </c>
      <c r="G360" s="5" t="s">
        <v>47</v>
      </c>
      <c r="H360" s="6">
        <v>45573</v>
      </c>
      <c r="I360" s="5">
        <v>5.4</v>
      </c>
      <c r="J360" s="5">
        <v>74</v>
      </c>
      <c r="K360" s="5">
        <v>8.3000000000000007</v>
      </c>
      <c r="L360" s="5">
        <v>66.900000000000006</v>
      </c>
      <c r="M360" s="5">
        <v>80</v>
      </c>
    </row>
    <row r="361" spans="1:13" x14ac:dyDescent="0.3">
      <c r="A361" s="5">
        <v>558</v>
      </c>
      <c r="B361" s="5" t="s">
        <v>44</v>
      </c>
      <c r="C361" s="5" t="s">
        <v>36</v>
      </c>
      <c r="D361" s="5" t="s">
        <v>37</v>
      </c>
      <c r="E361" s="5" t="s">
        <v>40</v>
      </c>
      <c r="F361" s="5" t="s">
        <v>37</v>
      </c>
      <c r="G361" s="5" t="s">
        <v>47</v>
      </c>
      <c r="H361" s="6">
        <v>44945</v>
      </c>
      <c r="I361" s="5">
        <v>4.5</v>
      </c>
      <c r="J361" s="5">
        <v>80.2</v>
      </c>
      <c r="K361" s="5">
        <v>6.7</v>
      </c>
      <c r="L361" s="5">
        <v>86.1</v>
      </c>
      <c r="M361" s="5">
        <v>84.6</v>
      </c>
    </row>
    <row r="362" spans="1:13" x14ac:dyDescent="0.3">
      <c r="A362" s="5">
        <v>844</v>
      </c>
      <c r="B362" s="5" t="s">
        <v>44</v>
      </c>
      <c r="C362" s="5" t="s">
        <v>39</v>
      </c>
      <c r="D362" s="5" t="s">
        <v>40</v>
      </c>
      <c r="E362" s="5" t="s">
        <v>37</v>
      </c>
      <c r="F362" s="5" t="s">
        <v>40</v>
      </c>
      <c r="G362" s="5" t="s">
        <v>43</v>
      </c>
      <c r="H362" s="6">
        <v>45487</v>
      </c>
      <c r="I362" s="5">
        <v>5.6</v>
      </c>
      <c r="J362" s="5">
        <v>67.3</v>
      </c>
      <c r="K362" s="5">
        <v>5.6</v>
      </c>
      <c r="L362" s="5">
        <v>75.099999999999994</v>
      </c>
      <c r="M362" s="5">
        <v>77.5</v>
      </c>
    </row>
    <row r="363" spans="1:13" x14ac:dyDescent="0.3">
      <c r="A363" s="5">
        <v>763</v>
      </c>
      <c r="B363" s="5" t="s">
        <v>44</v>
      </c>
      <c r="C363" s="5" t="s">
        <v>45</v>
      </c>
      <c r="D363" s="5" t="s">
        <v>37</v>
      </c>
      <c r="E363" s="5" t="s">
        <v>40</v>
      </c>
      <c r="F363" s="5" t="s">
        <v>40</v>
      </c>
      <c r="G363" s="5" t="s">
        <v>41</v>
      </c>
      <c r="H363" s="6">
        <v>44972</v>
      </c>
      <c r="I363" s="5">
        <v>0.7</v>
      </c>
      <c r="J363" s="5">
        <v>76.5</v>
      </c>
      <c r="K363" s="5">
        <v>6.7</v>
      </c>
      <c r="L363" s="5">
        <v>58.9</v>
      </c>
      <c r="M363" s="5">
        <v>53</v>
      </c>
    </row>
    <row r="364" spans="1:13" x14ac:dyDescent="0.3">
      <c r="A364" s="5">
        <v>484</v>
      </c>
      <c r="B364" s="5" t="s">
        <v>35</v>
      </c>
      <c r="C364" s="5" t="s">
        <v>39</v>
      </c>
      <c r="D364" s="5" t="s">
        <v>37</v>
      </c>
      <c r="E364" s="5" t="s">
        <v>40</v>
      </c>
      <c r="F364" s="5" t="s">
        <v>40</v>
      </c>
      <c r="G364" s="5" t="s">
        <v>43</v>
      </c>
      <c r="H364" s="6">
        <v>45322</v>
      </c>
      <c r="I364" s="5">
        <v>2.5</v>
      </c>
      <c r="J364" s="5">
        <v>82</v>
      </c>
      <c r="K364" s="5">
        <v>7.7</v>
      </c>
      <c r="L364" s="5">
        <v>93.7</v>
      </c>
      <c r="M364" s="5">
        <v>77.099999999999994</v>
      </c>
    </row>
    <row r="365" spans="1:13" x14ac:dyDescent="0.3">
      <c r="A365" s="5">
        <v>366</v>
      </c>
      <c r="B365" s="5" t="s">
        <v>35</v>
      </c>
      <c r="C365" s="5" t="s">
        <v>36</v>
      </c>
      <c r="D365" s="5"/>
      <c r="E365" s="5" t="s">
        <v>37</v>
      </c>
      <c r="F365" s="5" t="s">
        <v>40</v>
      </c>
      <c r="G365" s="5" t="s">
        <v>43</v>
      </c>
      <c r="H365" s="6">
        <v>45479</v>
      </c>
      <c r="I365" s="5">
        <v>4.3</v>
      </c>
      <c r="J365" s="5">
        <v>82.2</v>
      </c>
      <c r="K365" s="5">
        <v>6.4</v>
      </c>
      <c r="L365" s="5">
        <v>63.8</v>
      </c>
      <c r="M365" s="5">
        <v>76.599999999999994</v>
      </c>
    </row>
    <row r="366" spans="1:13" x14ac:dyDescent="0.3">
      <c r="A366" s="5">
        <v>256</v>
      </c>
      <c r="B366" s="5" t="s">
        <v>35</v>
      </c>
      <c r="C366" s="5"/>
      <c r="D366" s="5" t="s">
        <v>37</v>
      </c>
      <c r="E366" s="5" t="s">
        <v>37</v>
      </c>
      <c r="F366" s="5" t="s">
        <v>40</v>
      </c>
      <c r="G366" s="5" t="s">
        <v>47</v>
      </c>
      <c r="H366" s="6">
        <v>45281</v>
      </c>
      <c r="I366" s="5">
        <v>5.2</v>
      </c>
      <c r="J366" s="5">
        <v>98.2</v>
      </c>
      <c r="K366" s="5">
        <v>7.8</v>
      </c>
      <c r="L366" s="5">
        <v>54.5</v>
      </c>
      <c r="M366" s="5">
        <v>46.5</v>
      </c>
    </row>
    <row r="367" spans="1:13" x14ac:dyDescent="0.3">
      <c r="A367" s="5">
        <v>858</v>
      </c>
      <c r="B367" s="5" t="s">
        <v>35</v>
      </c>
      <c r="C367" s="5" t="s">
        <v>42</v>
      </c>
      <c r="D367" s="5"/>
      <c r="E367" s="5" t="s">
        <v>40</v>
      </c>
      <c r="F367" s="5" t="s">
        <v>40</v>
      </c>
      <c r="G367" s="5" t="s">
        <v>46</v>
      </c>
      <c r="H367" s="6">
        <v>45466</v>
      </c>
      <c r="I367" s="5">
        <v>2.7</v>
      </c>
      <c r="J367" s="5">
        <v>73.400000000000006</v>
      </c>
      <c r="K367" s="5">
        <v>6.5</v>
      </c>
      <c r="L367" s="5">
        <v>40.5</v>
      </c>
      <c r="M367" s="5">
        <v>65</v>
      </c>
    </row>
    <row r="368" spans="1:13" x14ac:dyDescent="0.3">
      <c r="A368" s="5">
        <v>275</v>
      </c>
      <c r="B368" s="5" t="s">
        <v>44</v>
      </c>
      <c r="C368" s="5" t="s">
        <v>45</v>
      </c>
      <c r="D368" s="5" t="s">
        <v>37</v>
      </c>
      <c r="E368" s="5" t="s">
        <v>37</v>
      </c>
      <c r="F368" s="5" t="s">
        <v>37</v>
      </c>
      <c r="G368" s="5" t="s">
        <v>43</v>
      </c>
      <c r="H368" s="6">
        <v>45195</v>
      </c>
      <c r="I368" s="5">
        <v>3.4</v>
      </c>
      <c r="J368" s="5">
        <v>95.2</v>
      </c>
      <c r="K368" s="5">
        <v>7.6</v>
      </c>
      <c r="L368" s="5">
        <v>43.6</v>
      </c>
      <c r="M368" s="5">
        <v>76.400000000000006</v>
      </c>
    </row>
    <row r="369" spans="1:13" x14ac:dyDescent="0.3">
      <c r="A369" s="5">
        <v>692</v>
      </c>
      <c r="B369" s="5" t="s">
        <v>35</v>
      </c>
      <c r="C369" s="5" t="s">
        <v>42</v>
      </c>
      <c r="D369" s="5" t="s">
        <v>37</v>
      </c>
      <c r="E369" s="5" t="s">
        <v>37</v>
      </c>
      <c r="F369" s="5" t="s">
        <v>37</v>
      </c>
      <c r="G369" s="5" t="s">
        <v>38</v>
      </c>
      <c r="H369" s="6">
        <v>45056</v>
      </c>
      <c r="I369" s="5">
        <v>4.8</v>
      </c>
      <c r="J369" s="5">
        <v>94.3</v>
      </c>
      <c r="K369" s="5">
        <v>6.8</v>
      </c>
      <c r="L369" s="5">
        <v>66.75</v>
      </c>
      <c r="M369" s="5">
        <v>90.4</v>
      </c>
    </row>
    <row r="370" spans="1:13" x14ac:dyDescent="0.3">
      <c r="A370" s="5">
        <v>127</v>
      </c>
      <c r="B370" s="5" t="s">
        <v>44</v>
      </c>
      <c r="C370" s="5" t="s">
        <v>42</v>
      </c>
      <c r="D370" s="5" t="s">
        <v>37</v>
      </c>
      <c r="E370" s="5" t="s">
        <v>40</v>
      </c>
      <c r="F370" s="5" t="s">
        <v>40</v>
      </c>
      <c r="G370" s="5" t="s">
        <v>46</v>
      </c>
      <c r="H370" s="6">
        <v>45534</v>
      </c>
      <c r="I370" s="5">
        <v>0.8</v>
      </c>
      <c r="J370" s="5">
        <v>88.5</v>
      </c>
      <c r="K370" s="5">
        <v>5.8</v>
      </c>
      <c r="L370" s="5">
        <v>60</v>
      </c>
      <c r="M370" s="5">
        <v>63.4</v>
      </c>
    </row>
    <row r="371" spans="1:13" x14ac:dyDescent="0.3">
      <c r="A371" s="5">
        <v>62</v>
      </c>
      <c r="B371" s="5" t="s">
        <v>35</v>
      </c>
      <c r="C371" s="5"/>
      <c r="D371" s="5" t="s">
        <v>37</v>
      </c>
      <c r="E371" s="5" t="s">
        <v>37</v>
      </c>
      <c r="F371" s="5" t="s">
        <v>40</v>
      </c>
      <c r="G371" s="5" t="s">
        <v>41</v>
      </c>
      <c r="H371" s="6">
        <v>45140</v>
      </c>
      <c r="I371" s="5">
        <v>1.7</v>
      </c>
      <c r="J371" s="5">
        <v>96.7</v>
      </c>
      <c r="K371" s="5">
        <v>4.2</v>
      </c>
      <c r="L371" s="5">
        <v>70.2</v>
      </c>
      <c r="M371" s="5">
        <v>50.4</v>
      </c>
    </row>
    <row r="372" spans="1:13" x14ac:dyDescent="0.3">
      <c r="A372" s="5">
        <v>527</v>
      </c>
      <c r="B372" s="5" t="s">
        <v>44</v>
      </c>
      <c r="C372" s="5"/>
      <c r="D372" s="5" t="s">
        <v>37</v>
      </c>
      <c r="E372" s="5" t="s">
        <v>40</v>
      </c>
      <c r="F372" s="5" t="s">
        <v>40</v>
      </c>
      <c r="G372" s="5" t="s">
        <v>41</v>
      </c>
      <c r="H372" s="6">
        <v>45070</v>
      </c>
      <c r="I372" s="5">
        <v>3.4</v>
      </c>
      <c r="J372" s="5">
        <v>86.6</v>
      </c>
      <c r="K372" s="5">
        <v>8.3000000000000007</v>
      </c>
      <c r="L372" s="5">
        <v>56.8</v>
      </c>
      <c r="M372" s="5">
        <v>54.6</v>
      </c>
    </row>
    <row r="373" spans="1:13" x14ac:dyDescent="0.3">
      <c r="A373" s="5">
        <v>183</v>
      </c>
      <c r="B373" s="5" t="s">
        <v>35</v>
      </c>
      <c r="C373" s="5"/>
      <c r="D373" s="5" t="s">
        <v>37</v>
      </c>
      <c r="E373" s="5" t="s">
        <v>37</v>
      </c>
      <c r="F373" s="5" t="s">
        <v>40</v>
      </c>
      <c r="G373" s="5" t="s">
        <v>43</v>
      </c>
      <c r="H373" s="6">
        <v>45138</v>
      </c>
      <c r="I373" s="5">
        <v>3.5</v>
      </c>
      <c r="J373" s="5">
        <v>72</v>
      </c>
      <c r="K373" s="5">
        <v>4.9000000000000004</v>
      </c>
      <c r="L373" s="5">
        <v>89.5</v>
      </c>
      <c r="M373" s="5">
        <v>72.599999999999994</v>
      </c>
    </row>
    <row r="374" spans="1:13" x14ac:dyDescent="0.3">
      <c r="A374" s="5">
        <v>520</v>
      </c>
      <c r="B374" s="5" t="s">
        <v>44</v>
      </c>
      <c r="C374" s="5" t="s">
        <v>36</v>
      </c>
      <c r="D374" s="5" t="s">
        <v>37</v>
      </c>
      <c r="E374" s="5" t="s">
        <v>37</v>
      </c>
      <c r="F374" s="5" t="s">
        <v>40</v>
      </c>
      <c r="G374" s="5" t="s">
        <v>47</v>
      </c>
      <c r="H374" s="6">
        <v>45257</v>
      </c>
      <c r="I374" s="5">
        <v>5.3</v>
      </c>
      <c r="J374" s="5">
        <v>99.9</v>
      </c>
      <c r="K374" s="5">
        <v>6.7</v>
      </c>
      <c r="L374" s="5">
        <v>78.7</v>
      </c>
      <c r="M374" s="5">
        <v>82.4</v>
      </c>
    </row>
    <row r="375" spans="1:13" x14ac:dyDescent="0.3">
      <c r="A375" s="5">
        <v>569</v>
      </c>
      <c r="B375" s="5" t="s">
        <v>44</v>
      </c>
      <c r="C375" s="5" t="s">
        <v>42</v>
      </c>
      <c r="D375" s="5" t="s">
        <v>37</v>
      </c>
      <c r="E375" s="5" t="s">
        <v>40</v>
      </c>
      <c r="F375" s="5" t="s">
        <v>40</v>
      </c>
      <c r="G375" s="5" t="s">
        <v>43</v>
      </c>
      <c r="H375" s="6">
        <v>45596</v>
      </c>
      <c r="I375" s="5">
        <v>4.0999999999999996</v>
      </c>
      <c r="J375" s="5">
        <v>66.5</v>
      </c>
      <c r="K375" s="5">
        <v>6.2</v>
      </c>
      <c r="L375" s="5">
        <v>53</v>
      </c>
      <c r="M375" s="5">
        <v>70.7</v>
      </c>
    </row>
    <row r="376" spans="1:13" x14ac:dyDescent="0.3">
      <c r="A376" s="5">
        <v>286</v>
      </c>
      <c r="B376" s="5" t="s">
        <v>44</v>
      </c>
      <c r="C376" s="5" t="s">
        <v>45</v>
      </c>
      <c r="D376" s="5" t="s">
        <v>37</v>
      </c>
      <c r="E376" s="5" t="s">
        <v>37</v>
      </c>
      <c r="F376" s="5" t="s">
        <v>40</v>
      </c>
      <c r="G376" s="5" t="s">
        <v>47</v>
      </c>
      <c r="H376" s="6">
        <v>45530</v>
      </c>
      <c r="I376" s="5">
        <v>7</v>
      </c>
      <c r="J376" s="5">
        <v>65.599999999999994</v>
      </c>
      <c r="K376" s="5">
        <v>6.8</v>
      </c>
      <c r="L376" s="5">
        <v>72.2</v>
      </c>
      <c r="M376" s="5">
        <v>85.5</v>
      </c>
    </row>
    <row r="377" spans="1:13" x14ac:dyDescent="0.3">
      <c r="A377" s="5">
        <v>839</v>
      </c>
      <c r="B377" s="5" t="s">
        <v>35</v>
      </c>
      <c r="C377" s="5" t="s">
        <v>39</v>
      </c>
      <c r="D377" s="5" t="s">
        <v>37</v>
      </c>
      <c r="E377" s="5" t="s">
        <v>40</v>
      </c>
      <c r="F377" s="5" t="s">
        <v>37</v>
      </c>
      <c r="G377" s="5" t="s">
        <v>46</v>
      </c>
      <c r="H377" s="6">
        <v>45572</v>
      </c>
      <c r="I377" s="5">
        <v>2.4</v>
      </c>
      <c r="J377" s="5">
        <v>69.2</v>
      </c>
      <c r="K377" s="5">
        <v>6.2</v>
      </c>
      <c r="L377" s="5">
        <v>66.75</v>
      </c>
      <c r="M377" s="5">
        <v>63.4</v>
      </c>
    </row>
    <row r="378" spans="1:13" x14ac:dyDescent="0.3">
      <c r="A378" s="5">
        <v>80</v>
      </c>
      <c r="B378" s="5" t="s">
        <v>44</v>
      </c>
      <c r="C378" s="5" t="s">
        <v>36</v>
      </c>
      <c r="D378" s="5" t="s">
        <v>37</v>
      </c>
      <c r="E378" s="5" t="s">
        <v>37</v>
      </c>
      <c r="F378" s="5" t="s">
        <v>40</v>
      </c>
      <c r="G378" s="5" t="s">
        <v>46</v>
      </c>
      <c r="H378" s="6">
        <v>45624</v>
      </c>
      <c r="I378" s="5">
        <v>1.7</v>
      </c>
      <c r="J378" s="5">
        <v>84.7</v>
      </c>
      <c r="K378" s="5">
        <v>4.5</v>
      </c>
      <c r="L378" s="5">
        <v>61</v>
      </c>
      <c r="M378" s="5">
        <v>64.900000000000006</v>
      </c>
    </row>
    <row r="379" spans="1:13" x14ac:dyDescent="0.3">
      <c r="A379" s="5">
        <v>758</v>
      </c>
      <c r="B379" s="5" t="s">
        <v>35</v>
      </c>
      <c r="C379" s="5" t="s">
        <v>42</v>
      </c>
      <c r="D379" s="5" t="s">
        <v>37</v>
      </c>
      <c r="E379" s="5" t="s">
        <v>40</v>
      </c>
      <c r="F379" s="5" t="s">
        <v>37</v>
      </c>
      <c r="G379" s="5" t="s">
        <v>43</v>
      </c>
      <c r="H379" s="6">
        <v>45045</v>
      </c>
      <c r="I379" s="5">
        <v>4.5</v>
      </c>
      <c r="J379" s="5">
        <v>74</v>
      </c>
      <c r="K379" s="5">
        <v>8.9</v>
      </c>
      <c r="L379" s="5">
        <v>73.2</v>
      </c>
      <c r="M379" s="5">
        <v>76.7</v>
      </c>
    </row>
    <row r="380" spans="1:13" x14ac:dyDescent="0.3">
      <c r="A380" s="5">
        <v>438</v>
      </c>
      <c r="B380" s="5" t="s">
        <v>35</v>
      </c>
      <c r="C380" s="5"/>
      <c r="D380" s="5" t="s">
        <v>37</v>
      </c>
      <c r="E380" s="5" t="s">
        <v>40</v>
      </c>
      <c r="F380" s="5" t="s">
        <v>40</v>
      </c>
      <c r="G380" s="5" t="s">
        <v>43</v>
      </c>
      <c r="H380" s="6">
        <v>44993</v>
      </c>
      <c r="I380" s="5">
        <v>4.5</v>
      </c>
      <c r="J380" s="5">
        <v>71.2</v>
      </c>
      <c r="K380" s="5">
        <v>8.4</v>
      </c>
      <c r="L380" s="5">
        <v>52.7</v>
      </c>
      <c r="M380" s="5">
        <v>75.7</v>
      </c>
    </row>
    <row r="381" spans="1:13" x14ac:dyDescent="0.3">
      <c r="A381" s="5">
        <v>60</v>
      </c>
      <c r="B381" s="5" t="s">
        <v>35</v>
      </c>
      <c r="C381" s="5" t="s">
        <v>36</v>
      </c>
      <c r="D381" s="5" t="s">
        <v>37</v>
      </c>
      <c r="E381" s="5" t="s">
        <v>40</v>
      </c>
      <c r="F381" s="5" t="s">
        <v>40</v>
      </c>
      <c r="G381" s="5" t="s">
        <v>46</v>
      </c>
      <c r="H381" s="6">
        <v>45048</v>
      </c>
      <c r="I381" s="5">
        <v>0.6</v>
      </c>
      <c r="J381" s="5">
        <v>72.3</v>
      </c>
      <c r="K381" s="5">
        <v>6.6</v>
      </c>
      <c r="L381" s="5">
        <v>94.3</v>
      </c>
      <c r="M381" s="5">
        <v>61.2</v>
      </c>
    </row>
    <row r="382" spans="1:13" x14ac:dyDescent="0.3">
      <c r="A382" s="5">
        <v>29</v>
      </c>
      <c r="B382" s="5" t="s">
        <v>35</v>
      </c>
      <c r="C382" s="5" t="s">
        <v>45</v>
      </c>
      <c r="D382" s="5" t="s">
        <v>37</v>
      </c>
      <c r="E382" s="5" t="s">
        <v>40</v>
      </c>
      <c r="F382" s="5" t="s">
        <v>40</v>
      </c>
      <c r="G382" s="5" t="s">
        <v>43</v>
      </c>
      <c r="H382" s="6">
        <v>44975</v>
      </c>
      <c r="I382" s="5">
        <v>2</v>
      </c>
      <c r="J382" s="5">
        <v>91.1</v>
      </c>
      <c r="K382" s="5">
        <v>8.1</v>
      </c>
      <c r="L382" s="5">
        <v>43.8</v>
      </c>
      <c r="M382" s="5">
        <v>73.7</v>
      </c>
    </row>
    <row r="383" spans="1:13" x14ac:dyDescent="0.3">
      <c r="A383" s="5">
        <v>359</v>
      </c>
      <c r="B383" s="5" t="s">
        <v>44</v>
      </c>
      <c r="C383" s="5" t="s">
        <v>36</v>
      </c>
      <c r="D383" s="5" t="s">
        <v>37</v>
      </c>
      <c r="E383" s="5" t="s">
        <v>37</v>
      </c>
      <c r="F383" s="5" t="s">
        <v>37</v>
      </c>
      <c r="G383" s="5" t="s">
        <v>46</v>
      </c>
      <c r="H383" s="6">
        <v>44999</v>
      </c>
      <c r="I383" s="5">
        <v>3.6</v>
      </c>
      <c r="J383" s="5">
        <v>80.400000000000006</v>
      </c>
      <c r="K383" s="5">
        <v>4.5999999999999996</v>
      </c>
      <c r="L383" s="5">
        <v>43</v>
      </c>
      <c r="M383" s="5">
        <v>63.8</v>
      </c>
    </row>
    <row r="384" spans="1:13" x14ac:dyDescent="0.3">
      <c r="A384" s="5">
        <v>507</v>
      </c>
      <c r="B384" s="5" t="s">
        <v>44</v>
      </c>
      <c r="C384" s="5"/>
      <c r="D384" s="5" t="s">
        <v>37</v>
      </c>
      <c r="E384" s="5" t="s">
        <v>40</v>
      </c>
      <c r="F384" s="5" t="s">
        <v>37</v>
      </c>
      <c r="G384" s="5" t="s">
        <v>47</v>
      </c>
      <c r="H384" s="6">
        <v>45347</v>
      </c>
      <c r="I384" s="5">
        <v>4.8</v>
      </c>
      <c r="J384" s="5">
        <v>91.4</v>
      </c>
      <c r="K384" s="5">
        <v>4.2</v>
      </c>
      <c r="L384" s="5">
        <v>87.6</v>
      </c>
      <c r="M384" s="5">
        <v>81.599999999999994</v>
      </c>
    </row>
    <row r="385" spans="1:13" x14ac:dyDescent="0.3">
      <c r="A385" s="5">
        <v>551</v>
      </c>
      <c r="B385" s="5" t="s">
        <v>35</v>
      </c>
      <c r="C385" s="5"/>
      <c r="D385" s="5" t="s">
        <v>37</v>
      </c>
      <c r="E385" s="5" t="s">
        <v>37</v>
      </c>
      <c r="F385" s="5" t="s">
        <v>37</v>
      </c>
      <c r="G385" s="5" t="s">
        <v>41</v>
      </c>
      <c r="H385" s="6">
        <v>45197</v>
      </c>
      <c r="I385" s="5">
        <v>3.7</v>
      </c>
      <c r="J385" s="5">
        <v>73.5</v>
      </c>
      <c r="K385" s="5">
        <v>5.2</v>
      </c>
      <c r="L385" s="5">
        <v>36.9</v>
      </c>
      <c r="M385" s="5">
        <v>53.9</v>
      </c>
    </row>
    <row r="386" spans="1:13" x14ac:dyDescent="0.3">
      <c r="A386" s="5">
        <v>530</v>
      </c>
      <c r="B386" s="5" t="s">
        <v>35</v>
      </c>
      <c r="C386" s="5"/>
      <c r="D386" s="5" t="s">
        <v>37</v>
      </c>
      <c r="E386" s="5" t="s">
        <v>37</v>
      </c>
      <c r="F386" s="5" t="s">
        <v>37</v>
      </c>
      <c r="G386" s="5" t="s">
        <v>46</v>
      </c>
      <c r="H386" s="6">
        <v>44986</v>
      </c>
      <c r="I386" s="5">
        <v>3.4</v>
      </c>
      <c r="J386" s="5">
        <v>65.2</v>
      </c>
      <c r="K386" s="5">
        <v>4.4000000000000004</v>
      </c>
      <c r="L386" s="5">
        <v>74.3</v>
      </c>
      <c r="M386" s="5">
        <v>73</v>
      </c>
    </row>
    <row r="387" spans="1:13" x14ac:dyDescent="0.3">
      <c r="A387" s="5">
        <v>400</v>
      </c>
      <c r="B387" s="5" t="s">
        <v>44</v>
      </c>
      <c r="C387" s="5" t="s">
        <v>42</v>
      </c>
      <c r="D387" s="5" t="s">
        <v>37</v>
      </c>
      <c r="E387" s="5" t="s">
        <v>37</v>
      </c>
      <c r="F387" s="5" t="s">
        <v>37</v>
      </c>
      <c r="G387" s="5" t="s">
        <v>41</v>
      </c>
      <c r="H387" s="6">
        <v>45609</v>
      </c>
      <c r="I387" s="5">
        <v>2.4</v>
      </c>
      <c r="J387" s="5">
        <v>69.599999999999994</v>
      </c>
      <c r="K387" s="5">
        <v>6.5</v>
      </c>
      <c r="L387" s="5">
        <v>43.6</v>
      </c>
      <c r="M387" s="5">
        <v>46.9</v>
      </c>
    </row>
    <row r="388" spans="1:13" x14ac:dyDescent="0.3">
      <c r="A388" s="5">
        <v>606</v>
      </c>
      <c r="B388" s="5" t="s">
        <v>44</v>
      </c>
      <c r="C388" s="5" t="s">
        <v>36</v>
      </c>
      <c r="D388" s="5" t="s">
        <v>37</v>
      </c>
      <c r="E388" s="5" t="s">
        <v>37</v>
      </c>
      <c r="F388" s="5" t="s">
        <v>40</v>
      </c>
      <c r="G388" s="5" t="s">
        <v>41</v>
      </c>
      <c r="H388" s="6">
        <v>45004</v>
      </c>
      <c r="I388" s="5">
        <v>1.7</v>
      </c>
      <c r="J388" s="5">
        <v>67.2</v>
      </c>
      <c r="K388" s="5">
        <v>7.4</v>
      </c>
      <c r="L388" s="5">
        <v>38.299999999999997</v>
      </c>
      <c r="M388" s="5">
        <v>59.4</v>
      </c>
    </row>
    <row r="389" spans="1:13" x14ac:dyDescent="0.3">
      <c r="A389" s="5">
        <v>469</v>
      </c>
      <c r="B389" s="5" t="s">
        <v>44</v>
      </c>
      <c r="C389" s="5"/>
      <c r="D389" s="5" t="s">
        <v>40</v>
      </c>
      <c r="E389" s="5" t="s">
        <v>40</v>
      </c>
      <c r="F389" s="5" t="s">
        <v>37</v>
      </c>
      <c r="G389" s="5" t="s">
        <v>46</v>
      </c>
      <c r="H389" s="6">
        <v>45367</v>
      </c>
      <c r="I389" s="5">
        <v>2.7</v>
      </c>
      <c r="J389" s="5">
        <v>70.3</v>
      </c>
      <c r="K389" s="5">
        <v>6.7</v>
      </c>
      <c r="L389" s="5">
        <v>68.400000000000006</v>
      </c>
      <c r="M389" s="5">
        <v>63.4</v>
      </c>
    </row>
    <row r="390" spans="1:13" x14ac:dyDescent="0.3">
      <c r="A390" s="5">
        <v>26</v>
      </c>
      <c r="B390" s="5" t="s">
        <v>44</v>
      </c>
      <c r="C390" s="5"/>
      <c r="D390" s="5" t="s">
        <v>37</v>
      </c>
      <c r="E390" s="5" t="s">
        <v>40</v>
      </c>
      <c r="F390" s="5" t="s">
        <v>40</v>
      </c>
      <c r="G390" s="5" t="s">
        <v>46</v>
      </c>
      <c r="H390" s="6">
        <v>45232</v>
      </c>
      <c r="I390" s="5">
        <v>4.0999999999999996</v>
      </c>
      <c r="J390" s="5">
        <v>87.2</v>
      </c>
      <c r="K390" s="5">
        <v>4.5</v>
      </c>
      <c r="L390" s="5">
        <v>70.8</v>
      </c>
      <c r="M390" s="5">
        <v>68.900000000000006</v>
      </c>
    </row>
    <row r="391" spans="1:13" x14ac:dyDescent="0.3">
      <c r="A391" s="5">
        <v>318</v>
      </c>
      <c r="B391" s="5" t="s">
        <v>44</v>
      </c>
      <c r="C391" s="5" t="s">
        <v>36</v>
      </c>
      <c r="D391" s="5" t="s">
        <v>37</v>
      </c>
      <c r="E391" s="5" t="s">
        <v>40</v>
      </c>
      <c r="F391" s="5" t="s">
        <v>37</v>
      </c>
      <c r="G391" s="5" t="s">
        <v>46</v>
      </c>
      <c r="H391" s="6">
        <v>45310</v>
      </c>
      <c r="I391" s="5">
        <v>3.3</v>
      </c>
      <c r="J391" s="5">
        <v>83.5</v>
      </c>
      <c r="K391" s="5">
        <v>6.3</v>
      </c>
      <c r="L391" s="5">
        <v>41.3</v>
      </c>
      <c r="M391" s="5">
        <v>63.1</v>
      </c>
    </row>
    <row r="392" spans="1:13" x14ac:dyDescent="0.3">
      <c r="A392" s="5">
        <v>373</v>
      </c>
      <c r="B392" s="5" t="s">
        <v>44</v>
      </c>
      <c r="C392" s="5" t="s">
        <v>42</v>
      </c>
      <c r="D392" s="5" t="s">
        <v>37</v>
      </c>
      <c r="E392" s="5" t="s">
        <v>37</v>
      </c>
      <c r="F392" s="5" t="s">
        <v>37</v>
      </c>
      <c r="G392" s="5" t="s">
        <v>43</v>
      </c>
      <c r="H392" s="6">
        <v>45296</v>
      </c>
      <c r="I392" s="5">
        <v>2.8</v>
      </c>
      <c r="J392" s="5">
        <v>84.6</v>
      </c>
      <c r="K392" s="5">
        <v>6.4</v>
      </c>
      <c r="L392" s="5">
        <v>55.8</v>
      </c>
      <c r="M392" s="5">
        <v>72.099999999999994</v>
      </c>
    </row>
    <row r="393" spans="1:13" x14ac:dyDescent="0.3">
      <c r="A393" s="5">
        <v>119</v>
      </c>
      <c r="B393" s="5" t="s">
        <v>35</v>
      </c>
      <c r="C393" s="5" t="s">
        <v>39</v>
      </c>
      <c r="D393" s="5" t="s">
        <v>37</v>
      </c>
      <c r="E393" s="5" t="s">
        <v>40</v>
      </c>
      <c r="F393" s="5" t="s">
        <v>40</v>
      </c>
      <c r="G393" s="5" t="s">
        <v>43</v>
      </c>
      <c r="H393" s="6">
        <v>45565</v>
      </c>
      <c r="I393" s="5">
        <v>3.1</v>
      </c>
      <c r="J393" s="5">
        <v>89</v>
      </c>
      <c r="K393" s="5">
        <v>4.0999999999999996</v>
      </c>
      <c r="L393" s="5">
        <v>61.6</v>
      </c>
      <c r="M393" s="5">
        <v>70.8</v>
      </c>
    </row>
    <row r="394" spans="1:13" x14ac:dyDescent="0.3">
      <c r="A394" s="5">
        <v>413</v>
      </c>
      <c r="B394" s="5" t="s">
        <v>44</v>
      </c>
      <c r="C394" s="5" t="s">
        <v>36</v>
      </c>
      <c r="D394" s="5" t="s">
        <v>37</v>
      </c>
      <c r="E394" s="5" t="s">
        <v>40</v>
      </c>
      <c r="F394" s="5" t="s">
        <v>40</v>
      </c>
      <c r="G394" s="5" t="s">
        <v>38</v>
      </c>
      <c r="H394" s="6">
        <v>45302</v>
      </c>
      <c r="I394" s="5">
        <v>5.7</v>
      </c>
      <c r="J394" s="5">
        <v>97.7</v>
      </c>
      <c r="K394" s="5">
        <v>6.4</v>
      </c>
      <c r="L394" s="5">
        <v>60.9</v>
      </c>
      <c r="M394" s="5">
        <v>92.2</v>
      </c>
    </row>
    <row r="395" spans="1:13" x14ac:dyDescent="0.3">
      <c r="A395" s="5">
        <v>786</v>
      </c>
      <c r="B395" s="5" t="s">
        <v>35</v>
      </c>
      <c r="C395" s="5" t="s">
        <v>45</v>
      </c>
      <c r="D395" s="5" t="s">
        <v>37</v>
      </c>
      <c r="E395" s="5" t="s">
        <v>37</v>
      </c>
      <c r="F395" s="5" t="s">
        <v>37</v>
      </c>
      <c r="G395" s="5" t="s">
        <v>43</v>
      </c>
      <c r="H395" s="6">
        <v>45059</v>
      </c>
      <c r="I395" s="5">
        <v>4.5999999999999996</v>
      </c>
      <c r="J395" s="5">
        <v>91.5</v>
      </c>
      <c r="K395" s="5">
        <v>7.7</v>
      </c>
      <c r="L395" s="5">
        <v>63.8</v>
      </c>
      <c r="M395" s="5">
        <v>71.5</v>
      </c>
    </row>
    <row r="396" spans="1:13" x14ac:dyDescent="0.3">
      <c r="A396" s="5">
        <v>735</v>
      </c>
      <c r="B396" s="5" t="s">
        <v>44</v>
      </c>
      <c r="C396" s="5" t="s">
        <v>42</v>
      </c>
      <c r="D396" s="5" t="s">
        <v>37</v>
      </c>
      <c r="E396" s="5" t="s">
        <v>37</v>
      </c>
      <c r="F396" s="5" t="s">
        <v>40</v>
      </c>
      <c r="G396" s="5" t="s">
        <v>43</v>
      </c>
      <c r="H396" s="6">
        <v>45074</v>
      </c>
      <c r="I396" s="5">
        <v>0.6</v>
      </c>
      <c r="J396" s="5">
        <v>96.8</v>
      </c>
      <c r="K396" s="5">
        <v>7.2</v>
      </c>
      <c r="L396" s="5">
        <v>75.599999999999994</v>
      </c>
      <c r="M396" s="5">
        <v>72.3</v>
      </c>
    </row>
    <row r="397" spans="1:13" x14ac:dyDescent="0.3">
      <c r="A397" s="5">
        <v>108</v>
      </c>
      <c r="B397" s="5" t="s">
        <v>35</v>
      </c>
      <c r="C397" s="5" t="s">
        <v>39</v>
      </c>
      <c r="D397" s="5"/>
      <c r="E397" s="5" t="s">
        <v>40</v>
      </c>
      <c r="F397" s="5" t="s">
        <v>37</v>
      </c>
      <c r="G397" s="5" t="s">
        <v>43</v>
      </c>
      <c r="H397" s="6"/>
      <c r="I397" s="5">
        <v>1.6</v>
      </c>
      <c r="J397" s="5">
        <v>84.4</v>
      </c>
      <c r="K397" s="5">
        <v>5</v>
      </c>
      <c r="L397" s="5">
        <v>90</v>
      </c>
      <c r="M397" s="5">
        <v>75.099999999999994</v>
      </c>
    </row>
    <row r="398" spans="1:13" x14ac:dyDescent="0.3">
      <c r="A398" s="5">
        <v>295</v>
      </c>
      <c r="B398" s="5" t="s">
        <v>44</v>
      </c>
      <c r="C398" s="5" t="s">
        <v>39</v>
      </c>
      <c r="D398" s="5" t="s">
        <v>37</v>
      </c>
      <c r="E398" s="5" t="s">
        <v>37</v>
      </c>
      <c r="F398" s="5" t="s">
        <v>40</v>
      </c>
      <c r="G398" s="5" t="s">
        <v>43</v>
      </c>
      <c r="H398" s="6">
        <v>45257</v>
      </c>
      <c r="I398" s="5">
        <v>7</v>
      </c>
      <c r="J398" s="5">
        <v>79.7</v>
      </c>
      <c r="K398" s="5">
        <v>6.7</v>
      </c>
      <c r="L398" s="5">
        <v>58.7</v>
      </c>
      <c r="M398" s="5">
        <v>76.7</v>
      </c>
    </row>
    <row r="399" spans="1:13" x14ac:dyDescent="0.3">
      <c r="A399" s="5">
        <v>511</v>
      </c>
      <c r="B399" s="5" t="s">
        <v>44</v>
      </c>
      <c r="C399" s="5" t="s">
        <v>36</v>
      </c>
      <c r="D399" s="5" t="s">
        <v>37</v>
      </c>
      <c r="E399" s="5" t="s">
        <v>40</v>
      </c>
      <c r="F399" s="5" t="s">
        <v>40</v>
      </c>
      <c r="G399" s="5" t="s">
        <v>38</v>
      </c>
      <c r="H399" s="6">
        <v>45161</v>
      </c>
      <c r="I399" s="5">
        <v>6.5</v>
      </c>
      <c r="J399" s="5">
        <v>99.5</v>
      </c>
      <c r="K399" s="5">
        <v>7.3</v>
      </c>
      <c r="L399" s="5">
        <v>67</v>
      </c>
      <c r="M399" s="5">
        <v>90.3</v>
      </c>
    </row>
    <row r="400" spans="1:13" x14ac:dyDescent="0.3">
      <c r="A400" s="5">
        <v>528</v>
      </c>
      <c r="B400" s="5" t="s">
        <v>35</v>
      </c>
      <c r="C400" s="5" t="s">
        <v>39</v>
      </c>
      <c r="D400" s="5" t="s">
        <v>37</v>
      </c>
      <c r="E400" s="5" t="s">
        <v>40</v>
      </c>
      <c r="F400" s="5" t="s">
        <v>40</v>
      </c>
      <c r="G400" s="5" t="s">
        <v>43</v>
      </c>
      <c r="H400" s="6">
        <v>45607</v>
      </c>
      <c r="I400" s="5">
        <v>4</v>
      </c>
      <c r="J400" s="5">
        <v>79.5</v>
      </c>
      <c r="K400" s="5">
        <v>8.9</v>
      </c>
      <c r="L400" s="5">
        <v>65.2</v>
      </c>
      <c r="M400" s="5">
        <v>73.5</v>
      </c>
    </row>
    <row r="401" spans="1:13" x14ac:dyDescent="0.3">
      <c r="A401" s="5">
        <v>19</v>
      </c>
      <c r="B401" s="5" t="s">
        <v>35</v>
      </c>
      <c r="C401" s="5" t="s">
        <v>45</v>
      </c>
      <c r="D401" s="5" t="s">
        <v>37</v>
      </c>
      <c r="E401" s="5" t="s">
        <v>37</v>
      </c>
      <c r="F401" s="5" t="s">
        <v>37</v>
      </c>
      <c r="G401" s="5" t="s">
        <v>43</v>
      </c>
      <c r="H401" s="6">
        <v>45517</v>
      </c>
      <c r="I401" s="5">
        <v>0.7</v>
      </c>
      <c r="J401" s="5">
        <v>84.4</v>
      </c>
      <c r="K401" s="5">
        <v>5.9</v>
      </c>
      <c r="L401" s="5">
        <v>92.2</v>
      </c>
      <c r="M401" s="5">
        <v>70.599999999999994</v>
      </c>
    </row>
    <row r="402" spans="1:13" x14ac:dyDescent="0.3">
      <c r="A402" s="5">
        <v>230</v>
      </c>
      <c r="B402" s="5" t="s">
        <v>35</v>
      </c>
      <c r="C402" s="5" t="s">
        <v>42</v>
      </c>
      <c r="D402" s="5" t="s">
        <v>37</v>
      </c>
      <c r="E402" s="5" t="s">
        <v>40</v>
      </c>
      <c r="F402" s="5" t="s">
        <v>40</v>
      </c>
      <c r="G402" s="5" t="s">
        <v>38</v>
      </c>
      <c r="H402" s="6">
        <v>45295</v>
      </c>
      <c r="I402" s="5">
        <v>6.5</v>
      </c>
      <c r="J402" s="5">
        <v>82.6</v>
      </c>
      <c r="K402" s="5">
        <v>8.9</v>
      </c>
      <c r="L402" s="5">
        <v>61.9</v>
      </c>
      <c r="M402" s="5">
        <v>92.8</v>
      </c>
    </row>
    <row r="403" spans="1:13" x14ac:dyDescent="0.3">
      <c r="A403" s="5">
        <v>173</v>
      </c>
      <c r="B403" s="5" t="s">
        <v>44</v>
      </c>
      <c r="C403" s="5" t="s">
        <v>42</v>
      </c>
      <c r="D403" s="5" t="s">
        <v>37</v>
      </c>
      <c r="E403" s="5" t="s">
        <v>37</v>
      </c>
      <c r="F403" s="5" t="s">
        <v>40</v>
      </c>
      <c r="G403" s="5" t="s">
        <v>41</v>
      </c>
      <c r="H403" s="6">
        <v>45605</v>
      </c>
      <c r="I403" s="5">
        <v>2.5</v>
      </c>
      <c r="J403" s="5">
        <v>77.900000000000006</v>
      </c>
      <c r="K403" s="5">
        <v>5.2</v>
      </c>
      <c r="L403" s="5">
        <v>73.599999999999994</v>
      </c>
      <c r="M403" s="5">
        <v>55.3</v>
      </c>
    </row>
    <row r="404" spans="1:13" x14ac:dyDescent="0.3">
      <c r="A404" s="5">
        <v>910</v>
      </c>
      <c r="B404" s="5" t="s">
        <v>35</v>
      </c>
      <c r="C404" s="5" t="s">
        <v>45</v>
      </c>
      <c r="D404" s="5" t="s">
        <v>37</v>
      </c>
      <c r="E404" s="5" t="s">
        <v>40</v>
      </c>
      <c r="F404" s="5" t="s">
        <v>37</v>
      </c>
      <c r="G404" s="5" t="s">
        <v>41</v>
      </c>
      <c r="H404" s="6">
        <v>45146</v>
      </c>
      <c r="I404" s="5">
        <v>0.6</v>
      </c>
      <c r="J404" s="5">
        <v>99.3</v>
      </c>
      <c r="K404" s="5">
        <v>5.3</v>
      </c>
      <c r="L404" s="5">
        <v>58.9</v>
      </c>
      <c r="M404" s="5">
        <v>48.6</v>
      </c>
    </row>
    <row r="405" spans="1:13" x14ac:dyDescent="0.3">
      <c r="A405" s="5">
        <v>396</v>
      </c>
      <c r="B405" s="5" t="s">
        <v>35</v>
      </c>
      <c r="C405" s="5" t="s">
        <v>42</v>
      </c>
      <c r="D405" s="5" t="s">
        <v>37</v>
      </c>
      <c r="E405" s="5" t="s">
        <v>40</v>
      </c>
      <c r="F405" s="5" t="s">
        <v>40</v>
      </c>
      <c r="G405" s="5" t="s">
        <v>38</v>
      </c>
      <c r="H405" s="6">
        <v>45555</v>
      </c>
      <c r="I405" s="5">
        <v>6.4</v>
      </c>
      <c r="J405" s="5">
        <v>71.5</v>
      </c>
      <c r="K405" s="5">
        <v>8.9</v>
      </c>
      <c r="L405" s="5">
        <v>85.2</v>
      </c>
      <c r="M405" s="5">
        <v>95.9</v>
      </c>
    </row>
    <row r="406" spans="1:13" x14ac:dyDescent="0.3">
      <c r="A406" s="5">
        <v>428</v>
      </c>
      <c r="B406" s="5" t="s">
        <v>35</v>
      </c>
      <c r="C406" s="5" t="s">
        <v>45</v>
      </c>
      <c r="D406" s="5" t="s">
        <v>37</v>
      </c>
      <c r="E406" s="5" t="s">
        <v>37</v>
      </c>
      <c r="F406" s="5" t="s">
        <v>40</v>
      </c>
      <c r="G406" s="5" t="s">
        <v>43</v>
      </c>
      <c r="H406" s="6">
        <v>45514</v>
      </c>
      <c r="I406" s="5">
        <v>2.9</v>
      </c>
      <c r="J406" s="5">
        <v>78.7</v>
      </c>
      <c r="K406" s="5">
        <v>7</v>
      </c>
      <c r="L406" s="5">
        <v>77.400000000000006</v>
      </c>
      <c r="M406" s="5">
        <v>71.2</v>
      </c>
    </row>
    <row r="407" spans="1:13" x14ac:dyDescent="0.3">
      <c r="A407" s="5">
        <v>326</v>
      </c>
      <c r="B407" s="5" t="s">
        <v>44</v>
      </c>
      <c r="C407" s="5" t="s">
        <v>36</v>
      </c>
      <c r="D407" s="5" t="s">
        <v>40</v>
      </c>
      <c r="E407" s="5" t="s">
        <v>40</v>
      </c>
      <c r="F407" s="5" t="s">
        <v>40</v>
      </c>
      <c r="G407" s="5" t="s">
        <v>46</v>
      </c>
      <c r="H407" s="6">
        <v>45413</v>
      </c>
      <c r="I407" s="5">
        <v>4.4000000000000004</v>
      </c>
      <c r="J407" s="5">
        <v>72.3</v>
      </c>
      <c r="K407" s="5">
        <v>6.8</v>
      </c>
      <c r="L407" s="5">
        <v>54.3</v>
      </c>
      <c r="M407" s="5">
        <v>64</v>
      </c>
    </row>
    <row r="408" spans="1:13" x14ac:dyDescent="0.3">
      <c r="A408" s="5">
        <v>337</v>
      </c>
      <c r="B408" s="5" t="s">
        <v>44</v>
      </c>
      <c r="C408" s="5" t="s">
        <v>36</v>
      </c>
      <c r="D408" s="5" t="s">
        <v>37</v>
      </c>
      <c r="E408" s="5" t="s">
        <v>37</v>
      </c>
      <c r="F408" s="5" t="s">
        <v>40</v>
      </c>
      <c r="G408" s="5" t="s">
        <v>47</v>
      </c>
      <c r="H408" s="6">
        <v>45094</v>
      </c>
      <c r="I408" s="5">
        <v>3</v>
      </c>
      <c r="J408" s="5">
        <v>83.5</v>
      </c>
      <c r="K408" s="5">
        <v>4.3</v>
      </c>
      <c r="L408" s="5">
        <v>77.400000000000006</v>
      </c>
      <c r="M408" s="5">
        <v>84.5</v>
      </c>
    </row>
    <row r="409" spans="1:13" x14ac:dyDescent="0.3">
      <c r="A409" s="5">
        <v>306</v>
      </c>
      <c r="B409" s="5" t="s">
        <v>35</v>
      </c>
      <c r="C409" s="5" t="s">
        <v>42</v>
      </c>
      <c r="D409" s="5" t="s">
        <v>37</v>
      </c>
      <c r="E409" s="5" t="s">
        <v>37</v>
      </c>
      <c r="F409" s="5" t="s">
        <v>40</v>
      </c>
      <c r="G409" s="5" t="s">
        <v>43</v>
      </c>
      <c r="H409" s="6">
        <v>44985</v>
      </c>
      <c r="I409" s="5">
        <v>0.7</v>
      </c>
      <c r="J409" s="5">
        <v>72.900000000000006</v>
      </c>
      <c r="K409" s="5">
        <v>7.6</v>
      </c>
      <c r="L409" s="5">
        <v>82.9</v>
      </c>
      <c r="M409" s="5">
        <v>74</v>
      </c>
    </row>
    <row r="410" spans="1:13" x14ac:dyDescent="0.3">
      <c r="A410" s="5">
        <v>810</v>
      </c>
      <c r="B410" s="5" t="s">
        <v>44</v>
      </c>
      <c r="C410" s="5" t="s">
        <v>36</v>
      </c>
      <c r="D410" s="5" t="s">
        <v>37</v>
      </c>
      <c r="E410" s="5" t="s">
        <v>37</v>
      </c>
      <c r="F410" s="5" t="s">
        <v>40</v>
      </c>
      <c r="G410" s="5" t="s">
        <v>46</v>
      </c>
      <c r="H410" s="6">
        <v>45314</v>
      </c>
      <c r="I410" s="5">
        <v>3.5</v>
      </c>
      <c r="J410" s="5">
        <v>88.1</v>
      </c>
      <c r="K410" s="5">
        <v>8.4</v>
      </c>
      <c r="L410" s="5">
        <v>39.4</v>
      </c>
      <c r="M410" s="5">
        <v>65.099999999999994</v>
      </c>
    </row>
    <row r="411" spans="1:13" x14ac:dyDescent="0.3">
      <c r="A411" s="5">
        <v>882</v>
      </c>
      <c r="B411" s="5" t="s">
        <v>44</v>
      </c>
      <c r="C411" s="5" t="s">
        <v>42</v>
      </c>
      <c r="D411" s="5" t="s">
        <v>37</v>
      </c>
      <c r="E411" s="5" t="s">
        <v>37</v>
      </c>
      <c r="F411" s="5" t="s">
        <v>37</v>
      </c>
      <c r="G411" s="5" t="s">
        <v>47</v>
      </c>
      <c r="H411" s="6">
        <v>45574</v>
      </c>
      <c r="I411" s="5">
        <v>2.4</v>
      </c>
      <c r="J411" s="5">
        <v>96.7</v>
      </c>
      <c r="K411" s="5">
        <v>7.3</v>
      </c>
      <c r="L411" s="5">
        <v>85.3</v>
      </c>
      <c r="M411" s="5">
        <v>82.3</v>
      </c>
    </row>
    <row r="412" spans="1:13" x14ac:dyDescent="0.3">
      <c r="A412" s="5">
        <v>33</v>
      </c>
      <c r="B412" s="5" t="s">
        <v>35</v>
      </c>
      <c r="C412" s="5"/>
      <c r="D412" s="5" t="s">
        <v>37</v>
      </c>
      <c r="E412" s="5" t="s">
        <v>40</v>
      </c>
      <c r="F412" s="5" t="s">
        <v>40</v>
      </c>
      <c r="G412" s="5" t="s">
        <v>38</v>
      </c>
      <c r="H412" s="6">
        <v>45542</v>
      </c>
      <c r="I412" s="5">
        <v>5.9</v>
      </c>
      <c r="J412" s="5">
        <v>66.8</v>
      </c>
      <c r="K412" s="5">
        <v>6.5</v>
      </c>
      <c r="L412" s="5">
        <v>93.8</v>
      </c>
      <c r="M412" s="5">
        <v>73</v>
      </c>
    </row>
    <row r="413" spans="1:13" x14ac:dyDescent="0.3">
      <c r="A413" s="5">
        <v>537</v>
      </c>
      <c r="B413" s="5" t="s">
        <v>35</v>
      </c>
      <c r="C413" s="5" t="s">
        <v>39</v>
      </c>
      <c r="D413" s="5" t="s">
        <v>37</v>
      </c>
      <c r="E413" s="5" t="s">
        <v>37</v>
      </c>
      <c r="F413" s="5" t="s">
        <v>40</v>
      </c>
      <c r="G413" s="5" t="s">
        <v>41</v>
      </c>
      <c r="H413" s="6">
        <v>45568</v>
      </c>
      <c r="I413" s="5">
        <v>1</v>
      </c>
      <c r="J413" s="5">
        <v>65.400000000000006</v>
      </c>
      <c r="K413" s="5">
        <v>4.5999999999999996</v>
      </c>
      <c r="L413" s="5">
        <v>51.5</v>
      </c>
      <c r="M413" s="5">
        <v>54.9</v>
      </c>
    </row>
    <row r="414" spans="1:13" x14ac:dyDescent="0.3">
      <c r="A414" s="5">
        <v>851</v>
      </c>
      <c r="B414" s="5" t="s">
        <v>44</v>
      </c>
      <c r="C414" s="5" t="s">
        <v>36</v>
      </c>
      <c r="D414" s="5" t="s">
        <v>40</v>
      </c>
      <c r="E414" s="5" t="s">
        <v>40</v>
      </c>
      <c r="F414" s="5" t="s">
        <v>40</v>
      </c>
      <c r="G414" s="5" t="s">
        <v>43</v>
      </c>
      <c r="H414" s="6">
        <v>45220</v>
      </c>
      <c r="I414" s="5">
        <v>3.8</v>
      </c>
      <c r="J414" s="5">
        <v>99.7</v>
      </c>
      <c r="K414" s="5">
        <v>4.9000000000000004</v>
      </c>
      <c r="L414" s="5">
        <v>66.7</v>
      </c>
      <c r="M414" s="5">
        <v>74.2</v>
      </c>
    </row>
    <row r="415" spans="1:13" x14ac:dyDescent="0.3">
      <c r="A415" s="5">
        <v>180</v>
      </c>
      <c r="B415" s="5" t="s">
        <v>35</v>
      </c>
      <c r="C415" s="5" t="s">
        <v>39</v>
      </c>
      <c r="D415" s="5"/>
      <c r="E415" s="5" t="s">
        <v>40</v>
      </c>
      <c r="F415" s="5" t="s">
        <v>37</v>
      </c>
      <c r="G415" s="5" t="s">
        <v>46</v>
      </c>
      <c r="H415" s="6"/>
      <c r="I415" s="5">
        <v>1.9</v>
      </c>
      <c r="J415" s="5">
        <v>65.2</v>
      </c>
      <c r="K415" s="5">
        <v>6.9</v>
      </c>
      <c r="L415" s="5">
        <v>66.099999999999994</v>
      </c>
      <c r="M415" s="5">
        <v>65.099999999999994</v>
      </c>
    </row>
    <row r="416" spans="1:13" x14ac:dyDescent="0.3">
      <c r="A416" s="5">
        <v>838</v>
      </c>
      <c r="B416" s="5" t="s">
        <v>35</v>
      </c>
      <c r="C416" s="5" t="s">
        <v>36</v>
      </c>
      <c r="D416" s="5" t="s">
        <v>40</v>
      </c>
      <c r="E416" s="5" t="s">
        <v>37</v>
      </c>
      <c r="F416" s="5" t="s">
        <v>37</v>
      </c>
      <c r="G416" s="5" t="s">
        <v>43</v>
      </c>
      <c r="H416" s="6">
        <v>45145</v>
      </c>
      <c r="I416" s="5">
        <v>2.4</v>
      </c>
      <c r="J416" s="5">
        <v>72.7</v>
      </c>
      <c r="K416" s="5">
        <v>7.4</v>
      </c>
      <c r="L416" s="5">
        <v>86.3</v>
      </c>
      <c r="M416" s="5">
        <v>72.8</v>
      </c>
    </row>
    <row r="417" spans="1:13" x14ac:dyDescent="0.3">
      <c r="A417" s="5">
        <v>671</v>
      </c>
      <c r="B417" s="5" t="s">
        <v>35</v>
      </c>
      <c r="C417" s="5" t="s">
        <v>45</v>
      </c>
      <c r="D417" s="5" t="s">
        <v>37</v>
      </c>
      <c r="E417" s="5" t="s">
        <v>37</v>
      </c>
      <c r="F417" s="5" t="s">
        <v>40</v>
      </c>
      <c r="G417" s="5" t="s">
        <v>41</v>
      </c>
      <c r="H417" s="6">
        <v>45324</v>
      </c>
      <c r="I417" s="5">
        <v>1.1000000000000001</v>
      </c>
      <c r="J417" s="5">
        <v>74.3</v>
      </c>
      <c r="K417" s="5">
        <v>6.5</v>
      </c>
      <c r="L417" s="5">
        <v>48.5</v>
      </c>
      <c r="M417" s="5">
        <v>54.7</v>
      </c>
    </row>
    <row r="418" spans="1:13" x14ac:dyDescent="0.3">
      <c r="A418" s="5">
        <v>865</v>
      </c>
      <c r="B418" s="5" t="s">
        <v>35</v>
      </c>
      <c r="C418" s="5" t="s">
        <v>36</v>
      </c>
      <c r="D418" s="5"/>
      <c r="E418" s="5" t="s">
        <v>37</v>
      </c>
      <c r="F418" s="5" t="s">
        <v>37</v>
      </c>
      <c r="G418" s="5" t="s">
        <v>43</v>
      </c>
      <c r="H418" s="6">
        <v>45124</v>
      </c>
      <c r="I418" s="5">
        <v>5.3</v>
      </c>
      <c r="J418" s="5">
        <v>73.5</v>
      </c>
      <c r="K418" s="5">
        <v>8.4</v>
      </c>
      <c r="L418" s="5">
        <v>83.3</v>
      </c>
      <c r="M418" s="5">
        <v>78.900000000000006</v>
      </c>
    </row>
    <row r="419" spans="1:13" x14ac:dyDescent="0.3">
      <c r="A419" s="5">
        <v>420</v>
      </c>
      <c r="B419" s="5" t="s">
        <v>44</v>
      </c>
      <c r="C419" s="5" t="s">
        <v>39</v>
      </c>
      <c r="D419" s="5" t="s">
        <v>37</v>
      </c>
      <c r="E419" s="5" t="s">
        <v>37</v>
      </c>
      <c r="F419" s="5" t="s">
        <v>40</v>
      </c>
      <c r="G419" s="5" t="s">
        <v>43</v>
      </c>
      <c r="H419" s="6">
        <v>45310</v>
      </c>
      <c r="I419" s="5">
        <v>1.1000000000000001</v>
      </c>
      <c r="J419" s="5">
        <v>94.3</v>
      </c>
      <c r="K419" s="5">
        <v>8.6999999999999993</v>
      </c>
      <c r="L419" s="5">
        <v>92.6</v>
      </c>
      <c r="M419" s="5">
        <v>78</v>
      </c>
    </row>
    <row r="420" spans="1:13" x14ac:dyDescent="0.3">
      <c r="A420" s="5">
        <v>231</v>
      </c>
      <c r="B420" s="5" t="s">
        <v>44</v>
      </c>
      <c r="C420" s="5" t="s">
        <v>39</v>
      </c>
      <c r="D420" s="5" t="s">
        <v>37</v>
      </c>
      <c r="E420" s="5" t="s">
        <v>40</v>
      </c>
      <c r="F420" s="5" t="s">
        <v>37</v>
      </c>
      <c r="G420" s="5" t="s">
        <v>43</v>
      </c>
      <c r="H420" s="6">
        <v>45147</v>
      </c>
      <c r="I420" s="5">
        <v>3</v>
      </c>
      <c r="J420" s="5">
        <v>83.5</v>
      </c>
      <c r="K420" s="5">
        <v>8.9</v>
      </c>
      <c r="L420" s="5">
        <v>58.5</v>
      </c>
      <c r="M420" s="5">
        <v>77.099999999999994</v>
      </c>
    </row>
    <row r="421" spans="1:13" x14ac:dyDescent="0.3">
      <c r="A421" s="5">
        <v>848</v>
      </c>
      <c r="B421" s="5" t="s">
        <v>35</v>
      </c>
      <c r="C421" s="5" t="s">
        <v>39</v>
      </c>
      <c r="D421" s="5" t="s">
        <v>37</v>
      </c>
      <c r="E421" s="5" t="s">
        <v>37</v>
      </c>
      <c r="F421" s="5" t="s">
        <v>37</v>
      </c>
      <c r="G421" s="5" t="s">
        <v>46</v>
      </c>
      <c r="H421" s="6">
        <v>44973</v>
      </c>
      <c r="I421" s="5">
        <v>2.6</v>
      </c>
      <c r="J421" s="5">
        <v>89.7</v>
      </c>
      <c r="K421" s="5">
        <v>7.5</v>
      </c>
      <c r="L421" s="5">
        <v>54</v>
      </c>
      <c r="M421" s="5">
        <v>63.2</v>
      </c>
    </row>
    <row r="422" spans="1:13" x14ac:dyDescent="0.3">
      <c r="A422" s="5">
        <v>862</v>
      </c>
      <c r="B422" s="5" t="s">
        <v>44</v>
      </c>
      <c r="C422" s="5" t="s">
        <v>45</v>
      </c>
      <c r="D422" s="5" t="s">
        <v>37</v>
      </c>
      <c r="E422" s="5" t="s">
        <v>40</v>
      </c>
      <c r="F422" s="5" t="s">
        <v>40</v>
      </c>
      <c r="G422" s="5" t="s">
        <v>47</v>
      </c>
      <c r="H422" s="6">
        <v>44991</v>
      </c>
      <c r="I422" s="5">
        <v>6.9</v>
      </c>
      <c r="J422" s="5">
        <v>89.2</v>
      </c>
      <c r="K422" s="5">
        <v>4.3</v>
      </c>
      <c r="L422" s="5">
        <v>76</v>
      </c>
      <c r="M422" s="5">
        <v>82.7</v>
      </c>
    </row>
    <row r="423" spans="1:13" x14ac:dyDescent="0.3">
      <c r="A423" s="5">
        <v>104</v>
      </c>
      <c r="B423" s="5" t="s">
        <v>35</v>
      </c>
      <c r="C423" s="5" t="s">
        <v>42</v>
      </c>
      <c r="D423" s="5" t="s">
        <v>37</v>
      </c>
      <c r="E423" s="5" t="s">
        <v>37</v>
      </c>
      <c r="F423" s="5" t="s">
        <v>40</v>
      </c>
      <c r="G423" s="5" t="s">
        <v>46</v>
      </c>
      <c r="H423" s="6"/>
      <c r="I423" s="5">
        <v>2.9</v>
      </c>
      <c r="J423" s="5">
        <v>79.2</v>
      </c>
      <c r="K423" s="5">
        <v>6.5</v>
      </c>
      <c r="L423" s="5">
        <v>42.2</v>
      </c>
      <c r="M423" s="5">
        <v>73</v>
      </c>
    </row>
    <row r="424" spans="1:13" x14ac:dyDescent="0.3">
      <c r="A424" s="5">
        <v>740</v>
      </c>
      <c r="B424" s="5" t="s">
        <v>44</v>
      </c>
      <c r="C424" s="5"/>
      <c r="D424" s="5" t="s">
        <v>37</v>
      </c>
      <c r="E424" s="5" t="s">
        <v>37</v>
      </c>
      <c r="F424" s="5" t="s">
        <v>40</v>
      </c>
      <c r="G424" s="5" t="s">
        <v>46</v>
      </c>
      <c r="H424" s="6">
        <v>45244</v>
      </c>
      <c r="I424" s="5">
        <v>6</v>
      </c>
      <c r="J424" s="5">
        <v>77.900000000000006</v>
      </c>
      <c r="K424" s="5">
        <v>5.6</v>
      </c>
      <c r="L424" s="5">
        <v>43.2</v>
      </c>
      <c r="M424" s="5">
        <v>68.900000000000006</v>
      </c>
    </row>
    <row r="425" spans="1:13" x14ac:dyDescent="0.3">
      <c r="A425" s="5">
        <v>849</v>
      </c>
      <c r="B425" s="5" t="s">
        <v>35</v>
      </c>
      <c r="C425" s="5" t="s">
        <v>39</v>
      </c>
      <c r="D425" s="5"/>
      <c r="E425" s="5" t="s">
        <v>37</v>
      </c>
      <c r="F425" s="5" t="s">
        <v>40</v>
      </c>
      <c r="G425" s="5" t="s">
        <v>46</v>
      </c>
      <c r="H425" s="6">
        <v>45483</v>
      </c>
      <c r="I425" s="5">
        <v>1.9</v>
      </c>
      <c r="J425" s="5">
        <v>83.5</v>
      </c>
      <c r="K425" s="5">
        <v>4.2</v>
      </c>
      <c r="L425" s="5">
        <v>81.599999999999994</v>
      </c>
      <c r="M425" s="5">
        <v>68.599999999999994</v>
      </c>
    </row>
    <row r="426" spans="1:13" x14ac:dyDescent="0.3">
      <c r="A426" s="5">
        <v>132</v>
      </c>
      <c r="B426" s="5" t="s">
        <v>35</v>
      </c>
      <c r="C426" s="5"/>
      <c r="D426" s="5" t="s">
        <v>37</v>
      </c>
      <c r="E426" s="5" t="s">
        <v>40</v>
      </c>
      <c r="F426" s="5" t="s">
        <v>37</v>
      </c>
      <c r="G426" s="5" t="s">
        <v>43</v>
      </c>
      <c r="H426" s="6">
        <v>45649</v>
      </c>
      <c r="I426" s="5">
        <v>1.6</v>
      </c>
      <c r="J426" s="5">
        <v>71.099999999999994</v>
      </c>
      <c r="K426" s="5">
        <v>8.1</v>
      </c>
      <c r="L426" s="5">
        <v>74.2</v>
      </c>
      <c r="M426" s="5">
        <v>71.3</v>
      </c>
    </row>
    <row r="427" spans="1:13" x14ac:dyDescent="0.3">
      <c r="A427" s="5">
        <v>409</v>
      </c>
      <c r="B427" s="5" t="s">
        <v>44</v>
      </c>
      <c r="C427" s="5" t="s">
        <v>36</v>
      </c>
      <c r="D427" s="5" t="s">
        <v>37</v>
      </c>
      <c r="E427" s="5" t="s">
        <v>40</v>
      </c>
      <c r="F427" s="5" t="s">
        <v>37</v>
      </c>
      <c r="G427" s="5" t="s">
        <v>47</v>
      </c>
      <c r="H427" s="6">
        <v>45233</v>
      </c>
      <c r="I427" s="5">
        <v>1.6</v>
      </c>
      <c r="J427" s="5">
        <v>79.900000000000006</v>
      </c>
      <c r="K427" s="5">
        <v>6.4</v>
      </c>
      <c r="L427" s="5">
        <v>92.1</v>
      </c>
      <c r="M427" s="5">
        <v>81</v>
      </c>
    </row>
    <row r="428" spans="1:13" x14ac:dyDescent="0.3">
      <c r="A428" s="5">
        <v>949</v>
      </c>
      <c r="B428" s="5" t="s">
        <v>44</v>
      </c>
      <c r="C428" s="5" t="s">
        <v>36</v>
      </c>
      <c r="D428" s="5"/>
      <c r="E428" s="5" t="s">
        <v>40</v>
      </c>
      <c r="F428" s="5" t="s">
        <v>40</v>
      </c>
      <c r="G428" s="5" t="s">
        <v>47</v>
      </c>
      <c r="H428" s="6">
        <v>45033</v>
      </c>
      <c r="I428" s="5">
        <v>4.7</v>
      </c>
      <c r="J428" s="5">
        <v>93</v>
      </c>
      <c r="K428" s="5">
        <v>6.7</v>
      </c>
      <c r="L428" s="5">
        <v>79.2</v>
      </c>
      <c r="M428" s="5">
        <v>82.8</v>
      </c>
    </row>
    <row r="429" spans="1:13" x14ac:dyDescent="0.3">
      <c r="A429" s="5">
        <v>923</v>
      </c>
      <c r="B429" s="5" t="s">
        <v>44</v>
      </c>
      <c r="C429" s="5" t="s">
        <v>39</v>
      </c>
      <c r="D429" s="5" t="s">
        <v>37</v>
      </c>
      <c r="E429" s="5" t="s">
        <v>37</v>
      </c>
      <c r="F429" s="5" t="s">
        <v>37</v>
      </c>
      <c r="G429" s="5" t="s">
        <v>38</v>
      </c>
      <c r="H429" s="6">
        <v>45324</v>
      </c>
      <c r="I429" s="5">
        <v>6.2</v>
      </c>
      <c r="J429" s="5">
        <v>75.7</v>
      </c>
      <c r="K429" s="5">
        <v>6.1</v>
      </c>
      <c r="L429" s="5">
        <v>67</v>
      </c>
      <c r="M429" s="5">
        <v>99.1</v>
      </c>
    </row>
    <row r="430" spans="1:13" x14ac:dyDescent="0.3">
      <c r="A430" s="5">
        <v>500</v>
      </c>
      <c r="B430" s="5" t="s">
        <v>35</v>
      </c>
      <c r="C430" s="5" t="s">
        <v>42</v>
      </c>
      <c r="D430" s="5" t="s">
        <v>37</v>
      </c>
      <c r="E430" s="5" t="s">
        <v>40</v>
      </c>
      <c r="F430" s="5" t="s">
        <v>37</v>
      </c>
      <c r="G430" s="5" t="s">
        <v>47</v>
      </c>
      <c r="H430" s="6">
        <v>45227</v>
      </c>
      <c r="I430" s="5">
        <v>4.5</v>
      </c>
      <c r="J430" s="5">
        <v>81.099999999999994</v>
      </c>
      <c r="K430" s="5">
        <v>4.7</v>
      </c>
      <c r="L430" s="5">
        <v>80.400000000000006</v>
      </c>
      <c r="M430" s="5">
        <v>85.7</v>
      </c>
    </row>
    <row r="431" spans="1:13" x14ac:dyDescent="0.3">
      <c r="A431" s="5">
        <v>917</v>
      </c>
      <c r="B431" s="5" t="s">
        <v>35</v>
      </c>
      <c r="C431" s="5" t="s">
        <v>39</v>
      </c>
      <c r="D431" s="5" t="s">
        <v>40</v>
      </c>
      <c r="E431" s="5" t="s">
        <v>40</v>
      </c>
      <c r="F431" s="5" t="s">
        <v>40</v>
      </c>
      <c r="G431" s="5" t="s">
        <v>47</v>
      </c>
      <c r="H431" s="6">
        <v>45069</v>
      </c>
      <c r="I431" s="5">
        <v>6.6</v>
      </c>
      <c r="J431" s="5">
        <v>88.3</v>
      </c>
      <c r="K431" s="5">
        <v>8.8000000000000007</v>
      </c>
      <c r="L431" s="5">
        <v>66.75</v>
      </c>
      <c r="M431" s="5">
        <v>80.7</v>
      </c>
    </row>
    <row r="432" spans="1:13" x14ac:dyDescent="0.3">
      <c r="A432" s="5">
        <v>703</v>
      </c>
      <c r="B432" s="5" t="s">
        <v>35</v>
      </c>
      <c r="C432" s="5" t="s">
        <v>45</v>
      </c>
      <c r="D432" s="5" t="s">
        <v>37</v>
      </c>
      <c r="E432" s="5" t="s">
        <v>40</v>
      </c>
      <c r="F432" s="5" t="s">
        <v>40</v>
      </c>
      <c r="G432" s="5" t="s">
        <v>47</v>
      </c>
      <c r="H432" s="6">
        <v>45564</v>
      </c>
      <c r="I432" s="5">
        <v>3.3</v>
      </c>
      <c r="J432" s="5">
        <v>76.8</v>
      </c>
      <c r="K432" s="5">
        <v>4.8</v>
      </c>
      <c r="L432" s="5">
        <v>87.8</v>
      </c>
      <c r="M432" s="5">
        <v>84.7</v>
      </c>
    </row>
    <row r="433" spans="1:13" x14ac:dyDescent="0.3">
      <c r="A433" s="5">
        <v>412</v>
      </c>
      <c r="B433" s="5" t="s">
        <v>44</v>
      </c>
      <c r="C433" s="5" t="s">
        <v>36</v>
      </c>
      <c r="D433" s="5" t="s">
        <v>37</v>
      </c>
      <c r="E433" s="5" t="s">
        <v>40</v>
      </c>
      <c r="F433" s="5" t="s">
        <v>40</v>
      </c>
      <c r="G433" s="5" t="s">
        <v>38</v>
      </c>
      <c r="H433" s="6">
        <v>45651</v>
      </c>
      <c r="I433" s="5">
        <v>3.4</v>
      </c>
      <c r="J433" s="5">
        <v>90.7</v>
      </c>
      <c r="K433" s="5">
        <v>8.3000000000000007</v>
      </c>
      <c r="L433" s="5">
        <v>86.1</v>
      </c>
      <c r="M433" s="5">
        <v>92.1</v>
      </c>
    </row>
    <row r="434" spans="1:13" x14ac:dyDescent="0.3">
      <c r="A434" s="5">
        <v>891</v>
      </c>
      <c r="B434" s="5" t="s">
        <v>44</v>
      </c>
      <c r="C434" s="5" t="s">
        <v>39</v>
      </c>
      <c r="D434" s="5"/>
      <c r="E434" s="5" t="s">
        <v>40</v>
      </c>
      <c r="F434" s="5" t="s">
        <v>37</v>
      </c>
      <c r="G434" s="5" t="s">
        <v>47</v>
      </c>
      <c r="H434" s="6">
        <v>45160</v>
      </c>
      <c r="I434" s="5">
        <v>4.3</v>
      </c>
      <c r="J434" s="5">
        <v>85.7</v>
      </c>
      <c r="K434" s="5">
        <v>5.8</v>
      </c>
      <c r="L434" s="5">
        <v>87</v>
      </c>
      <c r="M434" s="5">
        <v>81.7</v>
      </c>
    </row>
    <row r="435" spans="1:13" x14ac:dyDescent="0.3">
      <c r="A435" s="5">
        <v>897</v>
      </c>
      <c r="B435" s="5" t="s">
        <v>44</v>
      </c>
      <c r="C435" s="5"/>
      <c r="D435" s="5" t="s">
        <v>40</v>
      </c>
      <c r="E435" s="5" t="s">
        <v>37</v>
      </c>
      <c r="F435" s="5" t="s">
        <v>40</v>
      </c>
      <c r="G435" s="5" t="s">
        <v>41</v>
      </c>
      <c r="H435" s="6">
        <v>45053</v>
      </c>
      <c r="I435" s="5">
        <v>4.3</v>
      </c>
      <c r="J435" s="5">
        <v>69.400000000000006</v>
      </c>
      <c r="K435" s="5">
        <v>8.1</v>
      </c>
      <c r="L435" s="5">
        <v>67</v>
      </c>
      <c r="M435" s="5">
        <v>59.4</v>
      </c>
    </row>
    <row r="436" spans="1:13" x14ac:dyDescent="0.3">
      <c r="A436" s="5">
        <v>467</v>
      </c>
      <c r="B436" s="5" t="s">
        <v>44</v>
      </c>
      <c r="C436" s="5" t="s">
        <v>36</v>
      </c>
      <c r="D436" s="5" t="s">
        <v>40</v>
      </c>
      <c r="E436" s="5" t="s">
        <v>40</v>
      </c>
      <c r="F436" s="5" t="s">
        <v>37</v>
      </c>
      <c r="G436" s="5" t="s">
        <v>47</v>
      </c>
      <c r="H436" s="6">
        <v>45254</v>
      </c>
      <c r="I436" s="5">
        <v>5.4</v>
      </c>
      <c r="J436" s="5">
        <v>91.3</v>
      </c>
      <c r="K436" s="5">
        <v>5</v>
      </c>
      <c r="L436" s="5">
        <v>77</v>
      </c>
      <c r="M436" s="5">
        <v>80.400000000000006</v>
      </c>
    </row>
    <row r="437" spans="1:13" x14ac:dyDescent="0.3">
      <c r="A437" s="5">
        <v>769</v>
      </c>
      <c r="B437" s="5" t="s">
        <v>44</v>
      </c>
      <c r="C437" s="5" t="s">
        <v>39</v>
      </c>
      <c r="D437" s="5" t="s">
        <v>37</v>
      </c>
      <c r="E437" s="5" t="s">
        <v>40</v>
      </c>
      <c r="F437" s="5" t="s">
        <v>40</v>
      </c>
      <c r="G437" s="5" t="s">
        <v>43</v>
      </c>
      <c r="H437" s="6">
        <v>45397</v>
      </c>
      <c r="I437" s="5">
        <v>2.1</v>
      </c>
      <c r="J437" s="5">
        <v>90.3</v>
      </c>
      <c r="K437" s="5">
        <v>6.9</v>
      </c>
      <c r="L437" s="5">
        <v>89.3</v>
      </c>
      <c r="M437" s="5">
        <v>73.3</v>
      </c>
    </row>
    <row r="438" spans="1:13" x14ac:dyDescent="0.3">
      <c r="A438" s="5">
        <v>162</v>
      </c>
      <c r="B438" s="5" t="s">
        <v>35</v>
      </c>
      <c r="C438" s="5" t="s">
        <v>39</v>
      </c>
      <c r="D438" s="5" t="s">
        <v>37</v>
      </c>
      <c r="E438" s="5" t="s">
        <v>37</v>
      </c>
      <c r="F438" s="5" t="s">
        <v>40</v>
      </c>
      <c r="G438" s="5" t="s">
        <v>43</v>
      </c>
      <c r="H438" s="6">
        <v>45246</v>
      </c>
      <c r="I438" s="5">
        <v>6.7</v>
      </c>
      <c r="J438" s="5">
        <v>77.2</v>
      </c>
      <c r="K438" s="5">
        <v>4.5</v>
      </c>
      <c r="L438" s="5">
        <v>57.7</v>
      </c>
      <c r="M438" s="5">
        <v>77.3</v>
      </c>
    </row>
    <row r="439" spans="1:13" x14ac:dyDescent="0.3">
      <c r="A439" s="5">
        <v>393</v>
      </c>
      <c r="B439" s="5" t="s">
        <v>35</v>
      </c>
      <c r="C439" s="5" t="s">
        <v>36</v>
      </c>
      <c r="D439" s="5" t="s">
        <v>37</v>
      </c>
      <c r="E439" s="5" t="s">
        <v>37</v>
      </c>
      <c r="F439" s="5" t="s">
        <v>40</v>
      </c>
      <c r="G439" s="5" t="s">
        <v>47</v>
      </c>
      <c r="H439" s="6">
        <v>45207</v>
      </c>
      <c r="I439" s="5">
        <v>5.7</v>
      </c>
      <c r="J439" s="5">
        <v>73</v>
      </c>
      <c r="K439" s="5">
        <v>7</v>
      </c>
      <c r="L439" s="5">
        <v>66.75</v>
      </c>
      <c r="M439" s="5">
        <v>82.2</v>
      </c>
    </row>
    <row r="440" spans="1:13" x14ac:dyDescent="0.3">
      <c r="A440" s="5">
        <v>14</v>
      </c>
      <c r="B440" s="5" t="s">
        <v>44</v>
      </c>
      <c r="C440" s="5" t="s">
        <v>36</v>
      </c>
      <c r="D440" s="5" t="s">
        <v>37</v>
      </c>
      <c r="E440" s="5" t="s">
        <v>40</v>
      </c>
      <c r="F440" s="5" t="s">
        <v>40</v>
      </c>
      <c r="G440" s="5" t="s">
        <v>43</v>
      </c>
      <c r="H440" s="6">
        <v>44988</v>
      </c>
      <c r="I440" s="5">
        <v>3.3</v>
      </c>
      <c r="J440" s="5">
        <v>87</v>
      </c>
      <c r="K440" s="5">
        <v>6.9</v>
      </c>
      <c r="L440" s="5">
        <v>67</v>
      </c>
      <c r="M440" s="5">
        <v>71.7</v>
      </c>
    </row>
    <row r="441" spans="1:13" x14ac:dyDescent="0.3">
      <c r="A441" s="5">
        <v>582</v>
      </c>
      <c r="B441" s="5" t="s">
        <v>44</v>
      </c>
      <c r="C441" s="5"/>
      <c r="D441" s="5" t="s">
        <v>37</v>
      </c>
      <c r="E441" s="5" t="s">
        <v>40</v>
      </c>
      <c r="F441" s="5" t="s">
        <v>40</v>
      </c>
      <c r="G441" s="5" t="s">
        <v>46</v>
      </c>
      <c r="H441" s="6">
        <v>45403</v>
      </c>
      <c r="I441" s="5">
        <v>2.4</v>
      </c>
      <c r="J441" s="5">
        <v>75.7</v>
      </c>
      <c r="K441" s="5">
        <v>6.7</v>
      </c>
      <c r="L441" s="5">
        <v>47.1</v>
      </c>
      <c r="M441" s="5">
        <v>65.7</v>
      </c>
    </row>
    <row r="442" spans="1:13" x14ac:dyDescent="0.3">
      <c r="A442" s="5">
        <v>15</v>
      </c>
      <c r="B442" s="5" t="s">
        <v>44</v>
      </c>
      <c r="C442" s="5" t="s">
        <v>45</v>
      </c>
      <c r="D442" s="5" t="s">
        <v>37</v>
      </c>
      <c r="E442" s="5" t="s">
        <v>37</v>
      </c>
      <c r="F442" s="5" t="s">
        <v>40</v>
      </c>
      <c r="G442" s="5" t="s">
        <v>46</v>
      </c>
      <c r="H442" s="6">
        <v>45602</v>
      </c>
      <c r="I442" s="5">
        <v>1.4</v>
      </c>
      <c r="J442" s="5">
        <v>68.599999999999994</v>
      </c>
      <c r="K442" s="5">
        <v>6.9</v>
      </c>
      <c r="L442" s="5">
        <v>55.8</v>
      </c>
      <c r="M442" s="5">
        <v>60.6</v>
      </c>
    </row>
    <row r="443" spans="1:13" x14ac:dyDescent="0.3">
      <c r="A443" s="5">
        <v>898</v>
      </c>
      <c r="B443" s="5" t="s">
        <v>35</v>
      </c>
      <c r="C443" s="5"/>
      <c r="D443" s="5" t="s">
        <v>40</v>
      </c>
      <c r="E443" s="5" t="s">
        <v>37</v>
      </c>
      <c r="F443" s="5" t="s">
        <v>40</v>
      </c>
      <c r="G443" s="5" t="s">
        <v>46</v>
      </c>
      <c r="H443" s="6"/>
      <c r="I443" s="5">
        <v>2.2000000000000002</v>
      </c>
      <c r="J443" s="5">
        <v>99.7</v>
      </c>
      <c r="K443" s="5">
        <v>4.2</v>
      </c>
      <c r="L443" s="5">
        <v>62.1</v>
      </c>
      <c r="M443" s="5">
        <v>69.400000000000006</v>
      </c>
    </row>
    <row r="444" spans="1:13" x14ac:dyDescent="0.3">
      <c r="A444" s="5">
        <v>701</v>
      </c>
      <c r="B444" s="5" t="s">
        <v>44</v>
      </c>
      <c r="C444" s="5" t="s">
        <v>36</v>
      </c>
      <c r="D444" s="5" t="s">
        <v>37</v>
      </c>
      <c r="E444" s="5" t="s">
        <v>40</v>
      </c>
      <c r="F444" s="5" t="s">
        <v>37</v>
      </c>
      <c r="G444" s="5" t="s">
        <v>43</v>
      </c>
      <c r="H444" s="6">
        <v>45558</v>
      </c>
      <c r="I444" s="5">
        <v>3.7</v>
      </c>
      <c r="J444" s="5">
        <v>86</v>
      </c>
      <c r="K444" s="5">
        <v>5.2</v>
      </c>
      <c r="L444" s="5">
        <v>70.900000000000006</v>
      </c>
      <c r="M444" s="5">
        <v>71.5</v>
      </c>
    </row>
    <row r="445" spans="1:13" x14ac:dyDescent="0.3">
      <c r="A445" s="5">
        <v>841</v>
      </c>
      <c r="B445" s="5" t="s">
        <v>35</v>
      </c>
      <c r="C445" s="5"/>
      <c r="D445" s="5" t="s">
        <v>37</v>
      </c>
      <c r="E445" s="5" t="s">
        <v>40</v>
      </c>
      <c r="F445" s="5" t="s">
        <v>40</v>
      </c>
      <c r="G445" s="5" t="s">
        <v>46</v>
      </c>
      <c r="H445" s="6"/>
      <c r="I445" s="5">
        <v>2.9</v>
      </c>
      <c r="J445" s="5">
        <v>74</v>
      </c>
      <c r="K445" s="5">
        <v>6.5</v>
      </c>
      <c r="L445" s="5">
        <v>57.6</v>
      </c>
      <c r="M445" s="5">
        <v>69.2</v>
      </c>
    </row>
    <row r="446" spans="1:13" x14ac:dyDescent="0.3">
      <c r="A446" s="5">
        <v>154</v>
      </c>
      <c r="B446" s="5" t="s">
        <v>44</v>
      </c>
      <c r="C446" s="5" t="s">
        <v>42</v>
      </c>
      <c r="D446" s="5" t="s">
        <v>40</v>
      </c>
      <c r="E446" s="5" t="s">
        <v>40</v>
      </c>
      <c r="F446" s="5" t="s">
        <v>40</v>
      </c>
      <c r="G446" s="5" t="s">
        <v>46</v>
      </c>
      <c r="H446" s="6">
        <v>44956</v>
      </c>
      <c r="I446" s="5">
        <v>0.7</v>
      </c>
      <c r="J446" s="5">
        <v>83.7</v>
      </c>
      <c r="K446" s="5">
        <v>9</v>
      </c>
      <c r="L446" s="5">
        <v>53.1</v>
      </c>
      <c r="M446" s="5">
        <v>60</v>
      </c>
    </row>
    <row r="447" spans="1:13" x14ac:dyDescent="0.3">
      <c r="A447" s="5">
        <v>938</v>
      </c>
      <c r="B447" s="5" t="s">
        <v>35</v>
      </c>
      <c r="C447" s="5"/>
      <c r="D447" s="5" t="s">
        <v>37</v>
      </c>
      <c r="E447" s="5" t="s">
        <v>37</v>
      </c>
      <c r="F447" s="5" t="s">
        <v>40</v>
      </c>
      <c r="G447" s="5" t="s">
        <v>43</v>
      </c>
      <c r="H447" s="6">
        <v>45622</v>
      </c>
      <c r="I447" s="5">
        <v>1.5</v>
      </c>
      <c r="J447" s="5">
        <v>99.1</v>
      </c>
      <c r="K447" s="5">
        <v>5</v>
      </c>
      <c r="L447" s="5">
        <v>74.3</v>
      </c>
      <c r="M447" s="5">
        <v>71</v>
      </c>
    </row>
    <row r="448" spans="1:13" x14ac:dyDescent="0.3">
      <c r="A448" s="5">
        <v>139</v>
      </c>
      <c r="B448" s="5" t="s">
        <v>44</v>
      </c>
      <c r="C448" s="5" t="s">
        <v>45</v>
      </c>
      <c r="D448" s="5" t="s">
        <v>40</v>
      </c>
      <c r="E448" s="5" t="s">
        <v>40</v>
      </c>
      <c r="F448" s="5" t="s">
        <v>37</v>
      </c>
      <c r="G448" s="5" t="s">
        <v>41</v>
      </c>
      <c r="H448" s="6">
        <v>44999</v>
      </c>
      <c r="I448" s="5">
        <v>4.5</v>
      </c>
      <c r="J448" s="5">
        <v>72.2</v>
      </c>
      <c r="K448" s="5">
        <v>8.4</v>
      </c>
      <c r="L448" s="5">
        <v>41.9</v>
      </c>
      <c r="M448" s="5">
        <v>56.3</v>
      </c>
    </row>
    <row r="449" spans="1:13" x14ac:dyDescent="0.3">
      <c r="A449" s="5">
        <v>23</v>
      </c>
      <c r="B449" s="5" t="s">
        <v>44</v>
      </c>
      <c r="C449" s="5" t="s">
        <v>45</v>
      </c>
      <c r="D449" s="5" t="s">
        <v>37</v>
      </c>
      <c r="E449" s="5" t="s">
        <v>40</v>
      </c>
      <c r="F449" s="5" t="s">
        <v>37</v>
      </c>
      <c r="G449" s="5" t="s">
        <v>47</v>
      </c>
      <c r="H449" s="6">
        <v>45231</v>
      </c>
      <c r="I449" s="5">
        <v>5.6</v>
      </c>
      <c r="J449" s="5">
        <v>99</v>
      </c>
      <c r="K449" s="5">
        <v>6.5</v>
      </c>
      <c r="L449" s="5">
        <v>42.9</v>
      </c>
      <c r="M449" s="5">
        <v>81.8</v>
      </c>
    </row>
    <row r="450" spans="1:13" x14ac:dyDescent="0.3">
      <c r="A450" s="5">
        <v>354</v>
      </c>
      <c r="B450" s="5" t="s">
        <v>35</v>
      </c>
      <c r="C450" s="5"/>
      <c r="D450" s="5" t="s">
        <v>40</v>
      </c>
      <c r="E450" s="5" t="s">
        <v>37</v>
      </c>
      <c r="F450" s="5" t="s">
        <v>37</v>
      </c>
      <c r="G450" s="5" t="s">
        <v>41</v>
      </c>
      <c r="H450" s="6">
        <v>45031</v>
      </c>
      <c r="I450" s="5">
        <v>0.9</v>
      </c>
      <c r="J450" s="5">
        <v>67.8</v>
      </c>
      <c r="K450" s="5">
        <v>7.6</v>
      </c>
      <c r="L450" s="5">
        <v>46.7</v>
      </c>
      <c r="M450" s="5">
        <v>51.6</v>
      </c>
    </row>
    <row r="451" spans="1:13" x14ac:dyDescent="0.3">
      <c r="A451" s="5">
        <v>776</v>
      </c>
      <c r="B451" s="5" t="s">
        <v>35</v>
      </c>
      <c r="C451" s="5" t="s">
        <v>39</v>
      </c>
      <c r="D451" s="5" t="s">
        <v>37</v>
      </c>
      <c r="E451" s="5" t="s">
        <v>40</v>
      </c>
      <c r="F451" s="5" t="s">
        <v>40</v>
      </c>
      <c r="G451" s="5" t="s">
        <v>46</v>
      </c>
      <c r="H451" s="6">
        <v>45212</v>
      </c>
      <c r="I451" s="5">
        <v>3.9</v>
      </c>
      <c r="J451" s="5">
        <v>92.9</v>
      </c>
      <c r="K451" s="5">
        <v>6.5</v>
      </c>
      <c r="L451" s="5">
        <v>79.5</v>
      </c>
      <c r="M451" s="5">
        <v>69.7</v>
      </c>
    </row>
    <row r="452" spans="1:13" x14ac:dyDescent="0.3">
      <c r="A452" s="5">
        <v>274</v>
      </c>
      <c r="B452" s="5" t="s">
        <v>35</v>
      </c>
      <c r="C452" s="5" t="s">
        <v>39</v>
      </c>
      <c r="D452" s="5" t="s">
        <v>37</v>
      </c>
      <c r="E452" s="5" t="s">
        <v>37</v>
      </c>
      <c r="F452" s="5" t="s">
        <v>40</v>
      </c>
      <c r="G452" s="5" t="s">
        <v>43</v>
      </c>
      <c r="H452" s="6">
        <v>45462</v>
      </c>
      <c r="I452" s="5">
        <v>4.9000000000000004</v>
      </c>
      <c r="J452" s="5">
        <v>68.2</v>
      </c>
      <c r="K452" s="5">
        <v>6.5</v>
      </c>
      <c r="L452" s="5">
        <v>70.599999999999994</v>
      </c>
      <c r="M452" s="5">
        <v>73.3</v>
      </c>
    </row>
    <row r="453" spans="1:13" x14ac:dyDescent="0.3">
      <c r="A453" s="5">
        <v>284</v>
      </c>
      <c r="B453" s="5" t="s">
        <v>35</v>
      </c>
      <c r="C453" s="5" t="s">
        <v>42</v>
      </c>
      <c r="D453" s="5" t="s">
        <v>37</v>
      </c>
      <c r="E453" s="5" t="s">
        <v>40</v>
      </c>
      <c r="F453" s="5" t="s">
        <v>37</v>
      </c>
      <c r="G453" s="5" t="s">
        <v>43</v>
      </c>
      <c r="H453" s="6">
        <v>45432</v>
      </c>
      <c r="I453" s="5">
        <v>3.7</v>
      </c>
      <c r="J453" s="5">
        <v>87.5</v>
      </c>
      <c r="K453" s="5">
        <v>6.5</v>
      </c>
      <c r="L453" s="5">
        <v>50.7</v>
      </c>
      <c r="M453" s="5">
        <v>79.900000000000006</v>
      </c>
    </row>
    <row r="454" spans="1:13" x14ac:dyDescent="0.3">
      <c r="A454" s="5">
        <v>840</v>
      </c>
      <c r="B454" s="5" t="s">
        <v>44</v>
      </c>
      <c r="C454" s="5" t="s">
        <v>39</v>
      </c>
      <c r="D454" s="5" t="s">
        <v>37</v>
      </c>
      <c r="E454" s="5" t="s">
        <v>37</v>
      </c>
      <c r="F454" s="5" t="s">
        <v>40</v>
      </c>
      <c r="G454" s="5" t="s">
        <v>47</v>
      </c>
      <c r="H454" s="6">
        <v>44933</v>
      </c>
      <c r="I454" s="5">
        <v>4.7</v>
      </c>
      <c r="J454" s="5">
        <v>98.2</v>
      </c>
      <c r="K454" s="5">
        <v>4.4000000000000004</v>
      </c>
      <c r="L454" s="5">
        <v>89.2</v>
      </c>
      <c r="M454" s="5">
        <v>81.2</v>
      </c>
    </row>
    <row r="455" spans="1:13" x14ac:dyDescent="0.3">
      <c r="A455" s="5">
        <v>92</v>
      </c>
      <c r="B455" s="5" t="s">
        <v>44</v>
      </c>
      <c r="C455" s="5" t="s">
        <v>45</v>
      </c>
      <c r="D455" s="5" t="s">
        <v>37</v>
      </c>
      <c r="E455" s="5" t="s">
        <v>37</v>
      </c>
      <c r="F455" s="5" t="s">
        <v>40</v>
      </c>
      <c r="G455" s="5" t="s">
        <v>46</v>
      </c>
      <c r="H455" s="6">
        <v>45095</v>
      </c>
      <c r="I455" s="5">
        <v>4.8</v>
      </c>
      <c r="J455" s="5">
        <v>94.3</v>
      </c>
      <c r="K455" s="5">
        <v>4.0999999999999996</v>
      </c>
      <c r="L455" s="5">
        <v>50.2</v>
      </c>
      <c r="M455" s="5">
        <v>65.900000000000006</v>
      </c>
    </row>
    <row r="456" spans="1:13" x14ac:dyDescent="0.3">
      <c r="A456" s="5">
        <v>887</v>
      </c>
      <c r="B456" s="5" t="s">
        <v>44</v>
      </c>
      <c r="C456" s="5"/>
      <c r="D456" s="5" t="s">
        <v>37</v>
      </c>
      <c r="E456" s="5" t="s">
        <v>37</v>
      </c>
      <c r="F456" s="5" t="s">
        <v>37</v>
      </c>
      <c r="G456" s="5" t="s">
        <v>47</v>
      </c>
      <c r="H456" s="6">
        <v>45276</v>
      </c>
      <c r="I456" s="5">
        <v>6.1</v>
      </c>
      <c r="J456" s="5">
        <v>66.900000000000006</v>
      </c>
      <c r="K456" s="5">
        <v>5.7</v>
      </c>
      <c r="L456" s="5">
        <v>67</v>
      </c>
      <c r="M456" s="5">
        <v>80.2</v>
      </c>
    </row>
    <row r="457" spans="1:13" x14ac:dyDescent="0.3">
      <c r="A457" s="5">
        <v>218</v>
      </c>
      <c r="B457" s="5" t="s">
        <v>44</v>
      </c>
      <c r="C457" s="5" t="s">
        <v>42</v>
      </c>
      <c r="D457" s="5" t="s">
        <v>37</v>
      </c>
      <c r="E457" s="5" t="s">
        <v>37</v>
      </c>
      <c r="F457" s="5" t="s">
        <v>40</v>
      </c>
      <c r="G457" s="5" t="s">
        <v>41</v>
      </c>
      <c r="H457" s="6"/>
      <c r="I457" s="5">
        <v>1</v>
      </c>
      <c r="J457" s="5">
        <v>94.7</v>
      </c>
      <c r="K457" s="5">
        <v>6.7</v>
      </c>
      <c r="L457" s="5">
        <v>44.2</v>
      </c>
      <c r="M457" s="5">
        <v>49</v>
      </c>
    </row>
    <row r="458" spans="1:13" x14ac:dyDescent="0.3">
      <c r="A458" s="5">
        <v>514</v>
      </c>
      <c r="B458" s="5" t="s">
        <v>35</v>
      </c>
      <c r="C458" s="5" t="s">
        <v>45</v>
      </c>
      <c r="D458" s="5" t="s">
        <v>37</v>
      </c>
      <c r="E458" s="5" t="s">
        <v>40</v>
      </c>
      <c r="F458" s="5" t="s">
        <v>37</v>
      </c>
      <c r="G458" s="5" t="s">
        <v>41</v>
      </c>
      <c r="H458" s="6">
        <v>45164</v>
      </c>
      <c r="I458" s="5">
        <v>1.8</v>
      </c>
      <c r="J458" s="5">
        <v>74.3</v>
      </c>
      <c r="K458" s="5">
        <v>5.4</v>
      </c>
      <c r="L458" s="5">
        <v>66.75</v>
      </c>
      <c r="M458" s="5">
        <v>59.1</v>
      </c>
    </row>
    <row r="459" spans="1:13" x14ac:dyDescent="0.3">
      <c r="A459" s="5">
        <v>525</v>
      </c>
      <c r="B459" s="5" t="s">
        <v>44</v>
      </c>
      <c r="C459" s="5" t="s">
        <v>45</v>
      </c>
      <c r="D459" s="5" t="s">
        <v>40</v>
      </c>
      <c r="E459" s="5" t="s">
        <v>37</v>
      </c>
      <c r="F459" s="5" t="s">
        <v>37</v>
      </c>
      <c r="G459" s="5" t="s">
        <v>38</v>
      </c>
      <c r="H459" s="6">
        <v>45177</v>
      </c>
      <c r="I459" s="5">
        <v>4.4000000000000004</v>
      </c>
      <c r="J459" s="5">
        <v>79.400000000000006</v>
      </c>
      <c r="K459" s="5">
        <v>5.6</v>
      </c>
      <c r="L459" s="5">
        <v>89.6</v>
      </c>
      <c r="M459" s="5">
        <v>98.6</v>
      </c>
    </row>
    <row r="460" spans="1:13" x14ac:dyDescent="0.3">
      <c r="A460" s="5">
        <v>58</v>
      </c>
      <c r="B460" s="5" t="s">
        <v>44</v>
      </c>
      <c r="C460" s="5"/>
      <c r="D460" s="5" t="s">
        <v>37</v>
      </c>
      <c r="E460" s="5" t="s">
        <v>40</v>
      </c>
      <c r="F460" s="5" t="s">
        <v>37</v>
      </c>
      <c r="G460" s="5" t="s">
        <v>41</v>
      </c>
      <c r="H460" s="6">
        <v>45552</v>
      </c>
      <c r="I460" s="5">
        <v>2.5</v>
      </c>
      <c r="J460" s="5">
        <v>83.5</v>
      </c>
      <c r="K460" s="5">
        <v>4.0999999999999996</v>
      </c>
      <c r="L460" s="5">
        <v>44.2</v>
      </c>
      <c r="M460" s="5">
        <v>53.4</v>
      </c>
    </row>
    <row r="461" spans="1:13" x14ac:dyDescent="0.3">
      <c r="A461" s="5">
        <v>360</v>
      </c>
      <c r="B461" s="5" t="s">
        <v>44</v>
      </c>
      <c r="C461" s="5" t="s">
        <v>45</v>
      </c>
      <c r="D461" s="5" t="s">
        <v>37</v>
      </c>
      <c r="E461" s="5" t="s">
        <v>40</v>
      </c>
      <c r="F461" s="5" t="s">
        <v>37</v>
      </c>
      <c r="G461" s="5" t="s">
        <v>46</v>
      </c>
      <c r="H461" s="6">
        <v>45597</v>
      </c>
      <c r="I461" s="5">
        <v>2.8</v>
      </c>
      <c r="J461" s="5">
        <v>76.3</v>
      </c>
      <c r="K461" s="5">
        <v>8.5</v>
      </c>
      <c r="L461" s="5">
        <v>41.9</v>
      </c>
      <c r="M461" s="5">
        <v>69.7</v>
      </c>
    </row>
    <row r="462" spans="1:13" x14ac:dyDescent="0.3">
      <c r="A462" s="5">
        <v>437</v>
      </c>
      <c r="B462" s="5" t="s">
        <v>35</v>
      </c>
      <c r="C462" s="5"/>
      <c r="D462" s="5" t="s">
        <v>37</v>
      </c>
      <c r="E462" s="5" t="s">
        <v>37</v>
      </c>
      <c r="F462" s="5" t="s">
        <v>37</v>
      </c>
      <c r="G462" s="5" t="s">
        <v>46</v>
      </c>
      <c r="H462" s="6">
        <v>45290</v>
      </c>
      <c r="I462" s="5">
        <v>3.7</v>
      </c>
      <c r="J462" s="5">
        <v>74.2</v>
      </c>
      <c r="K462" s="5">
        <v>6.5</v>
      </c>
      <c r="L462" s="5">
        <v>39.4</v>
      </c>
      <c r="M462" s="5">
        <v>63.9</v>
      </c>
    </row>
    <row r="463" spans="1:13" x14ac:dyDescent="0.3">
      <c r="A463" s="5">
        <v>307</v>
      </c>
      <c r="B463" s="5" t="s">
        <v>35</v>
      </c>
      <c r="C463" s="5" t="s">
        <v>36</v>
      </c>
      <c r="D463" s="5" t="s">
        <v>40</v>
      </c>
      <c r="E463" s="5" t="s">
        <v>40</v>
      </c>
      <c r="F463" s="5" t="s">
        <v>37</v>
      </c>
      <c r="G463" s="5" t="s">
        <v>43</v>
      </c>
      <c r="H463" s="6">
        <v>45000</v>
      </c>
      <c r="I463" s="5">
        <v>4.9000000000000004</v>
      </c>
      <c r="J463" s="5">
        <v>83.4</v>
      </c>
      <c r="K463" s="5">
        <v>7.3</v>
      </c>
      <c r="L463" s="5">
        <v>39.299999999999997</v>
      </c>
      <c r="M463" s="5">
        <v>78.400000000000006</v>
      </c>
    </row>
    <row r="464" spans="1:13" x14ac:dyDescent="0.3">
      <c r="A464" s="5">
        <v>894</v>
      </c>
      <c r="B464" s="5" t="s">
        <v>44</v>
      </c>
      <c r="C464" s="5" t="s">
        <v>42</v>
      </c>
      <c r="D464" s="5" t="s">
        <v>40</v>
      </c>
      <c r="E464" s="5" t="s">
        <v>37</v>
      </c>
      <c r="F464" s="5" t="s">
        <v>37</v>
      </c>
      <c r="G464" s="5" t="s">
        <v>43</v>
      </c>
      <c r="H464" s="6">
        <v>45398</v>
      </c>
      <c r="I464" s="5">
        <v>4.3</v>
      </c>
      <c r="J464" s="5">
        <v>75.7</v>
      </c>
      <c r="K464" s="5">
        <v>7.5</v>
      </c>
      <c r="L464" s="5">
        <v>67.599999999999994</v>
      </c>
      <c r="M464" s="5">
        <v>76.599999999999994</v>
      </c>
    </row>
    <row r="465" spans="1:13" x14ac:dyDescent="0.3">
      <c r="A465" s="5">
        <v>576</v>
      </c>
      <c r="B465" s="5" t="s">
        <v>44</v>
      </c>
      <c r="C465" s="5"/>
      <c r="D465" s="5" t="s">
        <v>37</v>
      </c>
      <c r="E465" s="5" t="s">
        <v>37</v>
      </c>
      <c r="F465" s="5" t="s">
        <v>37</v>
      </c>
      <c r="G465" s="5" t="s">
        <v>47</v>
      </c>
      <c r="H465" s="6">
        <v>45424</v>
      </c>
      <c r="I465" s="5">
        <v>3.9</v>
      </c>
      <c r="J465" s="5">
        <v>96.3</v>
      </c>
      <c r="K465" s="5">
        <v>6.9</v>
      </c>
      <c r="L465" s="5">
        <v>75.5</v>
      </c>
      <c r="M465" s="5">
        <v>81.599999999999994</v>
      </c>
    </row>
    <row r="466" spans="1:13" x14ac:dyDescent="0.3">
      <c r="A466" s="5">
        <v>345</v>
      </c>
      <c r="B466" s="5" t="s">
        <v>44</v>
      </c>
      <c r="C466" s="5" t="s">
        <v>39</v>
      </c>
      <c r="D466" s="5" t="s">
        <v>37</v>
      </c>
      <c r="E466" s="5" t="s">
        <v>40</v>
      </c>
      <c r="F466" s="5" t="s">
        <v>37</v>
      </c>
      <c r="G466" s="5" t="s">
        <v>38</v>
      </c>
      <c r="H466" s="6">
        <v>45398</v>
      </c>
      <c r="I466" s="5">
        <v>5.4</v>
      </c>
      <c r="J466" s="5">
        <v>87.4</v>
      </c>
      <c r="K466" s="5">
        <v>7.4</v>
      </c>
      <c r="L466" s="5">
        <v>91.3</v>
      </c>
      <c r="M466" s="5">
        <v>93.7</v>
      </c>
    </row>
    <row r="467" spans="1:13" x14ac:dyDescent="0.3">
      <c r="A467" s="5">
        <v>189</v>
      </c>
      <c r="B467" s="5" t="s">
        <v>44</v>
      </c>
      <c r="C467" s="5" t="s">
        <v>42</v>
      </c>
      <c r="D467" s="5" t="s">
        <v>37</v>
      </c>
      <c r="E467" s="5" t="s">
        <v>40</v>
      </c>
      <c r="F467" s="5" t="s">
        <v>40</v>
      </c>
      <c r="G467" s="5" t="s">
        <v>46</v>
      </c>
      <c r="H467" s="6">
        <v>45597</v>
      </c>
      <c r="I467" s="5">
        <v>1.7</v>
      </c>
      <c r="J467" s="5">
        <v>92.8</v>
      </c>
      <c r="K467" s="5">
        <v>8.8000000000000007</v>
      </c>
      <c r="L467" s="5">
        <v>56.1</v>
      </c>
      <c r="M467" s="5">
        <v>67.5</v>
      </c>
    </row>
    <row r="468" spans="1:13" x14ac:dyDescent="0.3">
      <c r="A468" s="5">
        <v>203</v>
      </c>
      <c r="B468" s="5" t="s">
        <v>35</v>
      </c>
      <c r="C468" s="5" t="s">
        <v>42</v>
      </c>
      <c r="D468" s="5" t="s">
        <v>37</v>
      </c>
      <c r="E468" s="5" t="s">
        <v>37</v>
      </c>
      <c r="F468" s="5" t="s">
        <v>40</v>
      </c>
      <c r="G468" s="5" t="s">
        <v>38</v>
      </c>
      <c r="H468" s="6">
        <v>45627</v>
      </c>
      <c r="I468" s="5">
        <v>3.9</v>
      </c>
      <c r="J468" s="5">
        <v>86.1</v>
      </c>
      <c r="K468" s="5">
        <v>7.7</v>
      </c>
      <c r="L468" s="5">
        <v>90.3</v>
      </c>
      <c r="M468" s="5">
        <v>73</v>
      </c>
    </row>
    <row r="469" spans="1:13" x14ac:dyDescent="0.3">
      <c r="A469" s="5">
        <v>83</v>
      </c>
      <c r="B469" s="5" t="s">
        <v>44</v>
      </c>
      <c r="C469" s="5"/>
      <c r="D469" s="5" t="s">
        <v>37</v>
      </c>
      <c r="E469" s="5" t="s">
        <v>37</v>
      </c>
      <c r="F469" s="5" t="s">
        <v>40</v>
      </c>
      <c r="G469" s="5" t="s">
        <v>43</v>
      </c>
      <c r="H469" s="6">
        <v>45170</v>
      </c>
      <c r="I469" s="5">
        <v>6.1</v>
      </c>
      <c r="J469" s="5">
        <v>65</v>
      </c>
      <c r="K469" s="5">
        <v>6.7</v>
      </c>
      <c r="L469" s="5">
        <v>81.8</v>
      </c>
      <c r="M469" s="5">
        <v>79.2</v>
      </c>
    </row>
    <row r="470" spans="1:13" x14ac:dyDescent="0.3">
      <c r="A470" s="5">
        <v>187</v>
      </c>
      <c r="B470" s="5" t="s">
        <v>35</v>
      </c>
      <c r="C470" s="5" t="s">
        <v>42</v>
      </c>
      <c r="D470" s="5" t="s">
        <v>37</v>
      </c>
      <c r="E470" s="5" t="s">
        <v>37</v>
      </c>
      <c r="F470" s="5" t="s">
        <v>37</v>
      </c>
      <c r="G470" s="5" t="s">
        <v>43</v>
      </c>
      <c r="H470" s="6">
        <v>45474</v>
      </c>
      <c r="I470" s="5">
        <v>6.2</v>
      </c>
      <c r="J470" s="5">
        <v>83.5</v>
      </c>
      <c r="K470" s="5">
        <v>7.7</v>
      </c>
      <c r="L470" s="5">
        <v>66.75</v>
      </c>
      <c r="M470" s="5">
        <v>70</v>
      </c>
    </row>
    <row r="471" spans="1:13" x14ac:dyDescent="0.3">
      <c r="A471" s="5">
        <v>685</v>
      </c>
      <c r="B471" s="5" t="s">
        <v>35</v>
      </c>
      <c r="C471" s="5" t="s">
        <v>42</v>
      </c>
      <c r="D471" s="5" t="s">
        <v>37</v>
      </c>
      <c r="E471" s="5" t="s">
        <v>40</v>
      </c>
      <c r="F471" s="5" t="s">
        <v>40</v>
      </c>
      <c r="G471" s="5" t="s">
        <v>46</v>
      </c>
      <c r="H471" s="6">
        <v>45198</v>
      </c>
      <c r="I471" s="5">
        <v>3.3</v>
      </c>
      <c r="J471" s="5">
        <v>99.7</v>
      </c>
      <c r="K471" s="5">
        <v>7.5</v>
      </c>
      <c r="L471" s="5">
        <v>37.200000000000003</v>
      </c>
      <c r="M471" s="5">
        <v>64</v>
      </c>
    </row>
    <row r="472" spans="1:13" x14ac:dyDescent="0.3">
      <c r="A472" s="5">
        <v>150</v>
      </c>
      <c r="B472" s="5" t="s">
        <v>35</v>
      </c>
      <c r="C472" s="5" t="s">
        <v>39</v>
      </c>
      <c r="D472" s="5" t="s">
        <v>37</v>
      </c>
      <c r="E472" s="5" t="s">
        <v>37</v>
      </c>
      <c r="F472" s="5" t="s">
        <v>40</v>
      </c>
      <c r="G472" s="5" t="s">
        <v>47</v>
      </c>
      <c r="H472" s="6">
        <v>45013</v>
      </c>
      <c r="I472" s="5">
        <v>4.4000000000000004</v>
      </c>
      <c r="J472" s="5">
        <v>79.900000000000006</v>
      </c>
      <c r="K472" s="5">
        <v>5.8</v>
      </c>
      <c r="L472" s="5">
        <v>85.3</v>
      </c>
      <c r="M472" s="5">
        <v>83.7</v>
      </c>
    </row>
    <row r="473" spans="1:13" x14ac:dyDescent="0.3">
      <c r="A473" s="5">
        <v>811</v>
      </c>
      <c r="B473" s="5" t="s">
        <v>35</v>
      </c>
      <c r="C473" s="5" t="s">
        <v>42</v>
      </c>
      <c r="D473" s="5" t="s">
        <v>37</v>
      </c>
      <c r="E473" s="5" t="s">
        <v>40</v>
      </c>
      <c r="F473" s="5" t="s">
        <v>37</v>
      </c>
      <c r="G473" s="5" t="s">
        <v>47</v>
      </c>
      <c r="H473" s="6">
        <v>45378</v>
      </c>
      <c r="I473" s="5">
        <v>3.1</v>
      </c>
      <c r="J473" s="5">
        <v>78.5</v>
      </c>
      <c r="K473" s="5">
        <v>5.4</v>
      </c>
      <c r="L473" s="5">
        <v>45.4</v>
      </c>
      <c r="M473" s="5">
        <v>80</v>
      </c>
    </row>
    <row r="474" spans="1:13" x14ac:dyDescent="0.3">
      <c r="A474" s="5">
        <v>74</v>
      </c>
      <c r="B474" s="5" t="s">
        <v>44</v>
      </c>
      <c r="C474" s="5" t="s">
        <v>45</v>
      </c>
      <c r="D474" s="5" t="s">
        <v>37</v>
      </c>
      <c r="E474" s="5" t="s">
        <v>40</v>
      </c>
      <c r="F474" s="5" t="s">
        <v>40</v>
      </c>
      <c r="G474" s="5" t="s">
        <v>47</v>
      </c>
      <c r="H474" s="6">
        <v>45176</v>
      </c>
      <c r="I474" s="5">
        <v>2.2999999999999998</v>
      </c>
      <c r="J474" s="5">
        <v>96</v>
      </c>
      <c r="K474" s="5">
        <v>4.9000000000000004</v>
      </c>
      <c r="L474" s="5">
        <v>83.4</v>
      </c>
      <c r="M474" s="5">
        <v>85.7</v>
      </c>
    </row>
    <row r="475" spans="1:13" x14ac:dyDescent="0.3">
      <c r="A475" s="5">
        <v>945</v>
      </c>
      <c r="B475" s="5" t="s">
        <v>35</v>
      </c>
      <c r="C475" s="5" t="s">
        <v>45</v>
      </c>
      <c r="D475" s="5" t="s">
        <v>37</v>
      </c>
      <c r="E475" s="5" t="s">
        <v>37</v>
      </c>
      <c r="F475" s="5" t="s">
        <v>40</v>
      </c>
      <c r="G475" s="5" t="s">
        <v>43</v>
      </c>
      <c r="H475" s="6">
        <v>45004</v>
      </c>
      <c r="I475" s="5">
        <v>4.2</v>
      </c>
      <c r="J475" s="5">
        <v>97.5</v>
      </c>
      <c r="K475" s="5">
        <v>4.8</v>
      </c>
      <c r="L475" s="5">
        <v>56.9</v>
      </c>
      <c r="M475" s="5">
        <v>76</v>
      </c>
    </row>
    <row r="476" spans="1:13" x14ac:dyDescent="0.3">
      <c r="A476" s="5">
        <v>486</v>
      </c>
      <c r="B476" s="5" t="s">
        <v>44</v>
      </c>
      <c r="C476" s="5"/>
      <c r="D476" s="5" t="s">
        <v>37</v>
      </c>
      <c r="E476" s="5" t="s">
        <v>40</v>
      </c>
      <c r="F476" s="5" t="s">
        <v>37</v>
      </c>
      <c r="G476" s="5" t="s">
        <v>47</v>
      </c>
      <c r="H476" s="6">
        <v>45308</v>
      </c>
      <c r="I476" s="5">
        <v>5.2</v>
      </c>
      <c r="J476" s="5">
        <v>71.8</v>
      </c>
      <c r="K476" s="5">
        <v>8.5</v>
      </c>
      <c r="L476" s="5">
        <v>48.5</v>
      </c>
      <c r="M476" s="5">
        <v>83.8</v>
      </c>
    </row>
    <row r="477" spans="1:13" x14ac:dyDescent="0.3">
      <c r="A477" s="5">
        <v>515</v>
      </c>
      <c r="B477" s="5" t="s">
        <v>35</v>
      </c>
      <c r="C477" s="5" t="s">
        <v>45</v>
      </c>
      <c r="D477" s="5" t="s">
        <v>37</v>
      </c>
      <c r="E477" s="5" t="s">
        <v>37</v>
      </c>
      <c r="F477" s="5" t="s">
        <v>40</v>
      </c>
      <c r="G477" s="5" t="s">
        <v>46</v>
      </c>
      <c r="H477" s="6">
        <v>44927</v>
      </c>
      <c r="I477" s="5">
        <v>5</v>
      </c>
      <c r="J477" s="5">
        <v>71.2</v>
      </c>
      <c r="K477" s="5">
        <v>5.0999999999999996</v>
      </c>
      <c r="L477" s="5">
        <v>37.299999999999997</v>
      </c>
      <c r="M477" s="5">
        <v>65.400000000000006</v>
      </c>
    </row>
    <row r="478" spans="1:13" x14ac:dyDescent="0.3">
      <c r="A478" s="5">
        <v>69</v>
      </c>
      <c r="B478" s="5" t="s">
        <v>44</v>
      </c>
      <c r="C478" s="5" t="s">
        <v>45</v>
      </c>
      <c r="D478" s="5" t="s">
        <v>37</v>
      </c>
      <c r="E478" s="5" t="s">
        <v>37</v>
      </c>
      <c r="F478" s="5" t="s">
        <v>40</v>
      </c>
      <c r="G478" s="5" t="s">
        <v>47</v>
      </c>
      <c r="H478" s="6">
        <v>44956</v>
      </c>
      <c r="I478" s="5">
        <v>5.3</v>
      </c>
      <c r="J478" s="5">
        <v>91.2</v>
      </c>
      <c r="K478" s="5">
        <v>5.7</v>
      </c>
      <c r="L478" s="5">
        <v>64.400000000000006</v>
      </c>
      <c r="M478" s="5">
        <v>67.7</v>
      </c>
    </row>
    <row r="479" spans="1:13" x14ac:dyDescent="0.3">
      <c r="A479" s="5">
        <v>51</v>
      </c>
      <c r="B479" s="5" t="s">
        <v>44</v>
      </c>
      <c r="C479" s="5" t="s">
        <v>36</v>
      </c>
      <c r="D479" s="5" t="s">
        <v>40</v>
      </c>
      <c r="E479" s="5" t="s">
        <v>40</v>
      </c>
      <c r="F479" s="5" t="s">
        <v>40</v>
      </c>
      <c r="G479" s="5" t="s">
        <v>46</v>
      </c>
      <c r="H479" s="6">
        <v>45261</v>
      </c>
      <c r="I479" s="5">
        <v>1.6</v>
      </c>
      <c r="J479" s="5">
        <v>68.2</v>
      </c>
      <c r="K479" s="5">
        <v>4.9000000000000004</v>
      </c>
      <c r="L479" s="5">
        <v>73.2</v>
      </c>
      <c r="M479" s="5">
        <v>61.6</v>
      </c>
    </row>
    <row r="480" spans="1:13" x14ac:dyDescent="0.3">
      <c r="A480" s="5">
        <v>285</v>
      </c>
      <c r="B480" s="5" t="s">
        <v>35</v>
      </c>
      <c r="C480" s="5"/>
      <c r="D480" s="5"/>
      <c r="E480" s="5" t="s">
        <v>40</v>
      </c>
      <c r="F480" s="5" t="s">
        <v>37</v>
      </c>
      <c r="G480" s="5" t="s">
        <v>47</v>
      </c>
      <c r="H480" s="6">
        <v>45367</v>
      </c>
      <c r="I480" s="5">
        <v>4.5</v>
      </c>
      <c r="J480" s="5">
        <v>88.7</v>
      </c>
      <c r="K480" s="5">
        <v>7.7</v>
      </c>
      <c r="L480" s="5">
        <v>37.5</v>
      </c>
      <c r="M480" s="5">
        <v>81.2</v>
      </c>
    </row>
    <row r="481" spans="1:13" x14ac:dyDescent="0.3">
      <c r="A481" s="5">
        <v>327</v>
      </c>
      <c r="B481" s="5" t="s">
        <v>35</v>
      </c>
      <c r="C481" s="5" t="s">
        <v>45</v>
      </c>
      <c r="D481" s="5" t="s">
        <v>40</v>
      </c>
      <c r="E481" s="5" t="s">
        <v>40</v>
      </c>
      <c r="F481" s="5" t="s">
        <v>37</v>
      </c>
      <c r="G481" s="5" t="s">
        <v>46</v>
      </c>
      <c r="H481" s="6">
        <v>45050</v>
      </c>
      <c r="I481" s="5">
        <v>0.6</v>
      </c>
      <c r="J481" s="5">
        <v>99.5</v>
      </c>
      <c r="K481" s="5">
        <v>5.0999999999999996</v>
      </c>
      <c r="L481" s="5">
        <v>60.1</v>
      </c>
      <c r="M481" s="5">
        <v>64.2</v>
      </c>
    </row>
    <row r="482" spans="1:13" x14ac:dyDescent="0.3">
      <c r="A482" s="5">
        <v>857</v>
      </c>
      <c r="B482" s="5" t="s">
        <v>44</v>
      </c>
      <c r="C482" s="5"/>
      <c r="D482" s="5" t="s">
        <v>37</v>
      </c>
      <c r="E482" s="5" t="s">
        <v>37</v>
      </c>
      <c r="F482" s="5" t="s">
        <v>40</v>
      </c>
      <c r="G482" s="5" t="s">
        <v>46</v>
      </c>
      <c r="H482" s="6">
        <v>45121</v>
      </c>
      <c r="I482" s="5">
        <v>3.1</v>
      </c>
      <c r="J482" s="5">
        <v>95</v>
      </c>
      <c r="K482" s="5">
        <v>6</v>
      </c>
      <c r="L482" s="5">
        <v>44.1</v>
      </c>
      <c r="M482" s="5">
        <v>62.7</v>
      </c>
    </row>
    <row r="483" spans="1:13" x14ac:dyDescent="0.3">
      <c r="A483" s="5">
        <v>746</v>
      </c>
      <c r="B483" s="5" t="s">
        <v>44</v>
      </c>
      <c r="C483" s="5" t="s">
        <v>42</v>
      </c>
      <c r="D483" s="5" t="s">
        <v>37</v>
      </c>
      <c r="E483" s="5" t="s">
        <v>37</v>
      </c>
      <c r="F483" s="5" t="s">
        <v>40</v>
      </c>
      <c r="G483" s="5" t="s">
        <v>46</v>
      </c>
      <c r="H483" s="6">
        <v>45127</v>
      </c>
      <c r="I483" s="5">
        <v>1.3</v>
      </c>
      <c r="J483" s="5">
        <v>79.8</v>
      </c>
      <c r="K483" s="5">
        <v>5.9</v>
      </c>
      <c r="L483" s="5">
        <v>69.7</v>
      </c>
      <c r="M483" s="5">
        <v>64.8</v>
      </c>
    </row>
    <row r="484" spans="1:13" x14ac:dyDescent="0.3">
      <c r="A484" s="5">
        <v>597</v>
      </c>
      <c r="B484" s="5" t="s">
        <v>44</v>
      </c>
      <c r="C484" s="5" t="s">
        <v>45</v>
      </c>
      <c r="D484" s="5" t="s">
        <v>37</v>
      </c>
      <c r="E484" s="5" t="s">
        <v>40</v>
      </c>
      <c r="F484" s="5" t="s">
        <v>40</v>
      </c>
      <c r="G484" s="5" t="s">
        <v>46</v>
      </c>
      <c r="H484" s="6">
        <v>45435</v>
      </c>
      <c r="I484" s="5">
        <v>5.2</v>
      </c>
      <c r="J484" s="5">
        <v>72.599999999999994</v>
      </c>
      <c r="K484" s="5">
        <v>8.1</v>
      </c>
      <c r="L484" s="5">
        <v>46.3</v>
      </c>
      <c r="M484" s="5">
        <v>65</v>
      </c>
    </row>
    <row r="485" spans="1:13" x14ac:dyDescent="0.3">
      <c r="A485" s="5">
        <v>846</v>
      </c>
      <c r="B485" s="5" t="s">
        <v>35</v>
      </c>
      <c r="C485" s="5"/>
      <c r="D485" s="5" t="s">
        <v>40</v>
      </c>
      <c r="E485" s="5" t="s">
        <v>40</v>
      </c>
      <c r="F485" s="5" t="s">
        <v>40</v>
      </c>
      <c r="G485" s="5" t="s">
        <v>43</v>
      </c>
      <c r="H485" s="6">
        <v>44962</v>
      </c>
      <c r="I485" s="5">
        <v>3.2</v>
      </c>
      <c r="J485" s="5">
        <v>66.900000000000006</v>
      </c>
      <c r="K485" s="5">
        <v>8.6999999999999993</v>
      </c>
      <c r="L485" s="5">
        <v>65.5</v>
      </c>
      <c r="M485" s="5">
        <v>78</v>
      </c>
    </row>
    <row r="486" spans="1:13" x14ac:dyDescent="0.3">
      <c r="A486" s="5">
        <v>651</v>
      </c>
      <c r="B486" s="5" t="s">
        <v>35</v>
      </c>
      <c r="C486" s="5" t="s">
        <v>36</v>
      </c>
      <c r="D486" s="5"/>
      <c r="E486" s="5" t="s">
        <v>37</v>
      </c>
      <c r="F486" s="5" t="s">
        <v>40</v>
      </c>
      <c r="G486" s="5" t="s">
        <v>41</v>
      </c>
      <c r="H486" s="6">
        <v>45069</v>
      </c>
      <c r="I486" s="5">
        <v>2.7</v>
      </c>
      <c r="J486" s="5">
        <v>93.9</v>
      </c>
      <c r="K486" s="5">
        <v>7.6</v>
      </c>
      <c r="L486" s="5">
        <v>52.4</v>
      </c>
      <c r="M486" s="5">
        <v>58</v>
      </c>
    </row>
    <row r="487" spans="1:13" x14ac:dyDescent="0.3">
      <c r="A487" s="5">
        <v>946</v>
      </c>
      <c r="B487" s="5" t="s">
        <v>44</v>
      </c>
      <c r="C487" s="5" t="s">
        <v>42</v>
      </c>
      <c r="D487" s="5" t="s">
        <v>37</v>
      </c>
      <c r="E487" s="5" t="s">
        <v>40</v>
      </c>
      <c r="F487" s="5" t="s">
        <v>37</v>
      </c>
      <c r="G487" s="5" t="s">
        <v>43</v>
      </c>
      <c r="H487" s="6">
        <v>45473</v>
      </c>
      <c r="I487" s="5">
        <v>1.4</v>
      </c>
      <c r="J487" s="5">
        <v>94.2</v>
      </c>
      <c r="K487" s="5">
        <v>8.1</v>
      </c>
      <c r="L487" s="5">
        <v>73.5</v>
      </c>
      <c r="M487" s="5">
        <v>73.2</v>
      </c>
    </row>
    <row r="488" spans="1:13" x14ac:dyDescent="0.3">
      <c r="A488" s="5">
        <v>729</v>
      </c>
      <c r="B488" s="5" t="s">
        <v>35</v>
      </c>
      <c r="C488" s="5" t="s">
        <v>39</v>
      </c>
      <c r="D488" s="5" t="s">
        <v>37</v>
      </c>
      <c r="E488" s="5" t="s">
        <v>37</v>
      </c>
      <c r="F488" s="5" t="s">
        <v>40</v>
      </c>
      <c r="G488" s="5" t="s">
        <v>43</v>
      </c>
      <c r="H488" s="6">
        <v>45243</v>
      </c>
      <c r="I488" s="5">
        <v>5</v>
      </c>
      <c r="J488" s="5">
        <v>83.6</v>
      </c>
      <c r="K488" s="5">
        <v>7.2</v>
      </c>
      <c r="L488" s="5">
        <v>61.6</v>
      </c>
      <c r="M488" s="5">
        <v>79.8</v>
      </c>
    </row>
    <row r="489" spans="1:13" x14ac:dyDescent="0.3">
      <c r="A489" s="5">
        <v>135</v>
      </c>
      <c r="B489" s="5" t="s">
        <v>44</v>
      </c>
      <c r="C489" s="5" t="s">
        <v>42</v>
      </c>
      <c r="D489" s="5" t="s">
        <v>37</v>
      </c>
      <c r="E489" s="5" t="s">
        <v>40</v>
      </c>
      <c r="F489" s="5" t="s">
        <v>40</v>
      </c>
      <c r="G489" s="5" t="s">
        <v>47</v>
      </c>
      <c r="H489" s="6">
        <v>45124</v>
      </c>
      <c r="I489" s="5">
        <v>5.4</v>
      </c>
      <c r="J489" s="5">
        <v>93.9</v>
      </c>
      <c r="K489" s="5">
        <v>6.8</v>
      </c>
      <c r="L489" s="5">
        <v>53.9</v>
      </c>
      <c r="M489" s="5">
        <v>85.4</v>
      </c>
    </row>
    <row r="490" spans="1:13" x14ac:dyDescent="0.3">
      <c r="A490" s="5">
        <v>75</v>
      </c>
      <c r="B490" s="5" t="s">
        <v>35</v>
      </c>
      <c r="C490" s="5" t="s">
        <v>45</v>
      </c>
      <c r="D490" s="5" t="s">
        <v>40</v>
      </c>
      <c r="E490" s="5" t="s">
        <v>40</v>
      </c>
      <c r="F490" s="5" t="s">
        <v>40</v>
      </c>
      <c r="G490" s="5" t="s">
        <v>46</v>
      </c>
      <c r="H490" s="6">
        <v>45438</v>
      </c>
      <c r="I490" s="5">
        <v>3.2</v>
      </c>
      <c r="J490" s="5">
        <v>69.8</v>
      </c>
      <c r="K490" s="5">
        <v>6.9</v>
      </c>
      <c r="L490" s="5">
        <v>58.5</v>
      </c>
      <c r="M490" s="5">
        <v>63.8</v>
      </c>
    </row>
    <row r="491" spans="1:13" x14ac:dyDescent="0.3">
      <c r="A491" s="5">
        <v>411</v>
      </c>
      <c r="B491" s="5" t="s">
        <v>44</v>
      </c>
      <c r="C491" s="5" t="s">
        <v>45</v>
      </c>
      <c r="D491" s="5" t="s">
        <v>37</v>
      </c>
      <c r="E491" s="5" t="s">
        <v>40</v>
      </c>
      <c r="F491" s="5" t="s">
        <v>37</v>
      </c>
      <c r="G491" s="5" t="s">
        <v>46</v>
      </c>
      <c r="H491" s="6">
        <v>45426</v>
      </c>
      <c r="I491" s="5">
        <v>3.3</v>
      </c>
      <c r="J491" s="5">
        <v>95.9</v>
      </c>
      <c r="K491" s="5">
        <v>5.2</v>
      </c>
      <c r="L491" s="5">
        <v>44.2</v>
      </c>
      <c r="M491" s="5">
        <v>63.1</v>
      </c>
    </row>
    <row r="492" spans="1:13" x14ac:dyDescent="0.3">
      <c r="A492" s="5">
        <v>679</v>
      </c>
      <c r="B492" s="5" t="s">
        <v>35</v>
      </c>
      <c r="C492" s="5" t="s">
        <v>39</v>
      </c>
      <c r="D492" s="5" t="s">
        <v>37</v>
      </c>
      <c r="E492" s="5" t="s">
        <v>37</v>
      </c>
      <c r="F492" s="5" t="s">
        <v>37</v>
      </c>
      <c r="G492" s="5" t="s">
        <v>41</v>
      </c>
      <c r="H492" s="6">
        <v>45176</v>
      </c>
      <c r="I492" s="5">
        <v>0.5</v>
      </c>
      <c r="J492" s="5">
        <v>67</v>
      </c>
      <c r="K492" s="5">
        <v>5.8</v>
      </c>
      <c r="L492" s="5">
        <v>54.1</v>
      </c>
      <c r="M492" s="5">
        <v>48.3</v>
      </c>
    </row>
    <row r="493" spans="1:13" x14ac:dyDescent="0.3">
      <c r="A493" s="5">
        <v>313</v>
      </c>
      <c r="B493" s="5" t="s">
        <v>44</v>
      </c>
      <c r="C493" s="5" t="s">
        <v>39</v>
      </c>
      <c r="D493" s="5" t="s">
        <v>37</v>
      </c>
      <c r="E493" s="5" t="s">
        <v>40</v>
      </c>
      <c r="F493" s="5" t="s">
        <v>40</v>
      </c>
      <c r="G493" s="5" t="s">
        <v>43</v>
      </c>
      <c r="H493" s="6">
        <v>45133</v>
      </c>
      <c r="I493" s="5">
        <v>5</v>
      </c>
      <c r="J493" s="5">
        <v>66.400000000000006</v>
      </c>
      <c r="K493" s="5">
        <v>4.0999999999999996</v>
      </c>
      <c r="L493" s="5">
        <v>61.1</v>
      </c>
      <c r="M493" s="5">
        <v>72.5</v>
      </c>
    </row>
    <row r="494" spans="1:13" x14ac:dyDescent="0.3">
      <c r="A494" s="5">
        <v>450</v>
      </c>
      <c r="B494" s="5" t="s">
        <v>44</v>
      </c>
      <c r="C494" s="5" t="s">
        <v>39</v>
      </c>
      <c r="D494" s="5" t="s">
        <v>37</v>
      </c>
      <c r="E494" s="5" t="s">
        <v>37</v>
      </c>
      <c r="F494" s="5" t="s">
        <v>37</v>
      </c>
      <c r="G494" s="5" t="s">
        <v>47</v>
      </c>
      <c r="H494" s="6"/>
      <c r="I494" s="5">
        <v>4.8</v>
      </c>
      <c r="J494" s="5">
        <v>84.2</v>
      </c>
      <c r="K494" s="5">
        <v>6.2</v>
      </c>
      <c r="L494" s="5">
        <v>92.2</v>
      </c>
      <c r="M494" s="5">
        <v>85.9</v>
      </c>
    </row>
    <row r="495" spans="1:13" x14ac:dyDescent="0.3">
      <c r="A495" s="5">
        <v>252</v>
      </c>
      <c r="B495" s="5" t="s">
        <v>35</v>
      </c>
      <c r="C495" s="5" t="s">
        <v>42</v>
      </c>
      <c r="D495" s="5" t="s">
        <v>37</v>
      </c>
      <c r="E495" s="5" t="s">
        <v>37</v>
      </c>
      <c r="F495" s="5" t="s">
        <v>40</v>
      </c>
      <c r="G495" s="5" t="s">
        <v>46</v>
      </c>
      <c r="H495" s="6">
        <v>45297</v>
      </c>
      <c r="I495" s="5">
        <v>1.1000000000000001</v>
      </c>
      <c r="J495" s="5">
        <v>82.2</v>
      </c>
      <c r="K495" s="5">
        <v>6.5</v>
      </c>
      <c r="L495" s="5">
        <v>87.2</v>
      </c>
      <c r="M495" s="5">
        <v>66.400000000000006</v>
      </c>
    </row>
    <row r="496" spans="1:13" x14ac:dyDescent="0.3">
      <c r="A496" s="5">
        <v>389</v>
      </c>
      <c r="B496" s="5" t="s">
        <v>44</v>
      </c>
      <c r="C496" s="5" t="s">
        <v>45</v>
      </c>
      <c r="D496" s="5" t="s">
        <v>37</v>
      </c>
      <c r="E496" s="5" t="s">
        <v>40</v>
      </c>
      <c r="F496" s="5" t="s">
        <v>40</v>
      </c>
      <c r="G496" s="5" t="s">
        <v>38</v>
      </c>
      <c r="H496" s="6">
        <v>45397</v>
      </c>
      <c r="I496" s="5">
        <v>6.1</v>
      </c>
      <c r="J496" s="5">
        <v>79.5</v>
      </c>
      <c r="K496" s="5">
        <v>6.7</v>
      </c>
      <c r="L496" s="5">
        <v>69</v>
      </c>
      <c r="M496" s="5">
        <v>100</v>
      </c>
    </row>
    <row r="497" spans="1:13" x14ac:dyDescent="0.3">
      <c r="A497" s="5">
        <v>347</v>
      </c>
      <c r="B497" s="5" t="s">
        <v>35</v>
      </c>
      <c r="C497" s="5"/>
      <c r="D497" s="5" t="s">
        <v>37</v>
      </c>
      <c r="E497" s="5" t="s">
        <v>40</v>
      </c>
      <c r="F497" s="5" t="s">
        <v>40</v>
      </c>
      <c r="G497" s="5" t="s">
        <v>41</v>
      </c>
      <c r="H497" s="6">
        <v>45067</v>
      </c>
      <c r="I497" s="5">
        <v>2.7</v>
      </c>
      <c r="J497" s="5">
        <v>76.599999999999994</v>
      </c>
      <c r="K497" s="5">
        <v>6.3</v>
      </c>
      <c r="L497" s="5">
        <v>42.7</v>
      </c>
      <c r="M497" s="5">
        <v>56.1</v>
      </c>
    </row>
    <row r="498" spans="1:13" x14ac:dyDescent="0.3">
      <c r="A498" s="5">
        <v>319</v>
      </c>
      <c r="B498" s="5" t="s">
        <v>35</v>
      </c>
      <c r="C498" s="5"/>
      <c r="D498" s="5" t="s">
        <v>37</v>
      </c>
      <c r="E498" s="5" t="s">
        <v>40</v>
      </c>
      <c r="F498" s="5" t="s">
        <v>40</v>
      </c>
      <c r="G498" s="5" t="s">
        <v>41</v>
      </c>
      <c r="H498" s="6">
        <v>45380</v>
      </c>
      <c r="I498" s="5">
        <v>3.2</v>
      </c>
      <c r="J498" s="5">
        <v>84.5</v>
      </c>
      <c r="K498" s="5">
        <v>8.6999999999999993</v>
      </c>
      <c r="L498" s="5">
        <v>36.200000000000003</v>
      </c>
      <c r="M498" s="5">
        <v>57.3</v>
      </c>
    </row>
    <row r="499" spans="1:13" x14ac:dyDescent="0.3">
      <c r="A499" s="5">
        <v>136</v>
      </c>
      <c r="B499" s="5" t="s">
        <v>35</v>
      </c>
      <c r="C499" s="5" t="s">
        <v>36</v>
      </c>
      <c r="D499" s="5" t="s">
        <v>40</v>
      </c>
      <c r="E499" s="5" t="s">
        <v>40</v>
      </c>
      <c r="F499" s="5" t="s">
        <v>37</v>
      </c>
      <c r="G499" s="5" t="s">
        <v>43</v>
      </c>
      <c r="H499" s="6">
        <v>45398</v>
      </c>
      <c r="I499" s="5">
        <v>0.9</v>
      </c>
      <c r="J499" s="5">
        <v>65</v>
      </c>
      <c r="K499" s="5">
        <v>5.0999999999999996</v>
      </c>
      <c r="L499" s="5">
        <v>88.4</v>
      </c>
      <c r="M499" s="5">
        <v>70.599999999999994</v>
      </c>
    </row>
    <row r="500" spans="1:13" x14ac:dyDescent="0.3">
      <c r="A500" s="5">
        <v>36</v>
      </c>
      <c r="B500" s="5" t="s">
        <v>44</v>
      </c>
      <c r="C500" s="5" t="s">
        <v>45</v>
      </c>
      <c r="D500" s="5" t="s">
        <v>40</v>
      </c>
      <c r="E500" s="5" t="s">
        <v>40</v>
      </c>
      <c r="F500" s="5" t="s">
        <v>37</v>
      </c>
      <c r="G500" s="5" t="s">
        <v>38</v>
      </c>
      <c r="H500" s="6">
        <v>45278</v>
      </c>
      <c r="I500" s="5">
        <v>5</v>
      </c>
      <c r="J500" s="5">
        <v>83.5</v>
      </c>
      <c r="K500" s="5">
        <v>8.6999999999999993</v>
      </c>
      <c r="L500" s="5">
        <v>67.099999999999994</v>
      </c>
      <c r="M500" s="5">
        <v>92.7</v>
      </c>
    </row>
    <row r="501" spans="1:13" x14ac:dyDescent="0.3">
      <c r="A501" s="5">
        <v>504</v>
      </c>
      <c r="B501" s="5" t="s">
        <v>44</v>
      </c>
      <c r="C501" s="5" t="s">
        <v>39</v>
      </c>
      <c r="D501" s="5" t="s">
        <v>37</v>
      </c>
      <c r="E501" s="5" t="s">
        <v>37</v>
      </c>
      <c r="F501" s="5" t="s">
        <v>40</v>
      </c>
      <c r="G501" s="5" t="s">
        <v>41</v>
      </c>
      <c r="H501" s="6">
        <v>45649</v>
      </c>
      <c r="I501" s="5">
        <v>1.4</v>
      </c>
      <c r="J501" s="5">
        <v>83.5</v>
      </c>
      <c r="K501" s="5">
        <v>4.2</v>
      </c>
      <c r="L501" s="5">
        <v>56.3</v>
      </c>
      <c r="M501" s="5">
        <v>55.9</v>
      </c>
    </row>
    <row r="502" spans="1:13" x14ac:dyDescent="0.3">
      <c r="A502" s="5">
        <v>169</v>
      </c>
      <c r="B502" s="5" t="s">
        <v>35</v>
      </c>
      <c r="C502" s="5" t="s">
        <v>45</v>
      </c>
      <c r="D502" s="5" t="s">
        <v>37</v>
      </c>
      <c r="E502" s="5" t="s">
        <v>37</v>
      </c>
      <c r="F502" s="5" t="s">
        <v>40</v>
      </c>
      <c r="G502" s="5" t="s">
        <v>43</v>
      </c>
      <c r="H502" s="6">
        <v>45139</v>
      </c>
      <c r="I502" s="5">
        <v>1.2</v>
      </c>
      <c r="J502" s="5">
        <v>98.5</v>
      </c>
      <c r="K502" s="5">
        <v>4.8</v>
      </c>
      <c r="L502" s="5">
        <v>88</v>
      </c>
      <c r="M502" s="5">
        <v>72.400000000000006</v>
      </c>
    </row>
    <row r="503" spans="1:13" x14ac:dyDescent="0.3">
      <c r="A503" s="5">
        <v>417</v>
      </c>
      <c r="B503" s="5" t="s">
        <v>35</v>
      </c>
      <c r="C503" s="5" t="s">
        <v>42</v>
      </c>
      <c r="D503" s="5" t="s">
        <v>37</v>
      </c>
      <c r="E503" s="5" t="s">
        <v>37</v>
      </c>
      <c r="F503" s="5" t="s">
        <v>40</v>
      </c>
      <c r="G503" s="5" t="s">
        <v>46</v>
      </c>
      <c r="H503" s="6">
        <v>45130</v>
      </c>
      <c r="I503" s="5">
        <v>5.4</v>
      </c>
      <c r="J503" s="5">
        <v>81.3</v>
      </c>
      <c r="K503" s="5">
        <v>5.7</v>
      </c>
      <c r="L503" s="5">
        <v>44.9</v>
      </c>
      <c r="M503" s="5">
        <v>60.1</v>
      </c>
    </row>
    <row r="504" spans="1:13" x14ac:dyDescent="0.3">
      <c r="A504" s="5">
        <v>336</v>
      </c>
      <c r="B504" s="5" t="s">
        <v>44</v>
      </c>
      <c r="C504" s="5" t="s">
        <v>45</v>
      </c>
      <c r="D504" s="5" t="s">
        <v>37</v>
      </c>
      <c r="E504" s="5" t="s">
        <v>37</v>
      </c>
      <c r="F504" s="5" t="s">
        <v>37</v>
      </c>
      <c r="G504" s="5" t="s">
        <v>43</v>
      </c>
      <c r="H504" s="6">
        <v>45156</v>
      </c>
      <c r="I504" s="5">
        <v>3.1</v>
      </c>
      <c r="J504" s="5">
        <v>91</v>
      </c>
      <c r="K504" s="5">
        <v>25</v>
      </c>
      <c r="L504" s="5">
        <v>51</v>
      </c>
      <c r="M504" s="5">
        <v>74.099999999999994</v>
      </c>
    </row>
    <row r="505" spans="1:13" x14ac:dyDescent="0.3">
      <c r="A505" s="5">
        <v>577</v>
      </c>
      <c r="B505" s="5" t="s">
        <v>44</v>
      </c>
      <c r="C505" s="5" t="s">
        <v>39</v>
      </c>
      <c r="D505" s="5" t="s">
        <v>37</v>
      </c>
      <c r="E505" s="5" t="s">
        <v>40</v>
      </c>
      <c r="F505" s="5" t="s">
        <v>37</v>
      </c>
      <c r="G505" s="5" t="s">
        <v>46</v>
      </c>
      <c r="H505" s="6">
        <v>45114</v>
      </c>
      <c r="I505" s="5">
        <v>3.4</v>
      </c>
      <c r="J505" s="5">
        <v>77.099999999999994</v>
      </c>
      <c r="K505" s="5">
        <v>7.8</v>
      </c>
      <c r="L505" s="5">
        <v>45.2</v>
      </c>
      <c r="M505" s="5">
        <v>60.1</v>
      </c>
    </row>
    <row r="506" spans="1:13" x14ac:dyDescent="0.3">
      <c r="A506" s="5">
        <v>702</v>
      </c>
      <c r="B506" s="5" t="s">
        <v>35</v>
      </c>
      <c r="C506" s="5" t="s">
        <v>39</v>
      </c>
      <c r="D506" s="5" t="s">
        <v>37</v>
      </c>
      <c r="E506" s="5" t="s">
        <v>37</v>
      </c>
      <c r="F506" s="5" t="s">
        <v>40</v>
      </c>
      <c r="G506" s="5" t="s">
        <v>46</v>
      </c>
      <c r="H506" s="6">
        <v>45626</v>
      </c>
      <c r="I506" s="5">
        <v>4.3</v>
      </c>
      <c r="J506" s="5">
        <v>79.099999999999994</v>
      </c>
      <c r="K506" s="5">
        <v>6.5</v>
      </c>
      <c r="L506" s="5">
        <v>63.2</v>
      </c>
      <c r="M506" s="5">
        <v>65.099999999999994</v>
      </c>
    </row>
    <row r="507" spans="1:13" x14ac:dyDescent="0.3">
      <c r="A507" s="5">
        <v>768</v>
      </c>
      <c r="B507" s="5" t="s">
        <v>35</v>
      </c>
      <c r="C507" s="5" t="s">
        <v>36</v>
      </c>
      <c r="D507" s="5" t="s">
        <v>37</v>
      </c>
      <c r="E507" s="5" t="s">
        <v>37</v>
      </c>
      <c r="F507" s="5" t="s">
        <v>37</v>
      </c>
      <c r="G507" s="5" t="s">
        <v>47</v>
      </c>
      <c r="H507" s="6">
        <v>45050</v>
      </c>
      <c r="I507" s="5">
        <v>5.6</v>
      </c>
      <c r="J507" s="5">
        <v>79.7</v>
      </c>
      <c r="K507" s="5">
        <v>6.5</v>
      </c>
      <c r="L507" s="5">
        <v>89.7</v>
      </c>
      <c r="M507" s="5">
        <v>86.8</v>
      </c>
    </row>
    <row r="508" spans="1:13" x14ac:dyDescent="0.3">
      <c r="A508" s="5">
        <v>268</v>
      </c>
      <c r="B508" s="5" t="s">
        <v>35</v>
      </c>
      <c r="C508" s="5" t="s">
        <v>42</v>
      </c>
      <c r="D508" s="5" t="s">
        <v>37</v>
      </c>
      <c r="E508" s="5" t="s">
        <v>40</v>
      </c>
      <c r="F508" s="5" t="s">
        <v>40</v>
      </c>
      <c r="G508" s="5" t="s">
        <v>47</v>
      </c>
      <c r="H508" s="6">
        <v>45638</v>
      </c>
      <c r="I508" s="5">
        <v>2.4</v>
      </c>
      <c r="J508" s="5">
        <v>76.5</v>
      </c>
      <c r="K508" s="5">
        <v>8.6999999999999993</v>
      </c>
      <c r="L508" s="5">
        <v>67.2</v>
      </c>
      <c r="M508" s="5">
        <v>86</v>
      </c>
    </row>
    <row r="509" spans="1:13" x14ac:dyDescent="0.3">
      <c r="A509" s="5">
        <v>216</v>
      </c>
      <c r="B509" s="5" t="s">
        <v>35</v>
      </c>
      <c r="C509" s="5" t="s">
        <v>45</v>
      </c>
      <c r="D509" s="5" t="s">
        <v>37</v>
      </c>
      <c r="E509" s="5" t="s">
        <v>37</v>
      </c>
      <c r="F509" s="5" t="s">
        <v>40</v>
      </c>
      <c r="G509" s="5" t="s">
        <v>43</v>
      </c>
      <c r="H509" s="6">
        <v>45055</v>
      </c>
      <c r="I509" s="5">
        <v>0.8</v>
      </c>
      <c r="J509" s="5">
        <v>72.8</v>
      </c>
      <c r="K509" s="5">
        <v>6.3</v>
      </c>
      <c r="L509" s="5">
        <v>90.5</v>
      </c>
      <c r="M509" s="5">
        <v>72.5</v>
      </c>
    </row>
    <row r="510" spans="1:13" x14ac:dyDescent="0.3">
      <c r="A510" s="5">
        <v>109</v>
      </c>
      <c r="B510" s="5" t="s">
        <v>35</v>
      </c>
      <c r="C510" s="5" t="s">
        <v>36</v>
      </c>
      <c r="D510" s="5" t="s">
        <v>37</v>
      </c>
      <c r="E510" s="5" t="s">
        <v>40</v>
      </c>
      <c r="F510" s="5" t="s">
        <v>40</v>
      </c>
      <c r="G510" s="5" t="s">
        <v>46</v>
      </c>
      <c r="H510" s="6">
        <v>45648</v>
      </c>
      <c r="I510" s="5">
        <v>3.5</v>
      </c>
      <c r="J510" s="5">
        <v>79</v>
      </c>
      <c r="K510" s="5">
        <v>6.7</v>
      </c>
      <c r="L510" s="5">
        <v>79.5</v>
      </c>
      <c r="M510" s="5">
        <v>66.400000000000006</v>
      </c>
    </row>
    <row r="511" spans="1:13" x14ac:dyDescent="0.3">
      <c r="A511" s="5">
        <v>886</v>
      </c>
      <c r="B511" s="5" t="s">
        <v>44</v>
      </c>
      <c r="C511" s="5" t="s">
        <v>39</v>
      </c>
      <c r="D511" s="5" t="s">
        <v>40</v>
      </c>
      <c r="E511" s="5" t="s">
        <v>40</v>
      </c>
      <c r="F511" s="5" t="s">
        <v>40</v>
      </c>
      <c r="G511" s="5" t="s">
        <v>43</v>
      </c>
      <c r="H511" s="6">
        <v>45413</v>
      </c>
      <c r="I511" s="5">
        <v>5.5</v>
      </c>
      <c r="J511" s="5">
        <v>72.099999999999994</v>
      </c>
      <c r="K511" s="5">
        <v>8.6999999999999993</v>
      </c>
      <c r="L511" s="5">
        <v>68.7</v>
      </c>
      <c r="M511" s="5">
        <v>78.8</v>
      </c>
    </row>
    <row r="512" spans="1:13" x14ac:dyDescent="0.3">
      <c r="A512" s="5">
        <v>560</v>
      </c>
      <c r="B512" s="5" t="s">
        <v>44</v>
      </c>
      <c r="C512" s="5" t="s">
        <v>45</v>
      </c>
      <c r="D512" s="5" t="s">
        <v>37</v>
      </c>
      <c r="E512" s="5" t="s">
        <v>40</v>
      </c>
      <c r="F512" s="5" t="s">
        <v>37</v>
      </c>
      <c r="G512" s="5" t="s">
        <v>47</v>
      </c>
      <c r="H512" s="6">
        <v>45533</v>
      </c>
      <c r="I512" s="5">
        <v>3.1</v>
      </c>
      <c r="J512" s="5">
        <v>73.599999999999994</v>
      </c>
      <c r="K512" s="5">
        <v>9</v>
      </c>
      <c r="L512" s="5">
        <v>93.8</v>
      </c>
      <c r="M512" s="5">
        <v>89.5</v>
      </c>
    </row>
    <row r="513" spans="1:13" x14ac:dyDescent="0.3">
      <c r="A513" s="5">
        <v>114</v>
      </c>
      <c r="B513" s="5" t="s">
        <v>44</v>
      </c>
      <c r="C513" s="5" t="s">
        <v>45</v>
      </c>
      <c r="D513" s="5" t="s">
        <v>37</v>
      </c>
      <c r="E513" s="5" t="s">
        <v>37</v>
      </c>
      <c r="F513" s="5" t="s">
        <v>40</v>
      </c>
      <c r="G513" s="5" t="s">
        <v>38</v>
      </c>
      <c r="H513" s="6">
        <v>45147</v>
      </c>
      <c r="I513" s="5">
        <v>5.4</v>
      </c>
      <c r="J513" s="5">
        <v>99.7</v>
      </c>
      <c r="K513" s="5">
        <v>6.7</v>
      </c>
      <c r="L513" s="5">
        <v>57</v>
      </c>
      <c r="M513" s="5">
        <v>90.5</v>
      </c>
    </row>
    <row r="514" spans="1:13" x14ac:dyDescent="0.3">
      <c r="A514" s="5">
        <v>783</v>
      </c>
      <c r="B514" s="5" t="s">
        <v>44</v>
      </c>
      <c r="C514" s="5" t="s">
        <v>45</v>
      </c>
      <c r="D514" s="5" t="s">
        <v>37</v>
      </c>
      <c r="E514" s="5" t="s">
        <v>37</v>
      </c>
      <c r="F514" s="5" t="s">
        <v>37</v>
      </c>
      <c r="G514" s="5" t="s">
        <v>43</v>
      </c>
      <c r="H514" s="6">
        <v>45051</v>
      </c>
      <c r="I514" s="5">
        <v>6.1</v>
      </c>
      <c r="J514" s="5">
        <v>69.900000000000006</v>
      </c>
      <c r="K514" s="5">
        <v>6.9</v>
      </c>
      <c r="L514" s="5">
        <v>51.4</v>
      </c>
      <c r="M514" s="5">
        <v>70.5</v>
      </c>
    </row>
    <row r="515" spans="1:13" x14ac:dyDescent="0.3">
      <c r="A515" s="5">
        <v>422</v>
      </c>
      <c r="B515" s="5" t="s">
        <v>44</v>
      </c>
      <c r="C515" s="5" t="s">
        <v>36</v>
      </c>
      <c r="D515" s="5" t="s">
        <v>37</v>
      </c>
      <c r="E515" s="5" t="s">
        <v>37</v>
      </c>
      <c r="F515" s="5" t="s">
        <v>37</v>
      </c>
      <c r="G515" s="5" t="s">
        <v>41</v>
      </c>
      <c r="H515" s="6">
        <v>45155</v>
      </c>
      <c r="I515" s="5">
        <v>3.2</v>
      </c>
      <c r="J515" s="5">
        <v>74.599999999999994</v>
      </c>
      <c r="K515" s="5">
        <v>4.0999999999999996</v>
      </c>
      <c r="L515" s="5">
        <v>36.200000000000003</v>
      </c>
      <c r="M515" s="5">
        <v>56.7</v>
      </c>
    </row>
    <row r="516" spans="1:13" x14ac:dyDescent="0.3">
      <c r="A516" s="5">
        <v>521</v>
      </c>
      <c r="B516" s="5" t="s">
        <v>35</v>
      </c>
      <c r="C516" s="5" t="s">
        <v>45</v>
      </c>
      <c r="D516" s="5" t="s">
        <v>37</v>
      </c>
      <c r="E516" s="5" t="s">
        <v>37</v>
      </c>
      <c r="F516" s="5" t="s">
        <v>40</v>
      </c>
      <c r="G516" s="5" t="s">
        <v>47</v>
      </c>
      <c r="H516" s="6">
        <v>45219</v>
      </c>
      <c r="I516" s="5">
        <v>5.2</v>
      </c>
      <c r="J516" s="5">
        <v>94.9</v>
      </c>
      <c r="K516" s="5">
        <v>6</v>
      </c>
      <c r="L516" s="5">
        <v>66.5</v>
      </c>
      <c r="M516" s="5">
        <v>85.2</v>
      </c>
    </row>
    <row r="517" spans="1:13" x14ac:dyDescent="0.3">
      <c r="A517" s="5">
        <v>950</v>
      </c>
      <c r="B517" s="5" t="s">
        <v>35</v>
      </c>
      <c r="C517" s="5" t="s">
        <v>39</v>
      </c>
      <c r="D517" s="5" t="s">
        <v>37</v>
      </c>
      <c r="E517" s="5" t="s">
        <v>40</v>
      </c>
      <c r="F517" s="5" t="s">
        <v>37</v>
      </c>
      <c r="G517" s="5" t="s">
        <v>47</v>
      </c>
      <c r="H517" s="6">
        <v>45230</v>
      </c>
      <c r="I517" s="5">
        <v>2.5</v>
      </c>
      <c r="J517" s="5">
        <v>73.5</v>
      </c>
      <c r="K517" s="5">
        <v>8.3000000000000007</v>
      </c>
      <c r="L517" s="5">
        <v>88.9</v>
      </c>
      <c r="M517" s="5">
        <v>82.6</v>
      </c>
    </row>
    <row r="518" spans="1:13" x14ac:dyDescent="0.3">
      <c r="A518" s="5">
        <v>276</v>
      </c>
      <c r="B518" s="5" t="s">
        <v>44</v>
      </c>
      <c r="C518" s="5" t="s">
        <v>45</v>
      </c>
      <c r="D518" s="5" t="s">
        <v>37</v>
      </c>
      <c r="E518" s="5" t="s">
        <v>37</v>
      </c>
      <c r="F518" s="5" t="s">
        <v>40</v>
      </c>
      <c r="G518" s="5" t="s">
        <v>43</v>
      </c>
      <c r="H518" s="6"/>
      <c r="I518" s="5">
        <v>6.6</v>
      </c>
      <c r="J518" s="5">
        <v>82.7</v>
      </c>
      <c r="K518" s="5">
        <v>5.2</v>
      </c>
      <c r="L518" s="5">
        <v>58</v>
      </c>
      <c r="M518" s="5">
        <v>79.599999999999994</v>
      </c>
    </row>
    <row r="519" spans="1:13" x14ac:dyDescent="0.3">
      <c r="A519" s="5">
        <v>202</v>
      </c>
      <c r="B519" s="5" t="s">
        <v>35</v>
      </c>
      <c r="C519" s="5" t="s">
        <v>36</v>
      </c>
      <c r="D519" s="5" t="s">
        <v>37</v>
      </c>
      <c r="E519" s="5" t="s">
        <v>40</v>
      </c>
      <c r="F519" s="5" t="s">
        <v>40</v>
      </c>
      <c r="G519" s="5" t="s">
        <v>43</v>
      </c>
      <c r="H519" s="6">
        <v>45271</v>
      </c>
      <c r="I519" s="5">
        <v>2</v>
      </c>
      <c r="J519" s="5">
        <v>94</v>
      </c>
      <c r="K519" s="5">
        <v>6.7</v>
      </c>
      <c r="L519" s="5">
        <v>72.2</v>
      </c>
      <c r="M519" s="5">
        <v>73</v>
      </c>
    </row>
    <row r="520" spans="1:13" x14ac:dyDescent="0.3">
      <c r="A520" s="5">
        <v>767</v>
      </c>
      <c r="B520" s="5" t="s">
        <v>44</v>
      </c>
      <c r="C520" s="5" t="s">
        <v>36</v>
      </c>
      <c r="D520" s="5" t="s">
        <v>40</v>
      </c>
      <c r="E520" s="5" t="s">
        <v>40</v>
      </c>
      <c r="F520" s="5" t="s">
        <v>40</v>
      </c>
      <c r="G520" s="5" t="s">
        <v>47</v>
      </c>
      <c r="H520" s="6">
        <v>45182</v>
      </c>
      <c r="I520" s="5">
        <v>4.8</v>
      </c>
      <c r="J520" s="5">
        <v>90.9</v>
      </c>
      <c r="K520" s="5">
        <v>7.7</v>
      </c>
      <c r="L520" s="5">
        <v>51.8</v>
      </c>
      <c r="M520" s="5">
        <v>81.8</v>
      </c>
    </row>
    <row r="521" spans="1:13" x14ac:dyDescent="0.3">
      <c r="A521" s="5">
        <v>123</v>
      </c>
      <c r="B521" s="5" t="s">
        <v>44</v>
      </c>
      <c r="C521" s="5" t="s">
        <v>45</v>
      </c>
      <c r="D521" s="5" t="s">
        <v>37</v>
      </c>
      <c r="E521" s="5" t="s">
        <v>40</v>
      </c>
      <c r="F521" s="5" t="s">
        <v>37</v>
      </c>
      <c r="G521" s="5" t="s">
        <v>47</v>
      </c>
      <c r="H521" s="6">
        <v>45011</v>
      </c>
      <c r="I521" s="5">
        <v>5.7</v>
      </c>
      <c r="J521" s="5">
        <v>94.4</v>
      </c>
      <c r="K521" s="5">
        <v>4.7</v>
      </c>
      <c r="L521" s="5">
        <v>94.9</v>
      </c>
      <c r="M521" s="5">
        <v>86.4</v>
      </c>
    </row>
    <row r="522" spans="1:13" x14ac:dyDescent="0.3">
      <c r="A522" s="5">
        <v>191</v>
      </c>
      <c r="B522" s="5" t="s">
        <v>44</v>
      </c>
      <c r="C522" s="5" t="s">
        <v>39</v>
      </c>
      <c r="D522" s="5" t="s">
        <v>37</v>
      </c>
      <c r="E522" s="5" t="s">
        <v>37</v>
      </c>
      <c r="F522" s="5" t="s">
        <v>40</v>
      </c>
      <c r="G522" s="5" t="s">
        <v>41</v>
      </c>
      <c r="H522" s="6">
        <v>45407</v>
      </c>
      <c r="I522" s="5">
        <v>2.5</v>
      </c>
      <c r="J522" s="5">
        <v>92</v>
      </c>
      <c r="K522" s="5">
        <v>5.7</v>
      </c>
      <c r="L522" s="5">
        <v>36.5</v>
      </c>
      <c r="M522" s="5">
        <v>49.4</v>
      </c>
    </row>
    <row r="523" spans="1:13" x14ac:dyDescent="0.3">
      <c r="A523" s="5">
        <v>585</v>
      </c>
      <c r="B523" s="5" t="s">
        <v>35</v>
      </c>
      <c r="C523" s="5" t="s">
        <v>39</v>
      </c>
      <c r="D523" s="5" t="s">
        <v>40</v>
      </c>
      <c r="E523" s="5" t="s">
        <v>40</v>
      </c>
      <c r="F523" s="5" t="s">
        <v>40</v>
      </c>
      <c r="G523" s="5" t="s">
        <v>47</v>
      </c>
      <c r="H523" s="6">
        <v>45529</v>
      </c>
      <c r="I523" s="5">
        <v>6.5</v>
      </c>
      <c r="J523" s="5">
        <v>82.2</v>
      </c>
      <c r="K523" s="5">
        <v>6.5</v>
      </c>
      <c r="L523" s="5">
        <v>57.9</v>
      </c>
      <c r="M523" s="5">
        <v>87.9</v>
      </c>
    </row>
    <row r="524" spans="1:13" x14ac:dyDescent="0.3">
      <c r="A524" s="5">
        <v>856</v>
      </c>
      <c r="B524" s="5" t="s">
        <v>44</v>
      </c>
      <c r="C524" s="5" t="s">
        <v>45</v>
      </c>
      <c r="D524" s="5" t="s">
        <v>37</v>
      </c>
      <c r="E524" s="5" t="s">
        <v>40</v>
      </c>
      <c r="F524" s="5" t="s">
        <v>40</v>
      </c>
      <c r="G524" s="5" t="s">
        <v>46</v>
      </c>
      <c r="H524" s="6">
        <v>45488</v>
      </c>
      <c r="I524" s="5">
        <v>2.2999999999999998</v>
      </c>
      <c r="J524" s="5">
        <v>66.599999999999994</v>
      </c>
      <c r="K524" s="5">
        <v>6.7</v>
      </c>
      <c r="L524" s="5">
        <v>46.8</v>
      </c>
      <c r="M524" s="5">
        <v>66.099999999999994</v>
      </c>
    </row>
    <row r="525" spans="1:13" x14ac:dyDescent="0.3">
      <c r="A525" s="5">
        <v>624</v>
      </c>
      <c r="B525" s="5" t="s">
        <v>35</v>
      </c>
      <c r="C525" s="5" t="s">
        <v>42</v>
      </c>
      <c r="D525" s="5" t="s">
        <v>37</v>
      </c>
      <c r="E525" s="5" t="s">
        <v>40</v>
      </c>
      <c r="F525" s="5" t="s">
        <v>40</v>
      </c>
      <c r="G525" s="5" t="s">
        <v>43</v>
      </c>
      <c r="H525" s="6">
        <v>44934</v>
      </c>
      <c r="I525" s="5">
        <v>3.4</v>
      </c>
      <c r="J525" s="5">
        <v>75.900000000000006</v>
      </c>
      <c r="K525" s="5">
        <v>7.2</v>
      </c>
      <c r="L525" s="5">
        <v>79.099999999999994</v>
      </c>
      <c r="M525" s="5">
        <v>78.5</v>
      </c>
    </row>
    <row r="526" spans="1:13" x14ac:dyDescent="0.3">
      <c r="A526" s="5">
        <v>41</v>
      </c>
      <c r="B526" s="5" t="s">
        <v>35</v>
      </c>
      <c r="C526" s="5"/>
      <c r="D526" s="5" t="s">
        <v>37</v>
      </c>
      <c r="E526" s="5" t="s">
        <v>37</v>
      </c>
      <c r="F526" s="5" t="s">
        <v>37</v>
      </c>
      <c r="G526" s="5" t="s">
        <v>43</v>
      </c>
      <c r="H526" s="6"/>
      <c r="I526" s="5">
        <v>1.1000000000000001</v>
      </c>
      <c r="J526" s="5">
        <v>88</v>
      </c>
      <c r="K526" s="5">
        <v>6.1</v>
      </c>
      <c r="L526" s="5">
        <v>88.9</v>
      </c>
      <c r="M526" s="5">
        <v>71.7</v>
      </c>
    </row>
    <row r="527" spans="1:13" x14ac:dyDescent="0.3">
      <c r="A527" s="5">
        <v>342</v>
      </c>
      <c r="B527" s="5" t="s">
        <v>35</v>
      </c>
      <c r="C527" s="5" t="s">
        <v>36</v>
      </c>
      <c r="D527" s="5" t="s">
        <v>37</v>
      </c>
      <c r="E527" s="5" t="s">
        <v>37</v>
      </c>
      <c r="F527" s="5" t="s">
        <v>37</v>
      </c>
      <c r="G527" s="5" t="s">
        <v>38</v>
      </c>
      <c r="H527" s="6">
        <v>45371</v>
      </c>
      <c r="I527" s="5">
        <v>6.1</v>
      </c>
      <c r="J527" s="5">
        <v>96.7</v>
      </c>
      <c r="K527" s="5">
        <v>5.7</v>
      </c>
      <c r="L527" s="5">
        <v>48.3</v>
      </c>
      <c r="M527" s="5">
        <v>94.1</v>
      </c>
    </row>
    <row r="528" spans="1:13" x14ac:dyDescent="0.3">
      <c r="A528" s="5">
        <v>642</v>
      </c>
      <c r="B528" s="5" t="s">
        <v>44</v>
      </c>
      <c r="C528" s="5" t="s">
        <v>39</v>
      </c>
      <c r="D528" s="5" t="s">
        <v>37</v>
      </c>
      <c r="E528" s="5" t="s">
        <v>40</v>
      </c>
      <c r="F528" s="5" t="s">
        <v>40</v>
      </c>
      <c r="G528" s="5" t="s">
        <v>43</v>
      </c>
      <c r="H528" s="6">
        <v>45519</v>
      </c>
      <c r="I528" s="5">
        <v>2.1</v>
      </c>
      <c r="J528" s="5">
        <v>90.8</v>
      </c>
      <c r="K528" s="5">
        <v>8.4</v>
      </c>
      <c r="L528" s="5">
        <v>84.2</v>
      </c>
      <c r="M528" s="5">
        <v>75.099999999999994</v>
      </c>
    </row>
    <row r="529" spans="1:13" x14ac:dyDescent="0.3">
      <c r="A529" s="5">
        <v>719</v>
      </c>
      <c r="B529" s="5" t="s">
        <v>44</v>
      </c>
      <c r="C529" s="5" t="s">
        <v>45</v>
      </c>
      <c r="D529" s="5" t="s">
        <v>37</v>
      </c>
      <c r="E529" s="5" t="s">
        <v>37</v>
      </c>
      <c r="F529" s="5" t="s">
        <v>40</v>
      </c>
      <c r="G529" s="5" t="s">
        <v>43</v>
      </c>
      <c r="H529" s="6">
        <v>45638</v>
      </c>
      <c r="I529" s="5">
        <v>5.4</v>
      </c>
      <c r="J529" s="5">
        <v>81.3</v>
      </c>
      <c r="K529" s="5">
        <v>8.3000000000000007</v>
      </c>
      <c r="L529" s="5">
        <v>50.3</v>
      </c>
      <c r="M529" s="5">
        <v>75.8</v>
      </c>
    </row>
    <row r="530" spans="1:13" x14ac:dyDescent="0.3">
      <c r="A530" s="5">
        <v>493</v>
      </c>
      <c r="B530" s="5" t="s">
        <v>44</v>
      </c>
      <c r="C530" s="5" t="s">
        <v>45</v>
      </c>
      <c r="D530" s="5" t="s">
        <v>40</v>
      </c>
      <c r="E530" s="5" t="s">
        <v>40</v>
      </c>
      <c r="F530" s="5" t="s">
        <v>37</v>
      </c>
      <c r="G530" s="5" t="s">
        <v>46</v>
      </c>
      <c r="H530" s="6">
        <v>45592</v>
      </c>
      <c r="I530" s="5">
        <v>2.5</v>
      </c>
      <c r="J530" s="5">
        <v>66.400000000000006</v>
      </c>
      <c r="K530" s="5">
        <v>5.6</v>
      </c>
      <c r="L530" s="5">
        <v>62.5</v>
      </c>
      <c r="M530" s="5">
        <v>60.4</v>
      </c>
    </row>
    <row r="531" spans="1:13" x14ac:dyDescent="0.3">
      <c r="A531" s="5">
        <v>845</v>
      </c>
      <c r="B531" s="5" t="s">
        <v>44</v>
      </c>
      <c r="C531" s="5" t="s">
        <v>42</v>
      </c>
      <c r="D531" s="5" t="s">
        <v>37</v>
      </c>
      <c r="E531" s="5" t="s">
        <v>40</v>
      </c>
      <c r="F531" s="5" t="s">
        <v>37</v>
      </c>
      <c r="G531" s="5" t="s">
        <v>38</v>
      </c>
      <c r="H531" s="6">
        <v>45543</v>
      </c>
      <c r="I531" s="5">
        <v>5.8</v>
      </c>
      <c r="J531" s="5">
        <v>83.5</v>
      </c>
      <c r="K531" s="5">
        <v>7.4</v>
      </c>
      <c r="L531" s="5">
        <v>79.5</v>
      </c>
      <c r="M531" s="5">
        <v>94</v>
      </c>
    </row>
    <row r="532" spans="1:13" x14ac:dyDescent="0.3">
      <c r="A532" s="5">
        <v>430</v>
      </c>
      <c r="B532" s="5" t="s">
        <v>35</v>
      </c>
      <c r="C532" s="5" t="s">
        <v>42</v>
      </c>
      <c r="D532" s="5" t="s">
        <v>37</v>
      </c>
      <c r="E532" s="5" t="s">
        <v>40</v>
      </c>
      <c r="F532" s="5" t="s">
        <v>40</v>
      </c>
      <c r="G532" s="5" t="s">
        <v>46</v>
      </c>
      <c r="H532" s="6">
        <v>45656</v>
      </c>
      <c r="I532" s="5">
        <v>2.9</v>
      </c>
      <c r="J532" s="5">
        <v>72.099999999999994</v>
      </c>
      <c r="K532" s="5">
        <v>4.5999999999999996</v>
      </c>
      <c r="L532" s="5">
        <v>35.1</v>
      </c>
      <c r="M532" s="5">
        <v>63.2</v>
      </c>
    </row>
    <row r="533" spans="1:13" x14ac:dyDescent="0.3">
      <c r="A533" s="5">
        <v>426</v>
      </c>
      <c r="B533" s="5" t="s">
        <v>35</v>
      </c>
      <c r="C533" s="5" t="s">
        <v>42</v>
      </c>
      <c r="D533" s="5" t="s">
        <v>37</v>
      </c>
      <c r="E533" s="5" t="s">
        <v>40</v>
      </c>
      <c r="F533" s="5" t="s">
        <v>37</v>
      </c>
      <c r="G533" s="5" t="s">
        <v>43</v>
      </c>
      <c r="H533" s="6">
        <v>45507</v>
      </c>
      <c r="I533" s="5">
        <v>2.4</v>
      </c>
      <c r="J533" s="5">
        <v>80.400000000000006</v>
      </c>
      <c r="K533" s="5">
        <v>7.4</v>
      </c>
      <c r="L533" s="5">
        <v>76</v>
      </c>
      <c r="M533" s="5">
        <v>70.900000000000006</v>
      </c>
    </row>
    <row r="534" spans="1:13" x14ac:dyDescent="0.3">
      <c r="A534" s="5">
        <v>641</v>
      </c>
      <c r="B534" s="5" t="s">
        <v>44</v>
      </c>
      <c r="C534" s="5" t="s">
        <v>45</v>
      </c>
      <c r="D534" s="5" t="s">
        <v>37</v>
      </c>
      <c r="E534" s="5" t="s">
        <v>40</v>
      </c>
      <c r="F534" s="5" t="s">
        <v>40</v>
      </c>
      <c r="G534" s="5" t="s">
        <v>46</v>
      </c>
      <c r="H534" s="6">
        <v>44990</v>
      </c>
      <c r="I534" s="5">
        <v>0.7</v>
      </c>
      <c r="J534" s="5">
        <v>89.8</v>
      </c>
      <c r="K534" s="5">
        <v>6.7</v>
      </c>
      <c r="L534" s="5">
        <v>94.7</v>
      </c>
      <c r="M534" s="5">
        <v>60.2</v>
      </c>
    </row>
    <row r="535" spans="1:13" x14ac:dyDescent="0.3">
      <c r="A535" s="5">
        <v>377</v>
      </c>
      <c r="B535" s="5" t="s">
        <v>35</v>
      </c>
      <c r="C535" s="5"/>
      <c r="D535" s="5" t="s">
        <v>37</v>
      </c>
      <c r="E535" s="5" t="s">
        <v>40</v>
      </c>
      <c r="F535" s="5" t="s">
        <v>37</v>
      </c>
      <c r="G535" s="5" t="s">
        <v>46</v>
      </c>
      <c r="H535" s="6">
        <v>45484</v>
      </c>
      <c r="I535" s="5">
        <v>5</v>
      </c>
      <c r="J535" s="5">
        <v>99.1</v>
      </c>
      <c r="K535" s="5">
        <v>4.0999999999999996</v>
      </c>
      <c r="L535" s="5">
        <v>41.6</v>
      </c>
      <c r="M535" s="5">
        <v>74.900000000000006</v>
      </c>
    </row>
    <row r="536" spans="1:13" x14ac:dyDescent="0.3">
      <c r="A536" s="5">
        <v>482</v>
      </c>
      <c r="B536" s="5" t="s">
        <v>35</v>
      </c>
      <c r="C536" s="5" t="s">
        <v>42</v>
      </c>
      <c r="D536" s="5" t="s">
        <v>37</v>
      </c>
      <c r="E536" s="5" t="s">
        <v>37</v>
      </c>
      <c r="F536" s="5" t="s">
        <v>40</v>
      </c>
      <c r="G536" s="5" t="s">
        <v>47</v>
      </c>
      <c r="H536" s="6">
        <v>45098</v>
      </c>
      <c r="I536" s="5">
        <v>5.8</v>
      </c>
      <c r="J536" s="5">
        <v>69.5</v>
      </c>
      <c r="K536" s="5">
        <v>4.5999999999999996</v>
      </c>
      <c r="L536" s="5">
        <v>92</v>
      </c>
      <c r="M536" s="5">
        <v>86.2</v>
      </c>
    </row>
    <row r="537" spans="1:13" x14ac:dyDescent="0.3">
      <c r="A537" s="5">
        <v>124</v>
      </c>
      <c r="B537" s="5" t="s">
        <v>35</v>
      </c>
      <c r="C537" s="5"/>
      <c r="D537" s="5" t="s">
        <v>40</v>
      </c>
      <c r="E537" s="5" t="s">
        <v>40</v>
      </c>
      <c r="F537" s="5" t="s">
        <v>37</v>
      </c>
      <c r="G537" s="5" t="s">
        <v>47</v>
      </c>
      <c r="H537" s="6">
        <v>44977</v>
      </c>
      <c r="I537" s="5">
        <v>3.2</v>
      </c>
      <c r="J537" s="5">
        <v>86.7</v>
      </c>
      <c r="K537" s="5">
        <v>8.6999999999999993</v>
      </c>
      <c r="L537" s="5">
        <v>82.4</v>
      </c>
      <c r="M537" s="5">
        <v>82.7</v>
      </c>
    </row>
    <row r="538" spans="1:13" x14ac:dyDescent="0.3">
      <c r="A538" s="5">
        <v>533</v>
      </c>
      <c r="B538" s="5" t="s">
        <v>35</v>
      </c>
      <c r="C538" s="5" t="s">
        <v>36</v>
      </c>
      <c r="D538" s="5" t="s">
        <v>37</v>
      </c>
      <c r="E538" s="5" t="s">
        <v>37</v>
      </c>
      <c r="F538" s="5" t="s">
        <v>40</v>
      </c>
      <c r="G538" s="5" t="s">
        <v>41</v>
      </c>
      <c r="H538" s="6"/>
      <c r="I538" s="5">
        <v>3.3</v>
      </c>
      <c r="J538" s="5">
        <v>72.3</v>
      </c>
      <c r="K538" s="5">
        <v>6.5</v>
      </c>
      <c r="L538" s="5">
        <v>59.5</v>
      </c>
      <c r="M538" s="5">
        <v>58.6</v>
      </c>
    </row>
    <row r="539" spans="1:13" x14ac:dyDescent="0.3">
      <c r="A539" s="5">
        <v>925</v>
      </c>
      <c r="B539" s="5" t="s">
        <v>44</v>
      </c>
      <c r="C539" s="5" t="s">
        <v>45</v>
      </c>
      <c r="D539" s="5" t="s">
        <v>37</v>
      </c>
      <c r="E539" s="5" t="s">
        <v>37</v>
      </c>
      <c r="F539" s="5" t="s">
        <v>37</v>
      </c>
      <c r="G539" s="5" t="s">
        <v>47</v>
      </c>
      <c r="H539" s="6">
        <v>45462</v>
      </c>
      <c r="I539" s="5">
        <v>5</v>
      </c>
      <c r="J539" s="5">
        <v>94</v>
      </c>
      <c r="K539" s="5">
        <v>4.5</v>
      </c>
      <c r="L539" s="5">
        <v>69</v>
      </c>
      <c r="M539" s="5">
        <v>82</v>
      </c>
    </row>
    <row r="540" spans="1:13" x14ac:dyDescent="0.3">
      <c r="A540" s="5">
        <v>160</v>
      </c>
      <c r="B540" s="5" t="s">
        <v>35</v>
      </c>
      <c r="C540" s="5" t="s">
        <v>45</v>
      </c>
      <c r="D540" s="5" t="s">
        <v>40</v>
      </c>
      <c r="E540" s="5" t="s">
        <v>40</v>
      </c>
      <c r="F540" s="5" t="s">
        <v>37</v>
      </c>
      <c r="G540" s="5" t="s">
        <v>43</v>
      </c>
      <c r="H540" s="6">
        <v>45640</v>
      </c>
      <c r="I540" s="5">
        <v>6.8</v>
      </c>
      <c r="J540" s="5">
        <v>82.2</v>
      </c>
      <c r="K540" s="5">
        <v>6.6</v>
      </c>
      <c r="L540" s="5">
        <v>37.9</v>
      </c>
      <c r="M540" s="5">
        <v>74</v>
      </c>
    </row>
    <row r="541" spans="1:13" x14ac:dyDescent="0.3">
      <c r="A541" s="5">
        <v>143</v>
      </c>
      <c r="B541" s="5" t="s">
        <v>35</v>
      </c>
      <c r="C541" s="5" t="s">
        <v>42</v>
      </c>
      <c r="D541" s="5" t="s">
        <v>40</v>
      </c>
      <c r="E541" s="5" t="s">
        <v>40</v>
      </c>
      <c r="F541" s="5" t="s">
        <v>37</v>
      </c>
      <c r="G541" s="5" t="s">
        <v>47</v>
      </c>
      <c r="H541" s="6">
        <v>45212</v>
      </c>
      <c r="I541" s="5">
        <v>3.3</v>
      </c>
      <c r="J541" s="5">
        <v>87.2</v>
      </c>
      <c r="K541" s="5">
        <v>8.6</v>
      </c>
      <c r="L541" s="5">
        <v>62.1</v>
      </c>
      <c r="M541" s="5">
        <v>84.7</v>
      </c>
    </row>
    <row r="542" spans="1:13" x14ac:dyDescent="0.3">
      <c r="A542" s="5">
        <v>240</v>
      </c>
      <c r="B542" s="5" t="s">
        <v>35</v>
      </c>
      <c r="C542" s="5" t="s">
        <v>36</v>
      </c>
      <c r="D542" s="5" t="s">
        <v>37</v>
      </c>
      <c r="E542" s="5" t="s">
        <v>40</v>
      </c>
      <c r="F542" s="5" t="s">
        <v>40</v>
      </c>
      <c r="G542" s="5" t="s">
        <v>43</v>
      </c>
      <c r="H542" s="6">
        <v>44957</v>
      </c>
      <c r="I542" s="5">
        <v>6.1</v>
      </c>
      <c r="J542" s="5">
        <v>68.400000000000006</v>
      </c>
      <c r="K542" s="5">
        <v>5.4</v>
      </c>
      <c r="L542" s="5">
        <v>50.9</v>
      </c>
      <c r="M542" s="5">
        <v>76.099999999999994</v>
      </c>
    </row>
    <row r="543" spans="1:13" x14ac:dyDescent="0.3">
      <c r="A543" s="5">
        <v>752</v>
      </c>
      <c r="B543" s="5" t="s">
        <v>35</v>
      </c>
      <c r="C543" s="5" t="s">
        <v>42</v>
      </c>
      <c r="D543" s="5" t="s">
        <v>37</v>
      </c>
      <c r="E543" s="5" t="s">
        <v>37</v>
      </c>
      <c r="F543" s="5" t="s">
        <v>40</v>
      </c>
      <c r="G543" s="5" t="s">
        <v>46</v>
      </c>
      <c r="H543" s="6">
        <v>45207</v>
      </c>
      <c r="I543" s="5">
        <v>4.0999999999999996</v>
      </c>
      <c r="J543" s="5">
        <v>77.400000000000006</v>
      </c>
      <c r="K543" s="5">
        <v>7.6</v>
      </c>
      <c r="L543" s="5">
        <v>38.700000000000003</v>
      </c>
      <c r="M543" s="5">
        <v>67</v>
      </c>
    </row>
    <row r="544" spans="1:13" x14ac:dyDescent="0.3">
      <c r="A544" s="5">
        <v>596</v>
      </c>
      <c r="B544" s="5" t="s">
        <v>44</v>
      </c>
      <c r="C544" s="5" t="s">
        <v>36</v>
      </c>
      <c r="D544" s="5" t="s">
        <v>40</v>
      </c>
      <c r="E544" s="5" t="s">
        <v>40</v>
      </c>
      <c r="F544" s="5" t="s">
        <v>40</v>
      </c>
      <c r="G544" s="5" t="s">
        <v>43</v>
      </c>
      <c r="H544" s="6">
        <v>44949</v>
      </c>
      <c r="I544" s="5">
        <v>5.9</v>
      </c>
      <c r="J544" s="5">
        <v>76</v>
      </c>
      <c r="K544" s="5">
        <v>4.7</v>
      </c>
      <c r="L544" s="5">
        <v>74</v>
      </c>
      <c r="M544" s="5">
        <v>75.599999999999994</v>
      </c>
    </row>
    <row r="545" spans="1:13" x14ac:dyDescent="0.3">
      <c r="A545" s="5">
        <v>889</v>
      </c>
      <c r="B545" s="5" t="s">
        <v>44</v>
      </c>
      <c r="C545" s="5" t="s">
        <v>39</v>
      </c>
      <c r="D545" s="5" t="s">
        <v>37</v>
      </c>
      <c r="E545" s="5" t="s">
        <v>40</v>
      </c>
      <c r="F545" s="5" t="s">
        <v>40</v>
      </c>
      <c r="G545" s="5" t="s">
        <v>43</v>
      </c>
      <c r="H545" s="6">
        <v>45102</v>
      </c>
      <c r="I545" s="5">
        <v>5.2</v>
      </c>
      <c r="J545" s="5">
        <v>88.7</v>
      </c>
      <c r="K545" s="5">
        <v>5.8</v>
      </c>
      <c r="L545" s="5">
        <v>77.599999999999994</v>
      </c>
      <c r="M545" s="5">
        <v>78</v>
      </c>
    </row>
    <row r="546" spans="1:13" x14ac:dyDescent="0.3">
      <c r="A546" s="5">
        <v>442</v>
      </c>
      <c r="B546" s="5" t="s">
        <v>35</v>
      </c>
      <c r="C546" s="5" t="s">
        <v>42</v>
      </c>
      <c r="D546" s="5" t="s">
        <v>37</v>
      </c>
      <c r="E546" s="5" t="s">
        <v>37</v>
      </c>
      <c r="F546" s="5" t="s">
        <v>37</v>
      </c>
      <c r="G546" s="5" t="s">
        <v>46</v>
      </c>
      <c r="H546" s="6">
        <v>45097</v>
      </c>
      <c r="I546" s="5">
        <v>4.7</v>
      </c>
      <c r="J546" s="5">
        <v>68.099999999999994</v>
      </c>
      <c r="K546" s="5">
        <v>6.2</v>
      </c>
      <c r="L546" s="5">
        <v>39.299999999999997</v>
      </c>
      <c r="M546" s="5">
        <v>68.099999999999994</v>
      </c>
    </row>
    <row r="547" spans="1:13" x14ac:dyDescent="0.3">
      <c r="A547" s="5">
        <v>260</v>
      </c>
      <c r="B547" s="5" t="s">
        <v>35</v>
      </c>
      <c r="C547" s="5" t="s">
        <v>42</v>
      </c>
      <c r="D547" s="5" t="s">
        <v>37</v>
      </c>
      <c r="E547" s="5" t="s">
        <v>40</v>
      </c>
      <c r="F547" s="5" t="s">
        <v>37</v>
      </c>
      <c r="G547" s="5" t="s">
        <v>43</v>
      </c>
      <c r="H547" s="6">
        <v>44977</v>
      </c>
      <c r="I547" s="5">
        <v>5</v>
      </c>
      <c r="J547" s="5">
        <v>95.4</v>
      </c>
      <c r="K547" s="5">
        <v>5.8</v>
      </c>
      <c r="L547" s="5">
        <v>39.1</v>
      </c>
      <c r="M547" s="5">
        <v>78.900000000000006</v>
      </c>
    </row>
    <row r="548" spans="1:13" x14ac:dyDescent="0.3">
      <c r="A548" s="5">
        <v>615</v>
      </c>
      <c r="B548" s="5" t="s">
        <v>44</v>
      </c>
      <c r="C548" s="5" t="s">
        <v>45</v>
      </c>
      <c r="D548" s="5"/>
      <c r="E548" s="5" t="s">
        <v>37</v>
      </c>
      <c r="F548" s="5" t="s">
        <v>40</v>
      </c>
      <c r="G548" s="5" t="s">
        <v>46</v>
      </c>
      <c r="H548" s="6">
        <v>45364</v>
      </c>
      <c r="I548" s="5">
        <v>0.5</v>
      </c>
      <c r="J548" s="5">
        <v>98.7</v>
      </c>
      <c r="K548" s="5">
        <v>6.7</v>
      </c>
      <c r="L548" s="5">
        <v>52.4</v>
      </c>
      <c r="M548" s="5">
        <v>66.8</v>
      </c>
    </row>
    <row r="549" spans="1:13" x14ac:dyDescent="0.3">
      <c r="A549" s="5">
        <v>927</v>
      </c>
      <c r="B549" s="5" t="s">
        <v>35</v>
      </c>
      <c r="C549" s="5" t="s">
        <v>39</v>
      </c>
      <c r="D549" s="5" t="s">
        <v>37</v>
      </c>
      <c r="E549" s="5" t="s">
        <v>40</v>
      </c>
      <c r="F549" s="5" t="s">
        <v>40</v>
      </c>
      <c r="G549" s="5" t="s">
        <v>41</v>
      </c>
      <c r="H549" s="6">
        <v>45011</v>
      </c>
      <c r="I549" s="5">
        <v>1.8</v>
      </c>
      <c r="J549" s="5">
        <v>83.4</v>
      </c>
      <c r="K549" s="5">
        <v>8</v>
      </c>
      <c r="L549" s="5">
        <v>44.6</v>
      </c>
      <c r="M549" s="5">
        <v>59.4</v>
      </c>
    </row>
    <row r="550" spans="1:13" x14ac:dyDescent="0.3">
      <c r="A550" s="5">
        <v>346</v>
      </c>
      <c r="B550" s="5" t="s">
        <v>35</v>
      </c>
      <c r="C550" s="5" t="s">
        <v>45</v>
      </c>
      <c r="D550" s="5"/>
      <c r="E550" s="5" t="s">
        <v>37</v>
      </c>
      <c r="F550" s="5" t="s">
        <v>40</v>
      </c>
      <c r="G550" s="5" t="s">
        <v>43</v>
      </c>
      <c r="H550" s="6">
        <v>45043</v>
      </c>
      <c r="I550" s="5">
        <v>5.0999999999999996</v>
      </c>
      <c r="J550" s="5">
        <v>82.2</v>
      </c>
      <c r="K550" s="5">
        <v>6.3</v>
      </c>
      <c r="L550" s="5">
        <v>51.2</v>
      </c>
      <c r="M550" s="5">
        <v>73.2</v>
      </c>
    </row>
    <row r="551" spans="1:13" x14ac:dyDescent="0.3">
      <c r="A551" s="5">
        <v>441</v>
      </c>
      <c r="B551" s="5" t="s">
        <v>44</v>
      </c>
      <c r="C551" s="5"/>
      <c r="D551" s="5" t="s">
        <v>37</v>
      </c>
      <c r="E551" s="5" t="s">
        <v>40</v>
      </c>
      <c r="F551" s="5" t="s">
        <v>37</v>
      </c>
      <c r="G551" s="5" t="s">
        <v>43</v>
      </c>
      <c r="H551" s="6">
        <v>44982</v>
      </c>
      <c r="I551" s="5">
        <v>6.7</v>
      </c>
      <c r="J551" s="5">
        <v>70.099999999999994</v>
      </c>
      <c r="K551" s="5">
        <v>6.6</v>
      </c>
      <c r="L551" s="5">
        <v>38.299999999999997</v>
      </c>
      <c r="M551" s="5">
        <v>74.099999999999994</v>
      </c>
    </row>
    <row r="552" spans="1:13" x14ac:dyDescent="0.3">
      <c r="A552" s="5">
        <v>901</v>
      </c>
      <c r="B552" s="5" t="s">
        <v>44</v>
      </c>
      <c r="C552" s="5" t="s">
        <v>45</v>
      </c>
      <c r="D552" s="5" t="s">
        <v>37</v>
      </c>
      <c r="E552" s="5" t="s">
        <v>40</v>
      </c>
      <c r="F552" s="5" t="s">
        <v>40</v>
      </c>
      <c r="G552" s="5" t="s">
        <v>47</v>
      </c>
      <c r="H552" s="6">
        <v>45069</v>
      </c>
      <c r="I552" s="5">
        <v>5.2</v>
      </c>
      <c r="J552" s="5">
        <v>78.2</v>
      </c>
      <c r="K552" s="5">
        <v>6.9</v>
      </c>
      <c r="L552" s="5">
        <v>56.4</v>
      </c>
      <c r="M552" s="5">
        <v>81.900000000000006</v>
      </c>
    </row>
    <row r="553" spans="1:13" x14ac:dyDescent="0.3">
      <c r="A553" s="5">
        <v>613</v>
      </c>
      <c r="B553" s="5" t="s">
        <v>35</v>
      </c>
      <c r="C553" s="5" t="s">
        <v>42</v>
      </c>
      <c r="D553" s="5" t="s">
        <v>37</v>
      </c>
      <c r="E553" s="5" t="s">
        <v>40</v>
      </c>
      <c r="F553" s="5" t="s">
        <v>37</v>
      </c>
      <c r="G553" s="5" t="s">
        <v>46</v>
      </c>
      <c r="H553" s="6">
        <v>45595</v>
      </c>
      <c r="I553" s="5">
        <v>2.1</v>
      </c>
      <c r="J553" s="5">
        <v>80</v>
      </c>
      <c r="K553" s="5">
        <v>7.4</v>
      </c>
      <c r="L553" s="5">
        <v>46.9</v>
      </c>
      <c r="M553" s="5">
        <v>64.2</v>
      </c>
    </row>
    <row r="554" spans="1:13" x14ac:dyDescent="0.3">
      <c r="A554" s="5">
        <v>292</v>
      </c>
      <c r="B554" s="5" t="s">
        <v>44</v>
      </c>
      <c r="C554" s="5" t="s">
        <v>45</v>
      </c>
      <c r="D554" s="5" t="s">
        <v>37</v>
      </c>
      <c r="E554" s="5" t="s">
        <v>37</v>
      </c>
      <c r="F554" s="5" t="s">
        <v>37</v>
      </c>
      <c r="G554" s="5" t="s">
        <v>47</v>
      </c>
      <c r="H554" s="6">
        <v>45177</v>
      </c>
      <c r="I554" s="5">
        <v>6.6</v>
      </c>
      <c r="J554" s="5">
        <v>85</v>
      </c>
      <c r="K554" s="5">
        <v>6.1</v>
      </c>
      <c r="L554" s="5">
        <v>67</v>
      </c>
      <c r="M554" s="5">
        <v>84.3</v>
      </c>
    </row>
    <row r="555" spans="1:13" x14ac:dyDescent="0.3">
      <c r="A555" s="5">
        <v>538</v>
      </c>
      <c r="B555" s="5" t="s">
        <v>44</v>
      </c>
      <c r="C555" s="5" t="s">
        <v>45</v>
      </c>
      <c r="D555" s="5" t="s">
        <v>37</v>
      </c>
      <c r="E555" s="5" t="s">
        <v>40</v>
      </c>
      <c r="F555" s="5" t="s">
        <v>37</v>
      </c>
      <c r="G555" s="5" t="s">
        <v>46</v>
      </c>
      <c r="H555" s="6">
        <v>45493</v>
      </c>
      <c r="I555" s="5">
        <v>2.5</v>
      </c>
      <c r="J555" s="5">
        <v>69.8</v>
      </c>
      <c r="K555" s="5">
        <v>7.3</v>
      </c>
      <c r="L555" s="5">
        <v>78.900000000000006</v>
      </c>
      <c r="M555" s="5">
        <v>68.599999999999994</v>
      </c>
    </row>
    <row r="556" spans="1:13" x14ac:dyDescent="0.3">
      <c r="A556" s="5">
        <v>792</v>
      </c>
      <c r="B556" s="5" t="s">
        <v>44</v>
      </c>
      <c r="C556" s="5" t="s">
        <v>45</v>
      </c>
      <c r="D556" s="5" t="s">
        <v>37</v>
      </c>
      <c r="E556" s="5" t="s">
        <v>37</v>
      </c>
      <c r="F556" s="5" t="s">
        <v>37</v>
      </c>
      <c r="G556" s="5" t="s">
        <v>38</v>
      </c>
      <c r="H556" s="6">
        <v>45485</v>
      </c>
      <c r="I556" s="5">
        <v>5.0999999999999996</v>
      </c>
      <c r="J556" s="5">
        <v>70.5</v>
      </c>
      <c r="K556" s="5">
        <v>6.1</v>
      </c>
      <c r="L556" s="5">
        <v>86.1</v>
      </c>
      <c r="M556" s="5">
        <v>97.3</v>
      </c>
    </row>
    <row r="557" spans="1:13" x14ac:dyDescent="0.3">
      <c r="A557" s="5">
        <v>465</v>
      </c>
      <c r="B557" s="5" t="s">
        <v>35</v>
      </c>
      <c r="C557" s="5" t="s">
        <v>39</v>
      </c>
      <c r="D557" s="5" t="s">
        <v>37</v>
      </c>
      <c r="E557" s="5" t="s">
        <v>37</v>
      </c>
      <c r="F557" s="5" t="s">
        <v>40</v>
      </c>
      <c r="G557" s="5" t="s">
        <v>46</v>
      </c>
      <c r="H557" s="6">
        <v>44985</v>
      </c>
      <c r="I557" s="5">
        <v>1.2</v>
      </c>
      <c r="J557" s="5">
        <v>69.7</v>
      </c>
      <c r="K557" s="5">
        <v>4.3</v>
      </c>
      <c r="L557" s="5">
        <v>68.099999999999994</v>
      </c>
      <c r="M557" s="5">
        <v>60.2</v>
      </c>
    </row>
    <row r="558" spans="1:13" x14ac:dyDescent="0.3">
      <c r="A558" s="5">
        <v>456</v>
      </c>
      <c r="B558" s="5" t="s">
        <v>44</v>
      </c>
      <c r="C558" s="5" t="s">
        <v>39</v>
      </c>
      <c r="D558" s="5" t="s">
        <v>40</v>
      </c>
      <c r="E558" s="5" t="s">
        <v>37</v>
      </c>
      <c r="F558" s="5" t="s">
        <v>37</v>
      </c>
      <c r="G558" s="5" t="s">
        <v>43</v>
      </c>
      <c r="H558" s="6">
        <v>45305</v>
      </c>
      <c r="I558" s="5">
        <v>1.1000000000000001</v>
      </c>
      <c r="J558" s="5">
        <v>89.9</v>
      </c>
      <c r="K558" s="5">
        <v>7.6</v>
      </c>
      <c r="L558" s="5">
        <v>84.7</v>
      </c>
      <c r="M558" s="5">
        <v>70.3</v>
      </c>
    </row>
    <row r="559" spans="1:13" x14ac:dyDescent="0.3">
      <c r="A559" s="5">
        <v>826</v>
      </c>
      <c r="B559" s="5" t="s">
        <v>35</v>
      </c>
      <c r="C559" s="5" t="s">
        <v>42</v>
      </c>
      <c r="D559" s="5" t="s">
        <v>37</v>
      </c>
      <c r="E559" s="5" t="s">
        <v>40</v>
      </c>
      <c r="F559" s="5" t="s">
        <v>40</v>
      </c>
      <c r="G559" s="5" t="s">
        <v>46</v>
      </c>
      <c r="H559" s="6">
        <v>45272</v>
      </c>
      <c r="I559" s="5">
        <v>0.8</v>
      </c>
      <c r="J559" s="5">
        <v>87.9</v>
      </c>
      <c r="K559" s="5">
        <v>6.5</v>
      </c>
      <c r="L559" s="5">
        <v>49.4</v>
      </c>
      <c r="M559" s="5">
        <v>60.1</v>
      </c>
    </row>
    <row r="560" spans="1:13" x14ac:dyDescent="0.3">
      <c r="A560" s="5">
        <v>361</v>
      </c>
      <c r="B560" s="5" t="s">
        <v>44</v>
      </c>
      <c r="C560" s="5" t="s">
        <v>45</v>
      </c>
      <c r="D560" s="5" t="s">
        <v>40</v>
      </c>
      <c r="E560" s="5" t="s">
        <v>40</v>
      </c>
      <c r="F560" s="5" t="s">
        <v>37</v>
      </c>
      <c r="G560" s="5" t="s">
        <v>47</v>
      </c>
      <c r="H560" s="6">
        <v>45330</v>
      </c>
      <c r="I560" s="5">
        <v>5.7</v>
      </c>
      <c r="J560" s="5">
        <v>95.8</v>
      </c>
      <c r="K560" s="5">
        <v>6.4</v>
      </c>
      <c r="L560" s="5">
        <v>64.3</v>
      </c>
      <c r="M560" s="5">
        <v>87.2</v>
      </c>
    </row>
    <row r="561" spans="1:13" x14ac:dyDescent="0.3">
      <c r="A561" s="5">
        <v>425</v>
      </c>
      <c r="B561" s="5" t="s">
        <v>35</v>
      </c>
      <c r="C561" s="5" t="s">
        <v>36</v>
      </c>
      <c r="D561" s="5"/>
      <c r="E561" s="5" t="s">
        <v>40</v>
      </c>
      <c r="F561" s="5" t="s">
        <v>40</v>
      </c>
      <c r="G561" s="5" t="s">
        <v>43</v>
      </c>
      <c r="H561" s="6">
        <v>45382</v>
      </c>
      <c r="I561" s="5">
        <v>4</v>
      </c>
      <c r="J561" s="5">
        <v>74.5</v>
      </c>
      <c r="K561" s="5">
        <v>5.6</v>
      </c>
      <c r="L561" s="5">
        <v>72.3</v>
      </c>
      <c r="M561" s="5">
        <v>70.900000000000006</v>
      </c>
    </row>
    <row r="562" spans="1:13" x14ac:dyDescent="0.3">
      <c r="A562" s="5">
        <v>408</v>
      </c>
      <c r="B562" s="5" t="s">
        <v>35</v>
      </c>
      <c r="C562" s="5" t="s">
        <v>36</v>
      </c>
      <c r="D562" s="5" t="s">
        <v>40</v>
      </c>
      <c r="E562" s="5" t="s">
        <v>37</v>
      </c>
      <c r="F562" s="5" t="s">
        <v>40</v>
      </c>
      <c r="G562" s="5" t="s">
        <v>46</v>
      </c>
      <c r="H562" s="6">
        <v>45162</v>
      </c>
      <c r="I562" s="5">
        <v>2.4</v>
      </c>
      <c r="J562" s="5">
        <v>77.099999999999994</v>
      </c>
      <c r="K562" s="5">
        <v>8</v>
      </c>
      <c r="L562" s="5">
        <v>51.7</v>
      </c>
      <c r="M562" s="5">
        <v>61.9</v>
      </c>
    </row>
    <row r="563" spans="1:13" x14ac:dyDescent="0.3">
      <c r="A563" s="5">
        <v>682</v>
      </c>
      <c r="B563" s="5" t="s">
        <v>44</v>
      </c>
      <c r="C563" s="5" t="s">
        <v>45</v>
      </c>
      <c r="D563" s="5" t="s">
        <v>37</v>
      </c>
      <c r="E563" s="5" t="s">
        <v>37</v>
      </c>
      <c r="F563" s="5" t="s">
        <v>37</v>
      </c>
      <c r="G563" s="5" t="s">
        <v>43</v>
      </c>
      <c r="H563" s="6">
        <v>45453</v>
      </c>
      <c r="I563" s="5">
        <v>2.6</v>
      </c>
      <c r="J563" s="5">
        <v>97.1</v>
      </c>
      <c r="K563" s="5">
        <v>7.7</v>
      </c>
      <c r="L563" s="5">
        <v>52</v>
      </c>
      <c r="M563" s="5">
        <v>72</v>
      </c>
    </row>
    <row r="564" spans="1:13" x14ac:dyDescent="0.3">
      <c r="A564" s="5">
        <v>392</v>
      </c>
      <c r="B564" s="5" t="s">
        <v>35</v>
      </c>
      <c r="C564" s="5" t="s">
        <v>42</v>
      </c>
      <c r="D564" s="5" t="s">
        <v>37</v>
      </c>
      <c r="E564" s="5" t="s">
        <v>37</v>
      </c>
      <c r="F564" s="5" t="s">
        <v>37</v>
      </c>
      <c r="G564" s="5" t="s">
        <v>46</v>
      </c>
      <c r="H564" s="6"/>
      <c r="I564" s="5">
        <v>1.2</v>
      </c>
      <c r="J564" s="5">
        <v>70.400000000000006</v>
      </c>
      <c r="K564" s="5">
        <v>8.1999999999999993</v>
      </c>
      <c r="L564" s="5">
        <v>63.4</v>
      </c>
      <c r="M564" s="5">
        <v>65.8</v>
      </c>
    </row>
    <row r="565" spans="1:13" x14ac:dyDescent="0.3">
      <c r="A565" s="5">
        <v>151</v>
      </c>
      <c r="B565" s="5" t="s">
        <v>35</v>
      </c>
      <c r="C565" s="5" t="s">
        <v>45</v>
      </c>
      <c r="D565" s="5" t="s">
        <v>37</v>
      </c>
      <c r="E565" s="5" t="s">
        <v>37</v>
      </c>
      <c r="F565" s="5" t="s">
        <v>37</v>
      </c>
      <c r="G565" s="5" t="s">
        <v>47</v>
      </c>
      <c r="H565" s="6">
        <v>45430</v>
      </c>
      <c r="I565" s="5">
        <v>6.2</v>
      </c>
      <c r="J565" s="5">
        <v>65.8</v>
      </c>
      <c r="K565" s="5">
        <v>6.6</v>
      </c>
      <c r="L565" s="5">
        <v>75.099999999999994</v>
      </c>
      <c r="M565" s="5">
        <v>83.7</v>
      </c>
    </row>
    <row r="566" spans="1:13" x14ac:dyDescent="0.3">
      <c r="A566" s="5">
        <v>454</v>
      </c>
      <c r="B566" s="5" t="s">
        <v>44</v>
      </c>
      <c r="C566" s="5" t="s">
        <v>42</v>
      </c>
      <c r="D566" s="5" t="s">
        <v>37</v>
      </c>
      <c r="E566" s="5" t="s">
        <v>40</v>
      </c>
      <c r="F566" s="5" t="s">
        <v>40</v>
      </c>
      <c r="G566" s="5" t="s">
        <v>46</v>
      </c>
      <c r="H566" s="6"/>
      <c r="I566" s="5">
        <v>4.5</v>
      </c>
      <c r="J566" s="5">
        <v>67.599999999999994</v>
      </c>
      <c r="K566" s="5">
        <v>4.9000000000000004</v>
      </c>
      <c r="L566" s="5">
        <v>46.2</v>
      </c>
      <c r="M566" s="5">
        <v>74.099999999999994</v>
      </c>
    </row>
    <row r="567" spans="1:13" x14ac:dyDescent="0.3">
      <c r="A567" s="5">
        <v>586</v>
      </c>
      <c r="B567" s="5" t="s">
        <v>35</v>
      </c>
      <c r="C567" s="5" t="s">
        <v>42</v>
      </c>
      <c r="D567" s="5" t="s">
        <v>40</v>
      </c>
      <c r="E567" s="5" t="s">
        <v>37</v>
      </c>
      <c r="F567" s="5" t="s">
        <v>40</v>
      </c>
      <c r="G567" s="5" t="s">
        <v>46</v>
      </c>
      <c r="H567" s="6">
        <v>45147</v>
      </c>
      <c r="I567" s="5">
        <v>5.2</v>
      </c>
      <c r="J567" s="5">
        <v>71.2</v>
      </c>
      <c r="K567" s="5">
        <v>7.7</v>
      </c>
      <c r="L567" s="5">
        <v>57.7</v>
      </c>
      <c r="M567" s="5">
        <v>67.900000000000006</v>
      </c>
    </row>
    <row r="568" spans="1:13" x14ac:dyDescent="0.3">
      <c r="A568" s="5">
        <v>497</v>
      </c>
      <c r="B568" s="5" t="s">
        <v>35</v>
      </c>
      <c r="C568" s="5" t="s">
        <v>42</v>
      </c>
      <c r="D568" s="5" t="s">
        <v>37</v>
      </c>
      <c r="E568" s="5" t="s">
        <v>37</v>
      </c>
      <c r="F568" s="5" t="s">
        <v>40</v>
      </c>
      <c r="G568" s="5" t="s">
        <v>43</v>
      </c>
      <c r="H568" s="6">
        <v>45635</v>
      </c>
      <c r="I568" s="5">
        <v>4.8</v>
      </c>
      <c r="J568" s="5">
        <v>83.8</v>
      </c>
      <c r="K568" s="5">
        <v>5.2</v>
      </c>
      <c r="L568" s="5">
        <v>73.2</v>
      </c>
      <c r="M568" s="5">
        <v>75.7</v>
      </c>
    </row>
    <row r="569" spans="1:13" x14ac:dyDescent="0.3">
      <c r="A569" s="5">
        <v>723</v>
      </c>
      <c r="B569" s="5" t="s">
        <v>44</v>
      </c>
      <c r="C569" s="5" t="s">
        <v>45</v>
      </c>
      <c r="D569" s="5" t="s">
        <v>37</v>
      </c>
      <c r="E569" s="5" t="s">
        <v>37</v>
      </c>
      <c r="F569" s="5" t="s">
        <v>40</v>
      </c>
      <c r="G569" s="5" t="s">
        <v>46</v>
      </c>
      <c r="H569" s="6">
        <v>45634</v>
      </c>
      <c r="I569" s="5">
        <v>5.3</v>
      </c>
      <c r="J569" s="5">
        <v>87.8</v>
      </c>
      <c r="K569" s="5">
        <v>5.0999999999999996</v>
      </c>
      <c r="L569" s="5">
        <v>37.700000000000003</v>
      </c>
      <c r="M569" s="5">
        <v>64.2</v>
      </c>
    </row>
    <row r="570" spans="1:13" x14ac:dyDescent="0.3">
      <c r="A570" s="5">
        <v>485</v>
      </c>
      <c r="B570" s="5" t="s">
        <v>44</v>
      </c>
      <c r="C570" s="5" t="s">
        <v>42</v>
      </c>
      <c r="D570" s="5" t="s">
        <v>37</v>
      </c>
      <c r="E570" s="5" t="s">
        <v>40</v>
      </c>
      <c r="F570" s="5" t="s">
        <v>40</v>
      </c>
      <c r="G570" s="5" t="s">
        <v>41</v>
      </c>
      <c r="H570" s="6">
        <v>45013</v>
      </c>
      <c r="I570" s="5">
        <v>4.3</v>
      </c>
      <c r="J570" s="5">
        <v>70.099999999999994</v>
      </c>
      <c r="K570" s="5">
        <v>6.2</v>
      </c>
      <c r="L570" s="5">
        <v>44.9</v>
      </c>
      <c r="M570" s="5">
        <v>58.5</v>
      </c>
    </row>
    <row r="571" spans="1:13" x14ac:dyDescent="0.3">
      <c r="A571" s="5">
        <v>353</v>
      </c>
      <c r="B571" s="5" t="s">
        <v>44</v>
      </c>
      <c r="C571" s="5" t="s">
        <v>36</v>
      </c>
      <c r="D571" s="5" t="s">
        <v>37</v>
      </c>
      <c r="E571" s="5" t="s">
        <v>37</v>
      </c>
      <c r="F571" s="5" t="s">
        <v>40</v>
      </c>
      <c r="G571" s="5" t="s">
        <v>41</v>
      </c>
      <c r="H571" s="6">
        <v>45297</v>
      </c>
      <c r="I571" s="5">
        <v>0.8</v>
      </c>
      <c r="J571" s="5">
        <v>95.3</v>
      </c>
      <c r="K571" s="5">
        <v>5.8</v>
      </c>
      <c r="L571" s="5">
        <v>50.4</v>
      </c>
      <c r="M571" s="5">
        <v>48.9</v>
      </c>
    </row>
    <row r="572" spans="1:13" x14ac:dyDescent="0.3">
      <c r="A572" s="5">
        <v>448</v>
      </c>
      <c r="B572" s="5" t="s">
        <v>35</v>
      </c>
      <c r="C572" s="5" t="s">
        <v>36</v>
      </c>
      <c r="D572" s="5" t="s">
        <v>37</v>
      </c>
      <c r="E572" s="5" t="s">
        <v>40</v>
      </c>
      <c r="F572" s="5" t="s">
        <v>37</v>
      </c>
      <c r="G572" s="5" t="s">
        <v>46</v>
      </c>
      <c r="H572" s="6">
        <v>45545</v>
      </c>
      <c r="I572" s="5">
        <v>4</v>
      </c>
      <c r="J572" s="5">
        <v>69.3</v>
      </c>
      <c r="K572" s="5">
        <v>6</v>
      </c>
      <c r="L572" s="5">
        <v>84.3</v>
      </c>
      <c r="M572" s="5">
        <v>65</v>
      </c>
    </row>
    <row r="573" spans="1:13" x14ac:dyDescent="0.3">
      <c r="A573" s="5">
        <v>694</v>
      </c>
      <c r="B573" s="5" t="s">
        <v>44</v>
      </c>
      <c r="C573" s="5" t="s">
        <v>39</v>
      </c>
      <c r="D573" s="5" t="s">
        <v>37</v>
      </c>
      <c r="E573" s="5" t="s">
        <v>40</v>
      </c>
      <c r="F573" s="5" t="s">
        <v>40</v>
      </c>
      <c r="G573" s="5" t="s">
        <v>43</v>
      </c>
      <c r="H573" s="6"/>
      <c r="I573" s="5">
        <v>6.5</v>
      </c>
      <c r="J573" s="5">
        <v>87.8</v>
      </c>
      <c r="K573" s="5">
        <v>4.5999999999999996</v>
      </c>
      <c r="L573" s="5">
        <v>43.3</v>
      </c>
      <c r="M573" s="5">
        <v>76.400000000000006</v>
      </c>
    </row>
    <row r="574" spans="1:13" x14ac:dyDescent="0.3">
      <c r="A574" s="5">
        <v>799</v>
      </c>
      <c r="B574" s="5" t="s">
        <v>44</v>
      </c>
      <c r="C574" s="5" t="s">
        <v>45</v>
      </c>
      <c r="D574" s="5" t="s">
        <v>37</v>
      </c>
      <c r="E574" s="5" t="s">
        <v>40</v>
      </c>
      <c r="F574" s="5" t="s">
        <v>40</v>
      </c>
      <c r="G574" s="5" t="s">
        <v>41</v>
      </c>
      <c r="H574" s="6"/>
      <c r="I574" s="5">
        <v>2.7</v>
      </c>
      <c r="J574" s="5">
        <v>65.2</v>
      </c>
      <c r="K574" s="5">
        <v>8.9</v>
      </c>
      <c r="L574" s="5">
        <v>37.4</v>
      </c>
      <c r="M574" s="5">
        <v>74.099999999999994</v>
      </c>
    </row>
    <row r="575" spans="1:13" x14ac:dyDescent="0.3">
      <c r="A575" s="5">
        <v>21</v>
      </c>
      <c r="B575" s="5" t="s">
        <v>35</v>
      </c>
      <c r="C575" s="5" t="s">
        <v>39</v>
      </c>
      <c r="D575" s="5" t="s">
        <v>37</v>
      </c>
      <c r="E575" s="5" t="s">
        <v>37</v>
      </c>
      <c r="F575" s="5" t="s">
        <v>37</v>
      </c>
      <c r="G575" s="5" t="s">
        <v>47</v>
      </c>
      <c r="H575" s="6">
        <v>45410</v>
      </c>
      <c r="I575" s="5">
        <v>6.3</v>
      </c>
      <c r="J575" s="5">
        <v>83.2</v>
      </c>
      <c r="K575" s="5">
        <v>5.6</v>
      </c>
      <c r="L575" s="5">
        <v>40.700000000000003</v>
      </c>
      <c r="M575" s="5">
        <v>83.8</v>
      </c>
    </row>
    <row r="576" spans="1:13" x14ac:dyDescent="0.3">
      <c r="A576" s="5">
        <v>542</v>
      </c>
      <c r="B576" s="5" t="s">
        <v>35</v>
      </c>
      <c r="C576" s="5"/>
      <c r="D576" s="5" t="s">
        <v>40</v>
      </c>
      <c r="E576" s="5" t="s">
        <v>37</v>
      </c>
      <c r="F576" s="5" t="s">
        <v>37</v>
      </c>
      <c r="G576" s="5" t="s">
        <v>47</v>
      </c>
      <c r="H576" s="6">
        <v>45544</v>
      </c>
      <c r="I576" s="5">
        <v>4.4000000000000004</v>
      </c>
      <c r="J576" s="5">
        <v>86.1</v>
      </c>
      <c r="K576" s="5">
        <v>5.7</v>
      </c>
      <c r="L576" s="5">
        <v>66.75</v>
      </c>
      <c r="M576" s="5">
        <v>80.8</v>
      </c>
    </row>
    <row r="577" spans="1:13" x14ac:dyDescent="0.3">
      <c r="A577" s="5">
        <v>48</v>
      </c>
      <c r="B577" s="5" t="s">
        <v>35</v>
      </c>
      <c r="C577" s="5" t="s">
        <v>39</v>
      </c>
      <c r="D577" s="5" t="s">
        <v>37</v>
      </c>
      <c r="E577" s="5" t="s">
        <v>40</v>
      </c>
      <c r="F577" s="5" t="s">
        <v>40</v>
      </c>
      <c r="G577" s="5" t="s">
        <v>43</v>
      </c>
      <c r="H577" s="6">
        <v>45604</v>
      </c>
      <c r="I577" s="5">
        <v>2.1</v>
      </c>
      <c r="J577" s="5">
        <v>94.7</v>
      </c>
      <c r="K577" s="5">
        <v>4.3</v>
      </c>
      <c r="L577" s="5">
        <v>66.75</v>
      </c>
      <c r="M577" s="5">
        <v>76.599999999999994</v>
      </c>
    </row>
    <row r="578" spans="1:13" x14ac:dyDescent="0.3">
      <c r="A578" s="5">
        <v>629</v>
      </c>
      <c r="B578" s="5" t="s">
        <v>44</v>
      </c>
      <c r="C578" s="5" t="s">
        <v>45</v>
      </c>
      <c r="D578" s="5" t="s">
        <v>37</v>
      </c>
      <c r="E578" s="5" t="s">
        <v>40</v>
      </c>
      <c r="F578" s="5" t="s">
        <v>40</v>
      </c>
      <c r="G578" s="5" t="s">
        <v>38</v>
      </c>
      <c r="H578" s="6">
        <v>45534</v>
      </c>
      <c r="I578" s="5">
        <v>5</v>
      </c>
      <c r="J578" s="5">
        <v>74</v>
      </c>
      <c r="K578" s="5">
        <v>8.5</v>
      </c>
      <c r="L578" s="5">
        <v>87.1</v>
      </c>
      <c r="M578" s="5">
        <v>91.9</v>
      </c>
    </row>
    <row r="579" spans="1:13" x14ac:dyDescent="0.3">
      <c r="A579" s="5">
        <v>912</v>
      </c>
      <c r="B579" s="5" t="s">
        <v>44</v>
      </c>
      <c r="C579" s="5" t="s">
        <v>42</v>
      </c>
      <c r="D579" s="5" t="s">
        <v>37</v>
      </c>
      <c r="E579" s="5" t="s">
        <v>37</v>
      </c>
      <c r="F579" s="5" t="s">
        <v>40</v>
      </c>
      <c r="G579" s="5" t="s">
        <v>46</v>
      </c>
      <c r="H579" s="6">
        <v>45166</v>
      </c>
      <c r="I579" s="5">
        <v>3.2</v>
      </c>
      <c r="J579" s="5">
        <v>83.5</v>
      </c>
      <c r="K579" s="5">
        <v>5.6</v>
      </c>
      <c r="L579" s="5">
        <v>51.1</v>
      </c>
      <c r="M579" s="5">
        <v>67.599999999999994</v>
      </c>
    </row>
    <row r="580" spans="1:13" x14ac:dyDescent="0.3">
      <c r="A580" s="5">
        <v>710</v>
      </c>
      <c r="B580" s="5" t="s">
        <v>44</v>
      </c>
      <c r="C580" s="5" t="s">
        <v>42</v>
      </c>
      <c r="D580" s="5" t="s">
        <v>37</v>
      </c>
      <c r="E580" s="5" t="s">
        <v>37</v>
      </c>
      <c r="F580" s="5" t="s">
        <v>37</v>
      </c>
      <c r="G580" s="5" t="s">
        <v>47</v>
      </c>
      <c r="H580" s="6">
        <v>45309</v>
      </c>
      <c r="I580" s="5">
        <v>5.8</v>
      </c>
      <c r="J580" s="5">
        <v>83.5</v>
      </c>
      <c r="K580" s="5">
        <v>5</v>
      </c>
      <c r="L580" s="5">
        <v>78.5</v>
      </c>
      <c r="M580" s="5">
        <v>74.099999999999994</v>
      </c>
    </row>
    <row r="581" spans="1:13" x14ac:dyDescent="0.3">
      <c r="A581" s="5">
        <v>944</v>
      </c>
      <c r="B581" s="5" t="s">
        <v>44</v>
      </c>
      <c r="C581" s="5" t="s">
        <v>45</v>
      </c>
      <c r="D581" s="5" t="s">
        <v>40</v>
      </c>
      <c r="E581" s="5" t="s">
        <v>37</v>
      </c>
      <c r="F581" s="5" t="s">
        <v>40</v>
      </c>
      <c r="G581" s="5" t="s">
        <v>46</v>
      </c>
      <c r="H581" s="6">
        <v>45137</v>
      </c>
      <c r="I581" s="5">
        <v>4.2</v>
      </c>
      <c r="J581" s="5">
        <v>73.400000000000006</v>
      </c>
      <c r="K581" s="5">
        <v>8.6999999999999993</v>
      </c>
      <c r="L581" s="5">
        <v>65</v>
      </c>
      <c r="M581" s="5">
        <v>69.599999999999994</v>
      </c>
    </row>
    <row r="582" spans="1:13" x14ac:dyDescent="0.3">
      <c r="A582" s="5">
        <v>750</v>
      </c>
      <c r="B582" s="5" t="s">
        <v>44</v>
      </c>
      <c r="C582" s="5" t="s">
        <v>42</v>
      </c>
      <c r="D582" s="5" t="s">
        <v>40</v>
      </c>
      <c r="E582" s="5" t="s">
        <v>40</v>
      </c>
      <c r="F582" s="5" t="s">
        <v>37</v>
      </c>
      <c r="G582" s="5" t="s">
        <v>41</v>
      </c>
      <c r="H582" s="6">
        <v>45540</v>
      </c>
      <c r="I582" s="5">
        <v>2.1</v>
      </c>
      <c r="J582" s="5">
        <v>66.5</v>
      </c>
      <c r="K582" s="5">
        <v>7</v>
      </c>
      <c r="L582" s="5">
        <v>73.599999999999994</v>
      </c>
      <c r="M582" s="5">
        <v>59.8</v>
      </c>
    </row>
    <row r="583" spans="1:13" x14ac:dyDescent="0.3">
      <c r="A583" s="5">
        <v>736</v>
      </c>
      <c r="B583" s="5" t="s">
        <v>35</v>
      </c>
      <c r="C583" s="5" t="s">
        <v>39</v>
      </c>
      <c r="D583" s="5" t="s">
        <v>37</v>
      </c>
      <c r="E583" s="5" t="s">
        <v>40</v>
      </c>
      <c r="F583" s="5" t="s">
        <v>40</v>
      </c>
      <c r="G583" s="5" t="s">
        <v>43</v>
      </c>
      <c r="H583" s="6">
        <v>45439</v>
      </c>
      <c r="I583" s="5">
        <v>4.3</v>
      </c>
      <c r="J583" s="5">
        <v>92.7</v>
      </c>
      <c r="K583" s="5">
        <v>5.3</v>
      </c>
      <c r="L583" s="5">
        <v>58.2</v>
      </c>
      <c r="M583" s="5">
        <v>74.5</v>
      </c>
    </row>
    <row r="584" spans="1:13" x14ac:dyDescent="0.3">
      <c r="A584" s="5">
        <v>559</v>
      </c>
      <c r="B584" s="5" t="s">
        <v>35</v>
      </c>
      <c r="C584" s="5" t="s">
        <v>42</v>
      </c>
      <c r="D584" s="5"/>
      <c r="E584" s="5" t="s">
        <v>40</v>
      </c>
      <c r="F584" s="5" t="s">
        <v>40</v>
      </c>
      <c r="G584" s="5" t="s">
        <v>43</v>
      </c>
      <c r="H584" s="6">
        <v>45572</v>
      </c>
      <c r="I584" s="5">
        <v>4.5</v>
      </c>
      <c r="J584" s="5">
        <v>71.900000000000006</v>
      </c>
      <c r="K584" s="5">
        <v>8.5</v>
      </c>
      <c r="L584" s="5">
        <v>49.4</v>
      </c>
      <c r="M584" s="5">
        <v>70.5</v>
      </c>
    </row>
    <row r="585" spans="1:13" x14ac:dyDescent="0.3">
      <c r="A585" s="5">
        <v>120</v>
      </c>
      <c r="B585" s="5" t="s">
        <v>35</v>
      </c>
      <c r="C585" s="5" t="s">
        <v>39</v>
      </c>
      <c r="D585" s="5" t="s">
        <v>37</v>
      </c>
      <c r="E585" s="5" t="s">
        <v>40</v>
      </c>
      <c r="F585" s="5" t="s">
        <v>37</v>
      </c>
      <c r="G585" s="5" t="s">
        <v>47</v>
      </c>
      <c r="H585" s="6">
        <v>45170</v>
      </c>
      <c r="I585" s="5">
        <v>2.6</v>
      </c>
      <c r="J585" s="5">
        <v>84.1</v>
      </c>
      <c r="K585" s="5">
        <v>6.4</v>
      </c>
      <c r="L585" s="5">
        <v>89.8</v>
      </c>
      <c r="M585" s="5">
        <v>80.2</v>
      </c>
    </row>
    <row r="586" spans="1:13" x14ac:dyDescent="0.3">
      <c r="A586" s="5">
        <v>553</v>
      </c>
      <c r="B586" s="5" t="s">
        <v>44</v>
      </c>
      <c r="C586" s="5" t="s">
        <v>39</v>
      </c>
      <c r="D586" s="5" t="s">
        <v>37</v>
      </c>
      <c r="E586" s="5" t="s">
        <v>37</v>
      </c>
      <c r="F586" s="5" t="s">
        <v>37</v>
      </c>
      <c r="G586" s="5" t="s">
        <v>43</v>
      </c>
      <c r="H586" s="6">
        <v>45151</v>
      </c>
      <c r="I586" s="5">
        <v>6.4</v>
      </c>
      <c r="J586" s="5">
        <v>83.5</v>
      </c>
      <c r="K586" s="5">
        <v>5.6</v>
      </c>
      <c r="L586" s="5">
        <v>73</v>
      </c>
      <c r="M586" s="5">
        <v>78.400000000000006</v>
      </c>
    </row>
    <row r="587" spans="1:13" x14ac:dyDescent="0.3">
      <c r="A587" s="5">
        <v>270</v>
      </c>
      <c r="B587" s="5" t="s">
        <v>44</v>
      </c>
      <c r="C587" s="5" t="s">
        <v>45</v>
      </c>
      <c r="D587" s="5" t="s">
        <v>37</v>
      </c>
      <c r="E587" s="5" t="s">
        <v>37</v>
      </c>
      <c r="F587" s="5" t="s">
        <v>40</v>
      </c>
      <c r="G587" s="5" t="s">
        <v>43</v>
      </c>
      <c r="H587" s="6">
        <v>45479</v>
      </c>
      <c r="I587" s="5">
        <v>5.2</v>
      </c>
      <c r="J587" s="5">
        <v>83.5</v>
      </c>
      <c r="K587" s="5">
        <v>7.5</v>
      </c>
      <c r="L587" s="5">
        <v>78.099999999999994</v>
      </c>
      <c r="M587" s="5">
        <v>73.400000000000006</v>
      </c>
    </row>
    <row r="588" spans="1:13" x14ac:dyDescent="0.3">
      <c r="A588" s="5">
        <v>612</v>
      </c>
      <c r="B588" s="5" t="s">
        <v>35</v>
      </c>
      <c r="C588" s="5" t="s">
        <v>42</v>
      </c>
      <c r="D588" s="5" t="s">
        <v>40</v>
      </c>
      <c r="E588" s="5" t="s">
        <v>40</v>
      </c>
      <c r="F588" s="5" t="s">
        <v>37</v>
      </c>
      <c r="G588" s="5" t="s">
        <v>46</v>
      </c>
      <c r="H588" s="6">
        <v>45055</v>
      </c>
      <c r="I588" s="5">
        <v>3.5</v>
      </c>
      <c r="J588" s="5">
        <v>76.400000000000006</v>
      </c>
      <c r="K588" s="5">
        <v>4.5999999999999996</v>
      </c>
      <c r="L588" s="5">
        <v>66.75</v>
      </c>
      <c r="M588" s="5">
        <v>69</v>
      </c>
    </row>
    <row r="589" spans="1:13" x14ac:dyDescent="0.3">
      <c r="A589" s="5">
        <v>566</v>
      </c>
      <c r="B589" s="5" t="s">
        <v>44</v>
      </c>
      <c r="C589" s="5" t="s">
        <v>36</v>
      </c>
      <c r="D589" s="5" t="s">
        <v>37</v>
      </c>
      <c r="E589" s="5" t="s">
        <v>40</v>
      </c>
      <c r="F589" s="5" t="s">
        <v>37</v>
      </c>
      <c r="G589" s="5" t="s">
        <v>38</v>
      </c>
      <c r="H589" s="6">
        <v>45142</v>
      </c>
      <c r="I589" s="5">
        <v>4.7</v>
      </c>
      <c r="J589" s="5">
        <v>94</v>
      </c>
      <c r="K589" s="5">
        <v>8.3000000000000007</v>
      </c>
      <c r="L589" s="5">
        <v>71.900000000000006</v>
      </c>
      <c r="M589" s="5">
        <v>97.8</v>
      </c>
    </row>
    <row r="590" spans="1:13" x14ac:dyDescent="0.3">
      <c r="A590" s="5">
        <v>149</v>
      </c>
      <c r="B590" s="5" t="s">
        <v>35</v>
      </c>
      <c r="C590" s="5" t="s">
        <v>39</v>
      </c>
      <c r="D590" s="5" t="s">
        <v>37</v>
      </c>
      <c r="E590" s="5" t="s">
        <v>37</v>
      </c>
      <c r="F590" s="5" t="s">
        <v>40</v>
      </c>
      <c r="G590" s="5" t="s">
        <v>46</v>
      </c>
      <c r="H590" s="6">
        <v>45000</v>
      </c>
      <c r="I590" s="5">
        <v>1.7</v>
      </c>
      <c r="J590" s="5">
        <v>85.8</v>
      </c>
      <c r="K590" s="5">
        <v>8.4</v>
      </c>
      <c r="L590" s="5">
        <v>63.9</v>
      </c>
      <c r="M590" s="5">
        <v>66.8</v>
      </c>
    </row>
    <row r="591" spans="1:13" x14ac:dyDescent="0.3">
      <c r="A591" s="5">
        <v>523</v>
      </c>
      <c r="B591" s="5" t="s">
        <v>44</v>
      </c>
      <c r="C591" s="5" t="s">
        <v>45</v>
      </c>
      <c r="D591" s="5" t="s">
        <v>40</v>
      </c>
      <c r="E591" s="5" t="s">
        <v>37</v>
      </c>
      <c r="F591" s="5" t="s">
        <v>37</v>
      </c>
      <c r="G591" s="5" t="s">
        <v>47</v>
      </c>
      <c r="H591" s="6">
        <v>45340</v>
      </c>
      <c r="I591" s="5">
        <v>5.7</v>
      </c>
      <c r="J591" s="5">
        <v>73.599999999999994</v>
      </c>
      <c r="K591" s="5">
        <v>6.7</v>
      </c>
      <c r="L591" s="5">
        <v>67</v>
      </c>
      <c r="M591" s="5">
        <v>74.099999999999994</v>
      </c>
    </row>
    <row r="592" spans="1:13" x14ac:dyDescent="0.3">
      <c r="A592" s="5">
        <v>807</v>
      </c>
      <c r="B592" s="5" t="s">
        <v>44</v>
      </c>
      <c r="C592" s="5"/>
      <c r="D592" s="5" t="s">
        <v>37</v>
      </c>
      <c r="E592" s="5" t="s">
        <v>37</v>
      </c>
      <c r="F592" s="5" t="s">
        <v>40</v>
      </c>
      <c r="G592" s="5" t="s">
        <v>43</v>
      </c>
      <c r="H592" s="6">
        <v>45406</v>
      </c>
      <c r="I592" s="5">
        <v>2.1</v>
      </c>
      <c r="J592" s="5">
        <v>89.8</v>
      </c>
      <c r="K592" s="5">
        <v>7.8</v>
      </c>
      <c r="L592" s="5">
        <v>79.400000000000006</v>
      </c>
      <c r="M592" s="5">
        <v>78.7</v>
      </c>
    </row>
    <row r="593" spans="1:13" x14ac:dyDescent="0.3">
      <c r="A593" s="5">
        <v>223</v>
      </c>
      <c r="B593" s="5" t="s">
        <v>44</v>
      </c>
      <c r="C593" s="5" t="s">
        <v>42</v>
      </c>
      <c r="D593" s="5" t="s">
        <v>40</v>
      </c>
      <c r="E593" s="5" t="s">
        <v>40</v>
      </c>
      <c r="F593" s="5" t="s">
        <v>37</v>
      </c>
      <c r="G593" s="5" t="s">
        <v>43</v>
      </c>
      <c r="H593" s="6">
        <v>45284</v>
      </c>
      <c r="I593" s="5">
        <v>6.7</v>
      </c>
      <c r="J593" s="5">
        <v>87.8</v>
      </c>
      <c r="K593" s="5">
        <v>4.5999999999999996</v>
      </c>
      <c r="L593" s="5">
        <v>44.2</v>
      </c>
      <c r="M593" s="5">
        <v>72.400000000000006</v>
      </c>
    </row>
    <row r="594" spans="1:13" x14ac:dyDescent="0.3">
      <c r="A594" s="5">
        <v>339</v>
      </c>
      <c r="B594" s="5" t="s">
        <v>44</v>
      </c>
      <c r="C594" s="5" t="s">
        <v>42</v>
      </c>
      <c r="D594" s="5" t="s">
        <v>40</v>
      </c>
      <c r="E594" s="5" t="s">
        <v>37</v>
      </c>
      <c r="F594" s="5" t="s">
        <v>40</v>
      </c>
      <c r="G594" s="5" t="s">
        <v>43</v>
      </c>
      <c r="H594" s="6">
        <v>44998</v>
      </c>
      <c r="I594" s="5">
        <v>4.7</v>
      </c>
      <c r="J594" s="5">
        <v>97.2</v>
      </c>
      <c r="K594" s="5">
        <v>5.2</v>
      </c>
      <c r="L594" s="5">
        <v>82</v>
      </c>
      <c r="M594" s="5">
        <v>76.599999999999994</v>
      </c>
    </row>
    <row r="595" spans="1:13" x14ac:dyDescent="0.3">
      <c r="A595" s="5">
        <v>329</v>
      </c>
      <c r="B595" s="5" t="s">
        <v>35</v>
      </c>
      <c r="C595" s="5"/>
      <c r="D595" s="5" t="s">
        <v>37</v>
      </c>
      <c r="E595" s="5" t="s">
        <v>40</v>
      </c>
      <c r="F595" s="5" t="s">
        <v>37</v>
      </c>
      <c r="G595" s="5" t="s">
        <v>46</v>
      </c>
      <c r="H595" s="6">
        <v>45634</v>
      </c>
      <c r="I595" s="5">
        <v>0.6</v>
      </c>
      <c r="J595" s="5">
        <v>73.7</v>
      </c>
      <c r="K595" s="5">
        <v>8.6</v>
      </c>
      <c r="L595" s="5">
        <v>70.5</v>
      </c>
      <c r="M595" s="5">
        <v>63.5</v>
      </c>
    </row>
    <row r="596" spans="1:13" x14ac:dyDescent="0.3">
      <c r="A596" s="5">
        <v>688</v>
      </c>
      <c r="B596" s="5" t="s">
        <v>44</v>
      </c>
      <c r="C596" s="5" t="s">
        <v>42</v>
      </c>
      <c r="D596" s="5" t="s">
        <v>37</v>
      </c>
      <c r="E596" s="5" t="s">
        <v>40</v>
      </c>
      <c r="F596" s="5" t="s">
        <v>37</v>
      </c>
      <c r="G596" s="5" t="s">
        <v>46</v>
      </c>
      <c r="H596" s="6">
        <v>45421</v>
      </c>
      <c r="I596" s="5">
        <v>3.7</v>
      </c>
      <c r="J596" s="5">
        <v>84.6</v>
      </c>
      <c r="K596" s="5">
        <v>4.9000000000000004</v>
      </c>
      <c r="L596" s="5">
        <v>52.4</v>
      </c>
      <c r="M596" s="5">
        <v>62.8</v>
      </c>
    </row>
    <row r="597" spans="1:13" x14ac:dyDescent="0.3">
      <c r="A597" s="5">
        <v>158</v>
      </c>
      <c r="B597" s="5" t="s">
        <v>44</v>
      </c>
      <c r="C597" s="5" t="s">
        <v>42</v>
      </c>
      <c r="D597" s="5" t="s">
        <v>37</v>
      </c>
      <c r="E597" s="5" t="s">
        <v>40</v>
      </c>
      <c r="F597" s="5" t="s">
        <v>40</v>
      </c>
      <c r="G597" s="5" t="s">
        <v>46</v>
      </c>
      <c r="H597" s="6">
        <v>45279</v>
      </c>
      <c r="I597" s="5">
        <v>4</v>
      </c>
      <c r="J597" s="5">
        <v>96.5</v>
      </c>
      <c r="K597" s="5">
        <v>8.9</v>
      </c>
      <c r="L597" s="5">
        <v>58.2</v>
      </c>
      <c r="M597" s="5">
        <v>69.8</v>
      </c>
    </row>
    <row r="598" spans="1:13" x14ac:dyDescent="0.3">
      <c r="A598" s="5">
        <v>376</v>
      </c>
      <c r="B598" s="5" t="s">
        <v>44</v>
      </c>
      <c r="C598" s="5" t="s">
        <v>39</v>
      </c>
      <c r="D598" s="5" t="s">
        <v>37</v>
      </c>
      <c r="E598" s="5" t="s">
        <v>40</v>
      </c>
      <c r="F598" s="5" t="s">
        <v>40</v>
      </c>
      <c r="G598" s="5" t="s">
        <v>47</v>
      </c>
      <c r="H598" s="6">
        <v>45327</v>
      </c>
      <c r="I598" s="5">
        <v>6.5</v>
      </c>
      <c r="J598" s="5">
        <v>84.5</v>
      </c>
      <c r="K598" s="5">
        <v>5</v>
      </c>
      <c r="L598" s="5">
        <v>67</v>
      </c>
      <c r="M598" s="5">
        <v>80.8</v>
      </c>
    </row>
    <row r="599" spans="1:13" x14ac:dyDescent="0.3">
      <c r="A599" s="5">
        <v>541</v>
      </c>
      <c r="B599" s="5" t="s">
        <v>35</v>
      </c>
      <c r="C599" s="5" t="s">
        <v>45</v>
      </c>
      <c r="D599" s="5" t="s">
        <v>37</v>
      </c>
      <c r="E599" s="5" t="s">
        <v>40</v>
      </c>
      <c r="F599" s="5" t="s">
        <v>40</v>
      </c>
      <c r="G599" s="5" t="s">
        <v>38</v>
      </c>
      <c r="H599" s="6">
        <v>45088</v>
      </c>
      <c r="I599" s="5">
        <v>5</v>
      </c>
      <c r="J599" s="5">
        <v>85.5</v>
      </c>
      <c r="K599" s="5">
        <v>6.6</v>
      </c>
      <c r="L599" s="5">
        <v>58.3</v>
      </c>
      <c r="M599" s="5">
        <v>94.6</v>
      </c>
    </row>
    <row r="600" spans="1:13" x14ac:dyDescent="0.3">
      <c r="A600" s="5">
        <v>385</v>
      </c>
      <c r="B600" s="5" t="s">
        <v>44</v>
      </c>
      <c r="C600" s="5"/>
      <c r="D600" s="5" t="s">
        <v>37</v>
      </c>
      <c r="E600" s="5" t="s">
        <v>37</v>
      </c>
      <c r="F600" s="5" t="s">
        <v>37</v>
      </c>
      <c r="G600" s="5" t="s">
        <v>43</v>
      </c>
      <c r="H600" s="6">
        <v>45146</v>
      </c>
      <c r="I600" s="5">
        <v>2.4</v>
      </c>
      <c r="J600" s="5">
        <v>91.3</v>
      </c>
      <c r="K600" s="5">
        <v>8</v>
      </c>
      <c r="L600" s="5">
        <v>93</v>
      </c>
      <c r="M600" s="5">
        <v>42.8</v>
      </c>
    </row>
    <row r="601" spans="1:13" x14ac:dyDescent="0.3">
      <c r="A601" s="5">
        <v>854</v>
      </c>
      <c r="B601" s="5" t="s">
        <v>44</v>
      </c>
      <c r="C601" s="5" t="s">
        <v>42</v>
      </c>
      <c r="D601" s="5" t="s">
        <v>37</v>
      </c>
      <c r="E601" s="5" t="s">
        <v>40</v>
      </c>
      <c r="F601" s="5" t="s">
        <v>40</v>
      </c>
      <c r="G601" s="5" t="s">
        <v>46</v>
      </c>
      <c r="H601" s="6">
        <v>45043</v>
      </c>
      <c r="I601" s="5">
        <v>2.6</v>
      </c>
      <c r="J601" s="5">
        <v>94.1</v>
      </c>
      <c r="K601" s="5">
        <v>4.5999999999999996</v>
      </c>
      <c r="L601" s="5">
        <v>68.2</v>
      </c>
      <c r="M601" s="5">
        <v>67.5</v>
      </c>
    </row>
    <row r="602" spans="1:13" x14ac:dyDescent="0.3">
      <c r="A602" s="5">
        <v>290</v>
      </c>
      <c r="B602" s="5" t="s">
        <v>44</v>
      </c>
      <c r="C602" s="5"/>
      <c r="D602" s="5" t="s">
        <v>37</v>
      </c>
      <c r="E602" s="5" t="s">
        <v>37</v>
      </c>
      <c r="F602" s="5" t="s">
        <v>40</v>
      </c>
      <c r="G602" s="5" t="s">
        <v>41</v>
      </c>
      <c r="H602" s="6">
        <v>45183</v>
      </c>
      <c r="I602" s="5">
        <v>1.4</v>
      </c>
      <c r="J602" s="5">
        <v>86.5</v>
      </c>
      <c r="K602" s="5">
        <v>5.2</v>
      </c>
      <c r="L602" s="5">
        <v>84.2</v>
      </c>
      <c r="M602" s="5">
        <v>55.3</v>
      </c>
    </row>
    <row r="603" spans="1:13" x14ac:dyDescent="0.3">
      <c r="A603" s="5">
        <v>803</v>
      </c>
      <c r="B603" s="5" t="s">
        <v>35</v>
      </c>
      <c r="C603" s="5" t="s">
        <v>45</v>
      </c>
      <c r="D603" s="5" t="s">
        <v>37</v>
      </c>
      <c r="E603" s="5" t="s">
        <v>37</v>
      </c>
      <c r="F603" s="5" t="s">
        <v>40</v>
      </c>
      <c r="G603" s="5" t="s">
        <v>38</v>
      </c>
      <c r="H603" s="6">
        <v>45138</v>
      </c>
      <c r="I603" s="5">
        <v>4.5999999999999996</v>
      </c>
      <c r="J603" s="5">
        <v>81.900000000000006</v>
      </c>
      <c r="K603" s="5">
        <v>8.1999999999999993</v>
      </c>
      <c r="L603" s="5">
        <v>84.2</v>
      </c>
      <c r="M603" s="5">
        <v>92.7</v>
      </c>
    </row>
    <row r="604" spans="1:13" x14ac:dyDescent="0.3">
      <c r="A604" s="5">
        <v>607</v>
      </c>
      <c r="B604" s="5" t="s">
        <v>44</v>
      </c>
      <c r="C604" s="5" t="s">
        <v>36</v>
      </c>
      <c r="D604" s="5" t="s">
        <v>37</v>
      </c>
      <c r="E604" s="5" t="s">
        <v>40</v>
      </c>
      <c r="F604" s="5" t="s">
        <v>40</v>
      </c>
      <c r="G604" s="5" t="s">
        <v>41</v>
      </c>
      <c r="H604" s="6">
        <v>44972</v>
      </c>
      <c r="I604" s="5">
        <v>1.4</v>
      </c>
      <c r="J604" s="5">
        <v>83.1</v>
      </c>
      <c r="K604" s="5">
        <v>4.5</v>
      </c>
      <c r="L604" s="5">
        <v>47.5</v>
      </c>
      <c r="M604" s="5">
        <v>55.7</v>
      </c>
    </row>
    <row r="605" spans="1:13" x14ac:dyDescent="0.3">
      <c r="A605" s="5">
        <v>130</v>
      </c>
      <c r="B605" s="5" t="s">
        <v>44</v>
      </c>
      <c r="C605" s="5"/>
      <c r="D605" s="5" t="s">
        <v>37</v>
      </c>
      <c r="E605" s="5" t="s">
        <v>37</v>
      </c>
      <c r="F605" s="5" t="s">
        <v>37</v>
      </c>
      <c r="G605" s="5" t="s">
        <v>38</v>
      </c>
      <c r="H605" s="6">
        <v>44994</v>
      </c>
      <c r="I605" s="5">
        <v>6.1</v>
      </c>
      <c r="J605" s="5">
        <v>93.8</v>
      </c>
      <c r="K605" s="5">
        <v>6.7</v>
      </c>
      <c r="L605" s="5">
        <v>79.3</v>
      </c>
      <c r="M605" s="5">
        <v>92.4</v>
      </c>
    </row>
    <row r="606" spans="1:13" x14ac:dyDescent="0.3">
      <c r="A606" s="5">
        <v>46</v>
      </c>
      <c r="B606" s="5" t="s">
        <v>35</v>
      </c>
      <c r="C606" s="5" t="s">
        <v>42</v>
      </c>
      <c r="D606" s="5" t="s">
        <v>37</v>
      </c>
      <c r="E606" s="5" t="s">
        <v>40</v>
      </c>
      <c r="F606" s="5" t="s">
        <v>40</v>
      </c>
      <c r="G606" s="5" t="s">
        <v>41</v>
      </c>
      <c r="H606" s="6">
        <v>44993</v>
      </c>
      <c r="I606" s="5">
        <v>1.2</v>
      </c>
      <c r="J606" s="5">
        <v>100</v>
      </c>
      <c r="K606" s="5">
        <v>7.3</v>
      </c>
      <c r="L606" s="5">
        <v>36.700000000000003</v>
      </c>
      <c r="M606" s="5">
        <v>53.6</v>
      </c>
    </row>
    <row r="607" spans="1:13" x14ac:dyDescent="0.3">
      <c r="A607" s="5">
        <v>516</v>
      </c>
      <c r="B607" s="5" t="s">
        <v>35</v>
      </c>
      <c r="C607" s="5" t="s">
        <v>39</v>
      </c>
      <c r="D607" s="5" t="s">
        <v>37</v>
      </c>
      <c r="E607" s="5" t="s">
        <v>37</v>
      </c>
      <c r="F607" s="5" t="s">
        <v>40</v>
      </c>
      <c r="G607" s="5" t="s">
        <v>41</v>
      </c>
      <c r="H607" s="6">
        <v>45543</v>
      </c>
      <c r="I607" s="5">
        <v>6.5</v>
      </c>
      <c r="J607" s="5">
        <v>72.5</v>
      </c>
      <c r="K607" s="5">
        <v>5.6</v>
      </c>
      <c r="L607" s="5">
        <v>42.6</v>
      </c>
      <c r="M607" s="5">
        <v>57.3</v>
      </c>
    </row>
    <row r="608" spans="1:13" x14ac:dyDescent="0.3">
      <c r="A608" s="5">
        <v>120</v>
      </c>
      <c r="B608" s="5" t="s">
        <v>35</v>
      </c>
      <c r="C608" s="5" t="s">
        <v>39</v>
      </c>
      <c r="D608" s="5" t="s">
        <v>37</v>
      </c>
      <c r="E608" s="5" t="s">
        <v>40</v>
      </c>
      <c r="F608" s="5" t="s">
        <v>37</v>
      </c>
      <c r="G608" s="5" t="s">
        <v>47</v>
      </c>
      <c r="H608" s="6">
        <v>45170</v>
      </c>
      <c r="I608" s="5">
        <v>2.6</v>
      </c>
      <c r="J608" s="5">
        <v>84.1</v>
      </c>
      <c r="K608" s="5">
        <v>6.4</v>
      </c>
      <c r="L608" s="5">
        <v>89.8</v>
      </c>
      <c r="M608" s="5">
        <v>77.5</v>
      </c>
    </row>
    <row r="609" spans="1:13" x14ac:dyDescent="0.3">
      <c r="A609" s="5">
        <v>403</v>
      </c>
      <c r="B609" s="5" t="s">
        <v>35</v>
      </c>
      <c r="C609" s="5" t="s">
        <v>39</v>
      </c>
      <c r="D609" s="5" t="s">
        <v>37</v>
      </c>
      <c r="E609" s="5" t="s">
        <v>40</v>
      </c>
      <c r="F609" s="5" t="s">
        <v>40</v>
      </c>
      <c r="G609" s="5" t="s">
        <v>43</v>
      </c>
      <c r="H609" s="6">
        <v>45631</v>
      </c>
      <c r="I609" s="5">
        <v>4.9000000000000004</v>
      </c>
      <c r="J609" s="5">
        <v>87.5</v>
      </c>
      <c r="K609" s="5">
        <v>4.9000000000000004</v>
      </c>
      <c r="L609" s="5">
        <v>59.9</v>
      </c>
      <c r="M609" s="5">
        <v>70.2</v>
      </c>
    </row>
    <row r="610" spans="1:13" x14ac:dyDescent="0.3">
      <c r="A610" s="5">
        <v>934</v>
      </c>
      <c r="B610" s="5" t="s">
        <v>44</v>
      </c>
      <c r="C610" s="5" t="s">
        <v>39</v>
      </c>
      <c r="D610" s="5" t="s">
        <v>37</v>
      </c>
      <c r="E610" s="5" t="s">
        <v>37</v>
      </c>
      <c r="F610" s="5" t="s">
        <v>40</v>
      </c>
      <c r="G610" s="5" t="s">
        <v>47</v>
      </c>
      <c r="H610" s="6">
        <v>45131</v>
      </c>
      <c r="I610" s="5">
        <v>6.6</v>
      </c>
      <c r="J610" s="5">
        <v>95</v>
      </c>
      <c r="K610" s="5">
        <v>5.7</v>
      </c>
      <c r="L610" s="5">
        <v>74.3</v>
      </c>
      <c r="M610" s="5">
        <v>85.4</v>
      </c>
    </row>
    <row r="611" spans="1:13" x14ac:dyDescent="0.3">
      <c r="A611" s="5">
        <v>404</v>
      </c>
      <c r="B611" s="5" t="s">
        <v>44</v>
      </c>
      <c r="C611" s="5"/>
      <c r="D611" s="5" t="s">
        <v>37</v>
      </c>
      <c r="E611" s="5" t="s">
        <v>40</v>
      </c>
      <c r="F611" s="5" t="s">
        <v>37</v>
      </c>
      <c r="G611" s="5" t="s">
        <v>47</v>
      </c>
      <c r="H611" s="6">
        <v>45128</v>
      </c>
      <c r="I611" s="5">
        <v>5.8</v>
      </c>
      <c r="J611" s="5">
        <v>72.599999999999994</v>
      </c>
      <c r="K611" s="5">
        <v>8</v>
      </c>
      <c r="L611" s="5">
        <v>84</v>
      </c>
      <c r="M611" s="5">
        <v>84.7</v>
      </c>
    </row>
    <row r="612" spans="1:13" x14ac:dyDescent="0.3">
      <c r="A612" s="5">
        <v>461</v>
      </c>
      <c r="B612" s="5" t="s">
        <v>44</v>
      </c>
      <c r="C612" s="5" t="s">
        <v>42</v>
      </c>
      <c r="D612" s="5" t="s">
        <v>37</v>
      </c>
      <c r="E612" s="5" t="s">
        <v>40</v>
      </c>
      <c r="F612" s="5" t="s">
        <v>37</v>
      </c>
      <c r="G612" s="5" t="s">
        <v>47</v>
      </c>
      <c r="H612" s="6">
        <v>45351</v>
      </c>
      <c r="I612" s="5">
        <v>2.1</v>
      </c>
      <c r="J612" s="5">
        <v>83.8</v>
      </c>
      <c r="K612" s="5">
        <v>6.2</v>
      </c>
      <c r="L612" s="5">
        <v>89.5</v>
      </c>
      <c r="M612" s="5">
        <v>80.5</v>
      </c>
    </row>
    <row r="613" spans="1:13" x14ac:dyDescent="0.3">
      <c r="A613" s="5">
        <v>188</v>
      </c>
      <c r="B613" s="5" t="s">
        <v>44</v>
      </c>
      <c r="C613" s="5" t="s">
        <v>42</v>
      </c>
      <c r="D613" s="5" t="s">
        <v>37</v>
      </c>
      <c r="E613" s="5" t="s">
        <v>40</v>
      </c>
      <c r="F613" s="5" t="s">
        <v>37</v>
      </c>
      <c r="G613" s="5" t="s">
        <v>43</v>
      </c>
      <c r="H613" s="6">
        <v>45593</v>
      </c>
      <c r="I613" s="5">
        <v>3.8</v>
      </c>
      <c r="J613" s="5">
        <v>85.4</v>
      </c>
      <c r="K613" s="5">
        <v>6</v>
      </c>
      <c r="L613" s="5">
        <v>79.2</v>
      </c>
      <c r="M613" s="5">
        <v>75.900000000000006</v>
      </c>
    </row>
    <row r="614" spans="1:13" x14ac:dyDescent="0.3">
      <c r="A614" s="5">
        <v>195</v>
      </c>
      <c r="B614" s="5" t="s">
        <v>44</v>
      </c>
      <c r="C614" s="5" t="s">
        <v>42</v>
      </c>
      <c r="D614" s="5" t="s">
        <v>37</v>
      </c>
      <c r="E614" s="5" t="s">
        <v>37</v>
      </c>
      <c r="F614" s="5" t="s">
        <v>40</v>
      </c>
      <c r="G614" s="5" t="s">
        <v>46</v>
      </c>
      <c r="H614" s="6">
        <v>45182</v>
      </c>
      <c r="I614" s="5">
        <v>4.7</v>
      </c>
      <c r="J614" s="5">
        <v>72.099999999999994</v>
      </c>
      <c r="K614" s="5">
        <v>6.7</v>
      </c>
      <c r="L614" s="5">
        <v>43.5</v>
      </c>
      <c r="M614" s="5">
        <v>65.099999999999994</v>
      </c>
    </row>
    <row r="615" spans="1:13" x14ac:dyDescent="0.3">
      <c r="A615" s="5">
        <v>73</v>
      </c>
      <c r="B615" s="5" t="s">
        <v>35</v>
      </c>
      <c r="C615" s="5" t="s">
        <v>42</v>
      </c>
      <c r="D615" s="5" t="s">
        <v>40</v>
      </c>
      <c r="E615" s="5" t="s">
        <v>40</v>
      </c>
      <c r="F615" s="5" t="s">
        <v>40</v>
      </c>
      <c r="G615" s="5" t="s">
        <v>46</v>
      </c>
      <c r="H615" s="6">
        <v>45181</v>
      </c>
      <c r="I615" s="5">
        <v>6.3</v>
      </c>
      <c r="J615" s="5">
        <v>88.5</v>
      </c>
      <c r="K615" s="5">
        <v>5.2</v>
      </c>
      <c r="L615" s="5">
        <v>52.9</v>
      </c>
      <c r="M615" s="5">
        <v>67.8</v>
      </c>
    </row>
    <row r="616" spans="1:13" x14ac:dyDescent="0.3">
      <c r="A616" s="5">
        <v>918</v>
      </c>
      <c r="B616" s="5" t="s">
        <v>44</v>
      </c>
      <c r="C616" s="5"/>
      <c r="D616" s="5" t="s">
        <v>37</v>
      </c>
      <c r="E616" s="5" t="s">
        <v>40</v>
      </c>
      <c r="F616" s="5" t="s">
        <v>40</v>
      </c>
      <c r="G616" s="5" t="s">
        <v>47</v>
      </c>
      <c r="H616" s="6">
        <v>45235</v>
      </c>
      <c r="I616" s="5">
        <v>6.8</v>
      </c>
      <c r="J616" s="5">
        <v>90.4</v>
      </c>
      <c r="K616" s="5">
        <v>5.3</v>
      </c>
      <c r="L616" s="5">
        <v>67</v>
      </c>
      <c r="M616" s="5">
        <v>89.5</v>
      </c>
    </row>
    <row r="617" spans="1:13" x14ac:dyDescent="0.3">
      <c r="A617" s="5">
        <v>843</v>
      </c>
      <c r="B617" s="5" t="s">
        <v>35</v>
      </c>
      <c r="C617" s="5" t="s">
        <v>45</v>
      </c>
      <c r="D617" s="5" t="s">
        <v>40</v>
      </c>
      <c r="E617" s="5" t="s">
        <v>37</v>
      </c>
      <c r="F617" s="5" t="s">
        <v>40</v>
      </c>
      <c r="G617" s="5" t="s">
        <v>43</v>
      </c>
      <c r="H617" s="6">
        <v>45645</v>
      </c>
      <c r="I617" s="5">
        <v>5.0999999999999996</v>
      </c>
      <c r="J617" s="5">
        <v>79.2</v>
      </c>
      <c r="K617" s="5">
        <v>7</v>
      </c>
      <c r="L617" s="5">
        <v>69.400000000000006</v>
      </c>
      <c r="M617" s="5">
        <v>79.3</v>
      </c>
    </row>
    <row r="618" spans="1:13" x14ac:dyDescent="0.3">
      <c r="A618" s="5">
        <v>617</v>
      </c>
      <c r="B618" s="5" t="s">
        <v>35</v>
      </c>
      <c r="C618" s="5" t="s">
        <v>45</v>
      </c>
      <c r="D618" s="5" t="s">
        <v>40</v>
      </c>
      <c r="E618" s="5" t="s">
        <v>37</v>
      </c>
      <c r="F618" s="5" t="s">
        <v>37</v>
      </c>
      <c r="G618" s="5" t="s">
        <v>41</v>
      </c>
      <c r="H618" s="6">
        <v>45192</v>
      </c>
      <c r="I618" s="5">
        <v>2.7</v>
      </c>
      <c r="J618" s="5">
        <v>88.5</v>
      </c>
      <c r="K618" s="5">
        <v>4.7</v>
      </c>
      <c r="L618" s="5">
        <v>45.5</v>
      </c>
      <c r="M618" s="5">
        <v>53.1</v>
      </c>
    </row>
    <row r="619" spans="1:13" x14ac:dyDescent="0.3">
      <c r="A619" s="5">
        <v>91</v>
      </c>
      <c r="B619" s="5" t="s">
        <v>35</v>
      </c>
      <c r="C619" s="5" t="s">
        <v>42</v>
      </c>
      <c r="D619" s="5" t="s">
        <v>37</v>
      </c>
      <c r="E619" s="5" t="s">
        <v>37</v>
      </c>
      <c r="F619" s="5" t="s">
        <v>37</v>
      </c>
      <c r="G619" s="5" t="s">
        <v>41</v>
      </c>
      <c r="H619" s="6"/>
      <c r="I619" s="5">
        <v>1.3</v>
      </c>
      <c r="J619" s="5">
        <v>96.4</v>
      </c>
      <c r="K619" s="5">
        <v>8.4</v>
      </c>
      <c r="L619" s="5">
        <v>66.75</v>
      </c>
      <c r="M619" s="5">
        <v>52.5</v>
      </c>
    </row>
    <row r="620" spans="1:13" x14ac:dyDescent="0.3">
      <c r="A620" s="5">
        <v>470</v>
      </c>
      <c r="B620" s="5" t="s">
        <v>35</v>
      </c>
      <c r="C620" s="5" t="s">
        <v>39</v>
      </c>
      <c r="D620" s="5" t="s">
        <v>37</v>
      </c>
      <c r="E620" s="5" t="s">
        <v>40</v>
      </c>
      <c r="F620" s="5" t="s">
        <v>37</v>
      </c>
      <c r="G620" s="5" t="s">
        <v>43</v>
      </c>
      <c r="H620" s="6">
        <v>45052</v>
      </c>
      <c r="I620" s="5">
        <v>0.7</v>
      </c>
      <c r="J620" s="5">
        <v>90.6</v>
      </c>
      <c r="K620" s="5">
        <v>7.9</v>
      </c>
      <c r="L620" s="5">
        <v>87.1</v>
      </c>
      <c r="M620" s="5">
        <v>70.8</v>
      </c>
    </row>
    <row r="621" spans="1:13" x14ac:dyDescent="0.3">
      <c r="A621" s="5">
        <v>631</v>
      </c>
      <c r="B621" s="5" t="s">
        <v>35</v>
      </c>
      <c r="C621" s="5"/>
      <c r="D621" s="5" t="s">
        <v>37</v>
      </c>
      <c r="E621" s="5" t="s">
        <v>40</v>
      </c>
      <c r="F621" s="5" t="s">
        <v>40</v>
      </c>
      <c r="G621" s="5" t="s">
        <v>43</v>
      </c>
      <c r="H621" s="6">
        <v>45069</v>
      </c>
      <c r="I621" s="5">
        <v>4.3</v>
      </c>
      <c r="J621" s="5">
        <v>79.7</v>
      </c>
      <c r="K621" s="5">
        <v>6.5</v>
      </c>
      <c r="L621" s="5">
        <v>88.5</v>
      </c>
      <c r="M621" s="5">
        <v>79.900000000000006</v>
      </c>
    </row>
    <row r="622" spans="1:13" x14ac:dyDescent="0.3">
      <c r="A622" s="5">
        <v>625</v>
      </c>
      <c r="B622" s="5" t="s">
        <v>44</v>
      </c>
      <c r="C622" s="5"/>
      <c r="D622" s="5" t="s">
        <v>37</v>
      </c>
      <c r="E622" s="5" t="s">
        <v>37</v>
      </c>
      <c r="F622" s="5" t="s">
        <v>37</v>
      </c>
      <c r="G622" s="5" t="s">
        <v>46</v>
      </c>
      <c r="H622" s="6">
        <v>44978</v>
      </c>
      <c r="I622" s="5">
        <v>2.5</v>
      </c>
      <c r="J622" s="5">
        <v>79.7</v>
      </c>
      <c r="K622" s="5">
        <v>6.7</v>
      </c>
      <c r="L622" s="5">
        <v>75.099999999999994</v>
      </c>
      <c r="M622" s="5">
        <v>67.7</v>
      </c>
    </row>
    <row r="623" spans="1:13" x14ac:dyDescent="0.3">
      <c r="A623" s="5">
        <v>443</v>
      </c>
      <c r="B623" s="5" t="s">
        <v>44</v>
      </c>
      <c r="C623" s="5" t="s">
        <v>42</v>
      </c>
      <c r="D623" s="5"/>
      <c r="E623" s="5" t="s">
        <v>40</v>
      </c>
      <c r="F623" s="5" t="s">
        <v>37</v>
      </c>
      <c r="G623" s="5" t="s">
        <v>47</v>
      </c>
      <c r="H623" s="6">
        <v>44985</v>
      </c>
      <c r="I623" s="5">
        <v>6.9</v>
      </c>
      <c r="J623" s="5">
        <v>99.9</v>
      </c>
      <c r="K623" s="5">
        <v>8.9</v>
      </c>
      <c r="L623" s="5">
        <v>49.3</v>
      </c>
      <c r="M623" s="5">
        <v>89.7</v>
      </c>
    </row>
    <row r="624" spans="1:13" x14ac:dyDescent="0.3">
      <c r="A624" s="5">
        <v>434</v>
      </c>
      <c r="B624" s="5" t="s">
        <v>44</v>
      </c>
      <c r="C624" s="5" t="s">
        <v>39</v>
      </c>
      <c r="D624" s="5" t="s">
        <v>37</v>
      </c>
      <c r="E624" s="5" t="s">
        <v>37</v>
      </c>
      <c r="F624" s="5" t="s">
        <v>40</v>
      </c>
      <c r="G624" s="5" t="s">
        <v>47</v>
      </c>
      <c r="H624" s="6">
        <v>45273</v>
      </c>
      <c r="I624" s="5">
        <v>6.2</v>
      </c>
      <c r="J624" s="5">
        <v>84.1</v>
      </c>
      <c r="K624" s="5">
        <v>8.1</v>
      </c>
      <c r="L624" s="5">
        <v>58.2</v>
      </c>
      <c r="M624" s="5">
        <v>84.2</v>
      </c>
    </row>
    <row r="625" spans="1:13" x14ac:dyDescent="0.3">
      <c r="A625" s="5">
        <v>505</v>
      </c>
      <c r="B625" s="5" t="s">
        <v>35</v>
      </c>
      <c r="C625" s="5" t="s">
        <v>39</v>
      </c>
      <c r="D625" s="5" t="s">
        <v>37</v>
      </c>
      <c r="E625" s="5" t="s">
        <v>37</v>
      </c>
      <c r="F625" s="5" t="s">
        <v>37</v>
      </c>
      <c r="G625" s="5" t="s">
        <v>46</v>
      </c>
      <c r="H625" s="6">
        <v>45425</v>
      </c>
      <c r="I625" s="5">
        <v>2.1</v>
      </c>
      <c r="J625" s="5">
        <v>90.4</v>
      </c>
      <c r="K625" s="5">
        <v>5.4</v>
      </c>
      <c r="L625" s="5">
        <v>75.5</v>
      </c>
      <c r="M625" s="5">
        <v>69.3</v>
      </c>
    </row>
    <row r="626" spans="1:13" x14ac:dyDescent="0.3">
      <c r="A626" s="5">
        <v>708</v>
      </c>
      <c r="B626" s="5" t="s">
        <v>35</v>
      </c>
      <c r="C626" s="5" t="s">
        <v>36</v>
      </c>
      <c r="D626" s="5" t="s">
        <v>37</v>
      </c>
      <c r="E626" s="5" t="s">
        <v>37</v>
      </c>
      <c r="F626" s="5" t="s">
        <v>37</v>
      </c>
      <c r="G626" s="5" t="s">
        <v>47</v>
      </c>
      <c r="H626" s="6">
        <v>45332</v>
      </c>
      <c r="I626" s="5">
        <v>6.2</v>
      </c>
      <c r="J626" s="5">
        <v>88</v>
      </c>
      <c r="K626" s="5">
        <v>7.8</v>
      </c>
      <c r="L626" s="5">
        <v>42.7</v>
      </c>
      <c r="M626" s="5">
        <v>85.8</v>
      </c>
    </row>
    <row r="627" spans="1:13" x14ac:dyDescent="0.3">
      <c r="A627" s="5">
        <v>458</v>
      </c>
      <c r="B627" s="5" t="s">
        <v>35</v>
      </c>
      <c r="C627" s="5" t="s">
        <v>39</v>
      </c>
      <c r="D627" s="5" t="s">
        <v>37</v>
      </c>
      <c r="E627" s="5" t="s">
        <v>40</v>
      </c>
      <c r="F627" s="5" t="s">
        <v>40</v>
      </c>
      <c r="G627" s="5" t="s">
        <v>38</v>
      </c>
      <c r="H627" s="6">
        <v>45276</v>
      </c>
      <c r="I627" s="5">
        <v>3</v>
      </c>
      <c r="J627" s="5">
        <v>99.9</v>
      </c>
      <c r="K627" s="5">
        <v>4.8</v>
      </c>
      <c r="L627" s="5">
        <v>89.5</v>
      </c>
      <c r="M627" s="5">
        <v>92.6</v>
      </c>
    </row>
    <row r="628" spans="1:13" x14ac:dyDescent="0.3">
      <c r="A628" s="5">
        <v>654</v>
      </c>
      <c r="B628" s="5" t="s">
        <v>35</v>
      </c>
      <c r="C628" s="5" t="s">
        <v>42</v>
      </c>
      <c r="D628" s="5" t="s">
        <v>37</v>
      </c>
      <c r="E628" s="5" t="s">
        <v>37</v>
      </c>
      <c r="F628" s="5" t="s">
        <v>40</v>
      </c>
      <c r="G628" s="5" t="s">
        <v>46</v>
      </c>
      <c r="H628" s="6"/>
      <c r="I628" s="5">
        <v>3.9</v>
      </c>
      <c r="J628" s="5">
        <v>94.7</v>
      </c>
      <c r="K628" s="5">
        <v>4.0999999999999996</v>
      </c>
      <c r="L628" s="5">
        <v>66.75</v>
      </c>
      <c r="M628" s="5">
        <v>69.2</v>
      </c>
    </row>
    <row r="629" spans="1:13" x14ac:dyDescent="0.3">
      <c r="A629" s="5">
        <v>272</v>
      </c>
      <c r="B629" s="5" t="s">
        <v>44</v>
      </c>
      <c r="C629" s="5" t="s">
        <v>45</v>
      </c>
      <c r="D629" s="5" t="s">
        <v>37</v>
      </c>
      <c r="E629" s="5" t="s">
        <v>37</v>
      </c>
      <c r="F629" s="5" t="s">
        <v>40</v>
      </c>
      <c r="G629" s="5" t="s">
        <v>43</v>
      </c>
      <c r="H629" s="6">
        <v>45222</v>
      </c>
      <c r="I629" s="5">
        <v>4</v>
      </c>
      <c r="J629" s="5">
        <v>81.8</v>
      </c>
      <c r="K629" s="5">
        <v>6.9</v>
      </c>
      <c r="L629" s="5">
        <v>70.099999999999994</v>
      </c>
      <c r="M629" s="5">
        <v>74.099999999999994</v>
      </c>
    </row>
    <row r="630" spans="1:13" x14ac:dyDescent="0.3">
      <c r="A630" s="5">
        <v>416</v>
      </c>
      <c r="B630" s="5" t="s">
        <v>35</v>
      </c>
      <c r="C630" s="5" t="s">
        <v>42</v>
      </c>
      <c r="D630" s="5" t="s">
        <v>40</v>
      </c>
      <c r="E630" s="5" t="s">
        <v>40</v>
      </c>
      <c r="F630" s="5" t="s">
        <v>37</v>
      </c>
      <c r="G630" s="5" t="s">
        <v>41</v>
      </c>
      <c r="H630" s="6">
        <v>45152</v>
      </c>
      <c r="I630" s="5">
        <v>1.1000000000000001</v>
      </c>
      <c r="J630" s="5">
        <v>90.1</v>
      </c>
      <c r="K630" s="5">
        <v>5.3</v>
      </c>
      <c r="L630" s="5">
        <v>40.1</v>
      </c>
      <c r="M630" s="5">
        <v>51.1</v>
      </c>
    </row>
    <row r="631" spans="1:13" x14ac:dyDescent="0.3">
      <c r="A631" s="5">
        <v>122</v>
      </c>
      <c r="B631" s="5" t="s">
        <v>35</v>
      </c>
      <c r="C631" s="5" t="s">
        <v>45</v>
      </c>
      <c r="D631" s="5" t="s">
        <v>37</v>
      </c>
      <c r="E631" s="5" t="s">
        <v>40</v>
      </c>
      <c r="F631" s="5" t="s">
        <v>40</v>
      </c>
      <c r="G631" s="5" t="s">
        <v>41</v>
      </c>
      <c r="H631" s="6">
        <v>45522</v>
      </c>
      <c r="I631" s="5">
        <v>2.2000000000000002</v>
      </c>
      <c r="J631" s="5">
        <v>85.5</v>
      </c>
      <c r="K631" s="5">
        <v>6</v>
      </c>
      <c r="L631" s="5">
        <v>45.1</v>
      </c>
      <c r="M631" s="5">
        <v>58.7</v>
      </c>
    </row>
    <row r="632" spans="1:13" x14ac:dyDescent="0.3">
      <c r="A632" s="5">
        <v>377</v>
      </c>
      <c r="B632" s="5" t="s">
        <v>35</v>
      </c>
      <c r="C632" s="5"/>
      <c r="D632" s="5" t="s">
        <v>37</v>
      </c>
      <c r="E632" s="5" t="s">
        <v>40</v>
      </c>
      <c r="F632" s="5" t="s">
        <v>37</v>
      </c>
      <c r="G632" s="5" t="s">
        <v>46</v>
      </c>
      <c r="H632" s="6">
        <v>45484</v>
      </c>
      <c r="I632" s="5">
        <v>5</v>
      </c>
      <c r="J632" s="5">
        <v>99.1</v>
      </c>
      <c r="K632" s="5">
        <v>4.0999999999999996</v>
      </c>
      <c r="L632" s="5">
        <v>41.6</v>
      </c>
      <c r="M632" s="5">
        <v>68.2</v>
      </c>
    </row>
    <row r="633" spans="1:13" x14ac:dyDescent="0.3">
      <c r="A633" s="5">
        <v>745</v>
      </c>
      <c r="B633" s="5" t="s">
        <v>44</v>
      </c>
      <c r="C633" s="5" t="s">
        <v>36</v>
      </c>
      <c r="D633" s="5" t="s">
        <v>37</v>
      </c>
      <c r="E633" s="5" t="s">
        <v>40</v>
      </c>
      <c r="F633" s="5" t="s">
        <v>40</v>
      </c>
      <c r="G633" s="5" t="s">
        <v>43</v>
      </c>
      <c r="H633" s="6">
        <v>45383</v>
      </c>
      <c r="I633" s="5">
        <v>4.5999999999999996</v>
      </c>
      <c r="J633" s="5">
        <v>94.4</v>
      </c>
      <c r="K633" s="5">
        <v>7.7</v>
      </c>
      <c r="L633" s="5">
        <v>58.6</v>
      </c>
      <c r="M633" s="5">
        <v>52.8</v>
      </c>
    </row>
    <row r="634" spans="1:13" x14ac:dyDescent="0.3">
      <c r="A634" s="5">
        <v>806</v>
      </c>
      <c r="B634" s="5" t="s">
        <v>44</v>
      </c>
      <c r="C634" s="5"/>
      <c r="D634" s="5" t="s">
        <v>37</v>
      </c>
      <c r="E634" s="5" t="s">
        <v>37</v>
      </c>
      <c r="F634" s="5" t="s">
        <v>37</v>
      </c>
      <c r="G634" s="5" t="s">
        <v>43</v>
      </c>
      <c r="H634" s="6">
        <v>45593</v>
      </c>
      <c r="I634" s="5">
        <v>4.2</v>
      </c>
      <c r="J634" s="5">
        <v>66.900000000000006</v>
      </c>
      <c r="K634" s="5">
        <v>5.6</v>
      </c>
      <c r="L634" s="5">
        <v>86.6</v>
      </c>
      <c r="M634" s="5">
        <v>73.900000000000006</v>
      </c>
    </row>
    <row r="635" spans="1:13" x14ac:dyDescent="0.3">
      <c r="A635" s="5">
        <v>303</v>
      </c>
      <c r="B635" s="5" t="s">
        <v>35</v>
      </c>
      <c r="C635" s="5" t="s">
        <v>39</v>
      </c>
      <c r="D635" s="5" t="s">
        <v>37</v>
      </c>
      <c r="E635" s="5" t="s">
        <v>40</v>
      </c>
      <c r="F635" s="5" t="s">
        <v>37</v>
      </c>
      <c r="G635" s="5" t="s">
        <v>46</v>
      </c>
      <c r="H635" s="6">
        <v>45499</v>
      </c>
      <c r="I635" s="5">
        <v>2.8</v>
      </c>
      <c r="J635" s="5">
        <v>79.400000000000006</v>
      </c>
      <c r="K635" s="5">
        <v>4.8</v>
      </c>
      <c r="L635" s="5">
        <v>58.6</v>
      </c>
      <c r="M635" s="5">
        <v>60.9</v>
      </c>
    </row>
    <row r="636" spans="1:13" x14ac:dyDescent="0.3">
      <c r="A636" s="5">
        <v>152</v>
      </c>
      <c r="B636" s="5" t="s">
        <v>35</v>
      </c>
      <c r="C636" s="5" t="s">
        <v>36</v>
      </c>
      <c r="D636" s="5" t="s">
        <v>37</v>
      </c>
      <c r="E636" s="5" t="s">
        <v>37</v>
      </c>
      <c r="F636" s="5" t="s">
        <v>37</v>
      </c>
      <c r="G636" s="5" t="s">
        <v>41</v>
      </c>
      <c r="H636" s="6">
        <v>45264</v>
      </c>
      <c r="I636" s="5">
        <v>0.8</v>
      </c>
      <c r="J636" s="5">
        <v>81.2</v>
      </c>
      <c r="K636" s="5">
        <v>6.6</v>
      </c>
      <c r="L636" s="5">
        <v>66.75</v>
      </c>
      <c r="M636" s="5">
        <v>50.1</v>
      </c>
    </row>
    <row r="637" spans="1:13" x14ac:dyDescent="0.3">
      <c r="A637" s="5">
        <v>534</v>
      </c>
      <c r="B637" s="5" t="s">
        <v>44</v>
      </c>
      <c r="C637" s="5" t="s">
        <v>42</v>
      </c>
      <c r="D637" s="5" t="s">
        <v>37</v>
      </c>
      <c r="E637" s="5" t="s">
        <v>37</v>
      </c>
      <c r="F637" s="5" t="s">
        <v>40</v>
      </c>
      <c r="G637" s="5" t="s">
        <v>43</v>
      </c>
      <c r="H637" s="6">
        <v>45613</v>
      </c>
      <c r="I637" s="5">
        <v>4.3</v>
      </c>
      <c r="J637" s="5">
        <v>83.1</v>
      </c>
      <c r="K637" s="5">
        <v>7.4</v>
      </c>
      <c r="L637" s="5">
        <v>36</v>
      </c>
      <c r="M637" s="5">
        <v>74</v>
      </c>
    </row>
    <row r="638" spans="1:13" x14ac:dyDescent="0.3">
      <c r="A638" s="5">
        <v>847</v>
      </c>
      <c r="B638" s="5" t="s">
        <v>35</v>
      </c>
      <c r="C638" s="5" t="s">
        <v>39</v>
      </c>
      <c r="D638" s="5" t="s">
        <v>37</v>
      </c>
      <c r="E638" s="5" t="s">
        <v>40</v>
      </c>
      <c r="F638" s="5" t="s">
        <v>40</v>
      </c>
      <c r="G638" s="5" t="s">
        <v>46</v>
      </c>
      <c r="H638" s="6">
        <v>45619</v>
      </c>
      <c r="I638" s="5">
        <v>4.3</v>
      </c>
      <c r="J638" s="5">
        <v>69.099999999999994</v>
      </c>
      <c r="K638" s="5">
        <v>4</v>
      </c>
      <c r="L638" s="5">
        <v>57.4</v>
      </c>
      <c r="M638" s="5">
        <v>62.8</v>
      </c>
    </row>
    <row r="639" spans="1:13" x14ac:dyDescent="0.3">
      <c r="A639" s="5">
        <v>324</v>
      </c>
      <c r="B639" s="5" t="s">
        <v>35</v>
      </c>
      <c r="C639" s="5" t="s">
        <v>42</v>
      </c>
      <c r="D639" s="5" t="s">
        <v>37</v>
      </c>
      <c r="E639" s="5" t="s">
        <v>40</v>
      </c>
      <c r="F639" s="5" t="s">
        <v>40</v>
      </c>
      <c r="G639" s="5" t="s">
        <v>46</v>
      </c>
      <c r="H639" s="6">
        <v>45105</v>
      </c>
      <c r="I639" s="5">
        <v>4</v>
      </c>
      <c r="J639" s="5">
        <v>88.6</v>
      </c>
      <c r="K639" s="5">
        <v>6.3</v>
      </c>
      <c r="L639" s="5">
        <v>37.1</v>
      </c>
      <c r="M639" s="5">
        <v>60.8</v>
      </c>
    </row>
    <row r="640" spans="1:13" x14ac:dyDescent="0.3">
      <c r="A640" s="5">
        <v>142</v>
      </c>
      <c r="B640" s="5" t="s">
        <v>35</v>
      </c>
      <c r="C640" s="5" t="s">
        <v>45</v>
      </c>
      <c r="D640" s="5" t="s">
        <v>37</v>
      </c>
      <c r="E640" s="5" t="s">
        <v>40</v>
      </c>
      <c r="F640" s="5" t="s">
        <v>40</v>
      </c>
      <c r="G640" s="5" t="s">
        <v>47</v>
      </c>
      <c r="H640" s="6">
        <v>45002</v>
      </c>
      <c r="I640" s="5">
        <v>4.3</v>
      </c>
      <c r="J640" s="5">
        <v>69.5</v>
      </c>
      <c r="K640" s="5">
        <v>5.6</v>
      </c>
      <c r="L640" s="5">
        <v>70.400000000000006</v>
      </c>
      <c r="M640" s="5">
        <v>82.7</v>
      </c>
    </row>
    <row r="641" spans="1:13" x14ac:dyDescent="0.3">
      <c r="A641" s="5">
        <v>297</v>
      </c>
      <c r="B641" s="5" t="s">
        <v>35</v>
      </c>
      <c r="C641" s="5"/>
      <c r="D641" s="5" t="s">
        <v>37</v>
      </c>
      <c r="E641" s="5" t="s">
        <v>37</v>
      </c>
      <c r="F641" s="5" t="s">
        <v>40</v>
      </c>
      <c r="G641" s="5" t="s">
        <v>43</v>
      </c>
      <c r="H641" s="6">
        <v>45218</v>
      </c>
      <c r="I641" s="5">
        <v>4.2</v>
      </c>
      <c r="J641" s="5">
        <v>81.400000000000006</v>
      </c>
      <c r="K641" s="5">
        <v>7.1</v>
      </c>
      <c r="L641" s="5">
        <v>69.900000000000006</v>
      </c>
      <c r="M641" s="5">
        <v>77.900000000000006</v>
      </c>
    </row>
    <row r="642" spans="1:13" x14ac:dyDescent="0.3">
      <c r="A642" s="5">
        <v>401</v>
      </c>
      <c r="B642" s="5" t="s">
        <v>35</v>
      </c>
      <c r="C642" s="5"/>
      <c r="D642" s="5" t="s">
        <v>37</v>
      </c>
      <c r="E642" s="5" t="s">
        <v>37</v>
      </c>
      <c r="F642" s="5" t="s">
        <v>40</v>
      </c>
      <c r="G642" s="5" t="s">
        <v>43</v>
      </c>
      <c r="H642" s="6">
        <v>45606</v>
      </c>
      <c r="I642" s="5">
        <v>2</v>
      </c>
      <c r="J642" s="5">
        <v>88</v>
      </c>
      <c r="K642" s="5">
        <v>6.5</v>
      </c>
      <c r="L642" s="5">
        <v>76.7</v>
      </c>
      <c r="M642" s="5">
        <v>76.900000000000006</v>
      </c>
    </row>
    <row r="643" spans="1:13" x14ac:dyDescent="0.3">
      <c r="A643" s="5">
        <v>932</v>
      </c>
      <c r="B643" s="5" t="s">
        <v>35</v>
      </c>
      <c r="C643" s="5" t="s">
        <v>36</v>
      </c>
      <c r="D643" s="5" t="s">
        <v>37</v>
      </c>
      <c r="E643" s="5" t="s">
        <v>40</v>
      </c>
      <c r="F643" s="5" t="s">
        <v>40</v>
      </c>
      <c r="G643" s="5" t="s">
        <v>38</v>
      </c>
      <c r="H643" s="6">
        <v>45356</v>
      </c>
      <c r="I643" s="5">
        <v>6.9</v>
      </c>
      <c r="J643" s="5">
        <v>92.9</v>
      </c>
      <c r="K643" s="5">
        <v>6.5</v>
      </c>
      <c r="L643" s="5">
        <v>90.9</v>
      </c>
      <c r="M643" s="5">
        <v>100</v>
      </c>
    </row>
    <row r="644" spans="1:13" x14ac:dyDescent="0.3">
      <c r="A644" s="5">
        <v>773</v>
      </c>
      <c r="B644" s="5" t="s">
        <v>35</v>
      </c>
      <c r="C644" s="5" t="s">
        <v>42</v>
      </c>
      <c r="D644" s="5"/>
      <c r="E644" s="5" t="s">
        <v>40</v>
      </c>
      <c r="F644" s="5" t="s">
        <v>37</v>
      </c>
      <c r="G644" s="5" t="s">
        <v>46</v>
      </c>
      <c r="H644" s="6">
        <v>45491</v>
      </c>
      <c r="I644" s="5">
        <v>4</v>
      </c>
      <c r="J644" s="5">
        <v>71.099999999999994</v>
      </c>
      <c r="K644" s="5">
        <v>7</v>
      </c>
      <c r="L644" s="5">
        <v>49.9</v>
      </c>
      <c r="M644" s="5">
        <v>64.400000000000006</v>
      </c>
    </row>
    <row r="645" spans="1:13" x14ac:dyDescent="0.3">
      <c r="A645" s="5">
        <v>872</v>
      </c>
      <c r="B645" s="5" t="s">
        <v>44</v>
      </c>
      <c r="C645" s="5" t="s">
        <v>45</v>
      </c>
      <c r="D645" s="5" t="s">
        <v>37</v>
      </c>
      <c r="E645" s="5" t="s">
        <v>40</v>
      </c>
      <c r="F645" s="5" t="s">
        <v>40</v>
      </c>
      <c r="G645" s="5" t="s">
        <v>47</v>
      </c>
      <c r="H645" s="6">
        <v>45019</v>
      </c>
      <c r="I645" s="5">
        <v>6</v>
      </c>
      <c r="J645" s="5">
        <v>90.9</v>
      </c>
      <c r="K645" s="5">
        <v>7.1</v>
      </c>
      <c r="L645" s="5">
        <v>79.8</v>
      </c>
      <c r="M645" s="5">
        <v>84.2</v>
      </c>
    </row>
    <row r="646" spans="1:13" x14ac:dyDescent="0.3">
      <c r="A646" s="5">
        <v>884</v>
      </c>
      <c r="B646" s="5" t="s">
        <v>44</v>
      </c>
      <c r="C646" s="5" t="s">
        <v>45</v>
      </c>
      <c r="D646" s="5" t="s">
        <v>37</v>
      </c>
      <c r="E646" s="5" t="s">
        <v>37</v>
      </c>
      <c r="F646" s="5" t="s">
        <v>37</v>
      </c>
      <c r="G646" s="5" t="s">
        <v>43</v>
      </c>
      <c r="H646" s="6">
        <v>45392</v>
      </c>
      <c r="I646" s="5">
        <v>3.8</v>
      </c>
      <c r="J646" s="5">
        <v>94.7</v>
      </c>
      <c r="K646" s="5">
        <v>4.4000000000000004</v>
      </c>
      <c r="L646" s="5">
        <v>66.5</v>
      </c>
      <c r="M646" s="5">
        <v>71.7</v>
      </c>
    </row>
    <row r="647" spans="1:13" x14ac:dyDescent="0.3">
      <c r="A647" s="5">
        <v>387</v>
      </c>
      <c r="B647" s="5" t="s">
        <v>44</v>
      </c>
      <c r="C647" s="5" t="s">
        <v>45</v>
      </c>
      <c r="D647" s="5" t="s">
        <v>37</v>
      </c>
      <c r="E647" s="5" t="s">
        <v>37</v>
      </c>
      <c r="F647" s="5" t="s">
        <v>40</v>
      </c>
      <c r="G647" s="5" t="s">
        <v>38</v>
      </c>
      <c r="H647" s="6">
        <v>45298</v>
      </c>
      <c r="I647" s="5">
        <v>5.0999999999999996</v>
      </c>
      <c r="J647" s="5">
        <v>94.3</v>
      </c>
      <c r="K647" s="5">
        <v>6.8</v>
      </c>
      <c r="L647" s="5">
        <v>67</v>
      </c>
      <c r="M647" s="5">
        <v>91</v>
      </c>
    </row>
    <row r="648" spans="1:13" x14ac:dyDescent="0.3">
      <c r="A648" s="5">
        <v>220</v>
      </c>
      <c r="B648" s="5" t="s">
        <v>35</v>
      </c>
      <c r="C648" s="5" t="s">
        <v>42</v>
      </c>
      <c r="D648" s="5" t="s">
        <v>37</v>
      </c>
      <c r="E648" s="5" t="s">
        <v>37</v>
      </c>
      <c r="F648" s="5" t="s">
        <v>40</v>
      </c>
      <c r="G648" s="5" t="s">
        <v>41</v>
      </c>
      <c r="H648" s="6">
        <v>45084</v>
      </c>
      <c r="I648" s="5">
        <v>1.9</v>
      </c>
      <c r="J648" s="5">
        <v>81.2</v>
      </c>
      <c r="K648" s="5">
        <v>8.6999999999999993</v>
      </c>
      <c r="L648" s="5">
        <v>57.7</v>
      </c>
      <c r="M648" s="5">
        <v>59.5</v>
      </c>
    </row>
    <row r="649" spans="1:13" x14ac:dyDescent="0.3">
      <c r="A649" s="5">
        <v>304</v>
      </c>
      <c r="B649" s="5" t="s">
        <v>35</v>
      </c>
      <c r="C649" s="5"/>
      <c r="D649" s="5"/>
      <c r="E649" s="5" t="s">
        <v>40</v>
      </c>
      <c r="F649" s="5" t="s">
        <v>37</v>
      </c>
      <c r="G649" s="5" t="s">
        <v>43</v>
      </c>
      <c r="H649" s="6">
        <v>45262</v>
      </c>
      <c r="I649" s="5">
        <v>2.4</v>
      </c>
      <c r="J649" s="5">
        <v>84.4</v>
      </c>
      <c r="K649" s="5">
        <v>5.7</v>
      </c>
      <c r="L649" s="5">
        <v>66.8</v>
      </c>
      <c r="M649" s="5">
        <v>76.099999999999994</v>
      </c>
    </row>
    <row r="650" spans="1:13" x14ac:dyDescent="0.3">
      <c r="A650" s="5">
        <v>335</v>
      </c>
      <c r="B650" s="5" t="s">
        <v>44</v>
      </c>
      <c r="C650" s="5" t="s">
        <v>45</v>
      </c>
      <c r="D650" s="5" t="s">
        <v>37</v>
      </c>
      <c r="E650" s="5" t="s">
        <v>40</v>
      </c>
      <c r="F650" s="5" t="s">
        <v>40</v>
      </c>
      <c r="G650" s="5" t="s">
        <v>47</v>
      </c>
      <c r="H650" s="6">
        <v>45444</v>
      </c>
      <c r="I650" s="5">
        <v>6.3</v>
      </c>
      <c r="J650" s="5">
        <v>91.7</v>
      </c>
      <c r="K650" s="5">
        <v>7.5</v>
      </c>
      <c r="L650" s="5">
        <v>40.5</v>
      </c>
      <c r="M650" s="5">
        <v>85</v>
      </c>
    </row>
    <row r="651" spans="1:13" x14ac:dyDescent="0.3">
      <c r="A651" s="5">
        <v>513</v>
      </c>
      <c r="B651" s="5" t="s">
        <v>35</v>
      </c>
      <c r="C651" s="5" t="s">
        <v>42</v>
      </c>
      <c r="D651" s="5" t="s">
        <v>37</v>
      </c>
      <c r="E651" s="5" t="s">
        <v>40</v>
      </c>
      <c r="F651" s="5" t="s">
        <v>37</v>
      </c>
      <c r="G651" s="5" t="s">
        <v>47</v>
      </c>
      <c r="H651" s="6">
        <v>45583</v>
      </c>
      <c r="I651" s="5">
        <v>3.8</v>
      </c>
      <c r="J651" s="5">
        <v>72.5</v>
      </c>
      <c r="K651" s="5">
        <v>8.6999999999999993</v>
      </c>
      <c r="L651" s="5">
        <v>72.400000000000006</v>
      </c>
      <c r="M651" s="5">
        <v>82.7</v>
      </c>
    </row>
    <row r="652" spans="1:13" x14ac:dyDescent="0.3">
      <c r="A652" s="5">
        <v>110</v>
      </c>
      <c r="B652" s="5" t="s">
        <v>35</v>
      </c>
      <c r="C652" s="5"/>
      <c r="D652" s="5" t="s">
        <v>37</v>
      </c>
      <c r="E652" s="5" t="s">
        <v>37</v>
      </c>
      <c r="F652" s="5" t="s">
        <v>40</v>
      </c>
      <c r="G652" s="5" t="s">
        <v>47</v>
      </c>
      <c r="H652" s="6">
        <v>45506</v>
      </c>
      <c r="I652" s="5">
        <v>6.5</v>
      </c>
      <c r="J652" s="5">
        <v>76.900000000000006</v>
      </c>
      <c r="K652" s="5">
        <v>4.3</v>
      </c>
      <c r="L652" s="5">
        <v>80.099999999999994</v>
      </c>
      <c r="M652" s="5">
        <v>73</v>
      </c>
    </row>
    <row r="653" spans="1:13" x14ac:dyDescent="0.3">
      <c r="A653" s="5">
        <v>88</v>
      </c>
      <c r="B653" s="5" t="s">
        <v>35</v>
      </c>
      <c r="C653" s="5" t="s">
        <v>39</v>
      </c>
      <c r="D653" s="5" t="s">
        <v>37</v>
      </c>
      <c r="E653" s="5" t="s">
        <v>40</v>
      </c>
      <c r="F653" s="5" t="s">
        <v>37</v>
      </c>
      <c r="G653" s="5" t="s">
        <v>46</v>
      </c>
      <c r="H653" s="6"/>
      <c r="I653" s="5">
        <v>2.6</v>
      </c>
      <c r="J653" s="5">
        <v>93</v>
      </c>
      <c r="K653" s="5">
        <v>6.5</v>
      </c>
      <c r="L653" s="5">
        <v>39.700000000000003</v>
      </c>
      <c r="M653" s="5">
        <v>73</v>
      </c>
    </row>
    <row r="654" spans="1:13" x14ac:dyDescent="0.3">
      <c r="A654" s="5">
        <v>842</v>
      </c>
      <c r="B654" s="5" t="s">
        <v>35</v>
      </c>
      <c r="C654" s="5" t="s">
        <v>39</v>
      </c>
      <c r="D654" s="5" t="s">
        <v>40</v>
      </c>
      <c r="E654" s="5" t="s">
        <v>40</v>
      </c>
      <c r="F654" s="5" t="s">
        <v>40</v>
      </c>
      <c r="G654" s="5" t="s">
        <v>43</v>
      </c>
      <c r="H654" s="6">
        <v>45526</v>
      </c>
      <c r="I654" s="5">
        <v>4.5</v>
      </c>
      <c r="J654" s="5">
        <v>80.400000000000006</v>
      </c>
      <c r="K654" s="5">
        <v>5.9</v>
      </c>
      <c r="L654" s="5">
        <v>72</v>
      </c>
      <c r="M654" s="5">
        <v>78.8</v>
      </c>
    </row>
    <row r="655" spans="1:13" x14ac:dyDescent="0.3">
      <c r="A655" s="5">
        <v>372</v>
      </c>
      <c r="B655" s="5" t="s">
        <v>44</v>
      </c>
      <c r="C655" s="5" t="s">
        <v>36</v>
      </c>
      <c r="D655" s="5" t="s">
        <v>37</v>
      </c>
      <c r="E655" s="5" t="s">
        <v>40</v>
      </c>
      <c r="F655" s="5" t="s">
        <v>37</v>
      </c>
      <c r="G655" s="5" t="s">
        <v>47</v>
      </c>
      <c r="H655" s="6">
        <v>44950</v>
      </c>
      <c r="I655" s="5">
        <v>5.7</v>
      </c>
      <c r="J655" s="5">
        <v>85.6</v>
      </c>
      <c r="K655" s="5">
        <v>7.9</v>
      </c>
      <c r="L655" s="5">
        <v>37.299999999999997</v>
      </c>
      <c r="M655" s="5">
        <v>81.7</v>
      </c>
    </row>
    <row r="656" spans="1:13" x14ac:dyDescent="0.3">
      <c r="A656" s="5">
        <v>900</v>
      </c>
      <c r="B656" s="5" t="s">
        <v>44</v>
      </c>
      <c r="C656" s="5" t="s">
        <v>36</v>
      </c>
      <c r="D656" s="5" t="s">
        <v>37</v>
      </c>
      <c r="E656" s="5" t="s">
        <v>40</v>
      </c>
      <c r="F656" s="5" t="s">
        <v>40</v>
      </c>
      <c r="G656" s="5" t="s">
        <v>46</v>
      </c>
      <c r="H656" s="6">
        <v>45019</v>
      </c>
      <c r="I656" s="5">
        <v>2.4</v>
      </c>
      <c r="J656" s="5">
        <v>74.099999999999994</v>
      </c>
      <c r="K656" s="5">
        <v>6.7</v>
      </c>
      <c r="L656" s="5">
        <v>69.900000000000006</v>
      </c>
      <c r="M656" s="5">
        <v>61.1</v>
      </c>
    </row>
    <row r="657" spans="1:13" x14ac:dyDescent="0.3">
      <c r="A657" s="5">
        <v>598</v>
      </c>
      <c r="B657" s="5" t="s">
        <v>44</v>
      </c>
      <c r="C657" s="5" t="s">
        <v>36</v>
      </c>
      <c r="D657" s="5" t="s">
        <v>40</v>
      </c>
      <c r="E657" s="5" t="s">
        <v>37</v>
      </c>
      <c r="F657" s="5" t="s">
        <v>37</v>
      </c>
      <c r="G657" s="5" t="s">
        <v>41</v>
      </c>
      <c r="H657" s="6">
        <v>45337</v>
      </c>
      <c r="I657" s="5">
        <v>1.1000000000000001</v>
      </c>
      <c r="J657" s="5">
        <v>71.7</v>
      </c>
      <c r="K657" s="5">
        <v>6.3</v>
      </c>
      <c r="L657" s="5">
        <v>93.7</v>
      </c>
      <c r="M657" s="5">
        <v>56.2</v>
      </c>
    </row>
    <row r="658" spans="1:13" x14ac:dyDescent="0.3">
      <c r="A658" s="5">
        <v>280</v>
      </c>
      <c r="B658" s="5" t="s">
        <v>35</v>
      </c>
      <c r="C658" s="5" t="s">
        <v>45</v>
      </c>
      <c r="D658" s="5" t="s">
        <v>37</v>
      </c>
      <c r="E658" s="5" t="s">
        <v>40</v>
      </c>
      <c r="F658" s="5" t="s">
        <v>37</v>
      </c>
      <c r="G658" s="5" t="s">
        <v>47</v>
      </c>
      <c r="H658" s="6">
        <v>45084</v>
      </c>
      <c r="I658" s="5">
        <v>5.9</v>
      </c>
      <c r="J658" s="5">
        <v>70.099999999999994</v>
      </c>
      <c r="K658" s="5">
        <v>6.5</v>
      </c>
      <c r="L658" s="5">
        <v>68.8</v>
      </c>
      <c r="M658" s="5">
        <v>82.3</v>
      </c>
    </row>
    <row r="659" spans="1:13" x14ac:dyDescent="0.3">
      <c r="A659" s="5">
        <v>219</v>
      </c>
      <c r="B659" s="5" t="s">
        <v>35</v>
      </c>
      <c r="C659" s="5"/>
      <c r="D659" s="5" t="s">
        <v>37</v>
      </c>
      <c r="E659" s="5" t="s">
        <v>40</v>
      </c>
      <c r="F659" s="5" t="s">
        <v>40</v>
      </c>
      <c r="G659" s="5" t="s">
        <v>38</v>
      </c>
      <c r="H659" s="6">
        <v>45154</v>
      </c>
      <c r="I659" s="5">
        <v>5.2</v>
      </c>
      <c r="J659" s="5">
        <v>94.7</v>
      </c>
      <c r="K659" s="5">
        <v>6.4</v>
      </c>
      <c r="L659" s="5">
        <v>79</v>
      </c>
      <c r="M659" s="5">
        <v>92.7</v>
      </c>
    </row>
    <row r="660" spans="1:13" x14ac:dyDescent="0.3">
      <c r="A660" s="5">
        <v>754</v>
      </c>
      <c r="B660" s="5" t="s">
        <v>44</v>
      </c>
      <c r="C660" s="5" t="s">
        <v>36</v>
      </c>
      <c r="D660" s="5" t="s">
        <v>37</v>
      </c>
      <c r="E660" s="5" t="s">
        <v>40</v>
      </c>
      <c r="F660" s="5" t="s">
        <v>40</v>
      </c>
      <c r="G660" s="5" t="s">
        <v>46</v>
      </c>
      <c r="H660" s="6"/>
      <c r="I660" s="5">
        <v>4.0999999999999996</v>
      </c>
      <c r="J660" s="5">
        <v>83.5</v>
      </c>
      <c r="K660" s="5">
        <v>5</v>
      </c>
      <c r="L660" s="5">
        <v>67</v>
      </c>
      <c r="M660" s="5">
        <v>69.599999999999994</v>
      </c>
    </row>
    <row r="661" spans="1:13" x14ac:dyDescent="0.3">
      <c r="A661" s="5">
        <v>221</v>
      </c>
      <c r="B661" s="5" t="s">
        <v>35</v>
      </c>
      <c r="C661" s="5" t="s">
        <v>45</v>
      </c>
      <c r="D661" s="5" t="s">
        <v>37</v>
      </c>
      <c r="E661" s="5" t="s">
        <v>40</v>
      </c>
      <c r="F661" s="5" t="s">
        <v>37</v>
      </c>
      <c r="G661" s="5" t="s">
        <v>46</v>
      </c>
      <c r="H661" s="6">
        <v>45647</v>
      </c>
      <c r="I661" s="5">
        <v>4.5</v>
      </c>
      <c r="J661" s="5">
        <v>97.4</v>
      </c>
      <c r="K661" s="5">
        <v>5.3</v>
      </c>
      <c r="L661" s="5">
        <v>40.299999999999997</v>
      </c>
      <c r="M661" s="5">
        <v>64.8</v>
      </c>
    </row>
    <row r="662" spans="1:13" x14ac:dyDescent="0.3">
      <c r="A662" s="5">
        <v>200</v>
      </c>
      <c r="B662" s="5" t="s">
        <v>35</v>
      </c>
      <c r="C662" s="5" t="s">
        <v>39</v>
      </c>
      <c r="D662" s="5" t="s">
        <v>37</v>
      </c>
      <c r="E662" s="5" t="s">
        <v>37</v>
      </c>
      <c r="F662" s="5" t="s">
        <v>40</v>
      </c>
      <c r="G662" s="5" t="s">
        <v>46</v>
      </c>
      <c r="H662" s="6">
        <v>45380</v>
      </c>
      <c r="I662" s="5">
        <v>2.4</v>
      </c>
      <c r="J662" s="5">
        <v>84.9</v>
      </c>
      <c r="K662" s="5">
        <v>5.4</v>
      </c>
      <c r="L662" s="5">
        <v>72.400000000000006</v>
      </c>
      <c r="M662" s="5">
        <v>68.599999999999994</v>
      </c>
    </row>
    <row r="663" spans="1:13" x14ac:dyDescent="0.3">
      <c r="A663" s="5">
        <v>178</v>
      </c>
      <c r="B663" s="5" t="s">
        <v>35</v>
      </c>
      <c r="C663" s="5"/>
      <c r="D663" s="5" t="s">
        <v>40</v>
      </c>
      <c r="E663" s="5" t="s">
        <v>40</v>
      </c>
      <c r="F663" s="5" t="s">
        <v>40</v>
      </c>
      <c r="G663" s="5" t="s">
        <v>46</v>
      </c>
      <c r="H663" s="6">
        <v>45029</v>
      </c>
      <c r="I663" s="5">
        <v>1.6</v>
      </c>
      <c r="J663" s="5">
        <v>93.4</v>
      </c>
      <c r="K663" s="5">
        <v>5.3</v>
      </c>
      <c r="L663" s="5">
        <v>83.9</v>
      </c>
      <c r="M663" s="5">
        <v>64.900000000000006</v>
      </c>
    </row>
    <row r="664" spans="1:13" x14ac:dyDescent="0.3">
      <c r="A664" s="5">
        <v>81</v>
      </c>
      <c r="B664" s="5" t="s">
        <v>35</v>
      </c>
      <c r="C664" s="5" t="s">
        <v>39</v>
      </c>
      <c r="D664" s="5" t="s">
        <v>37</v>
      </c>
      <c r="E664" s="5" t="s">
        <v>40</v>
      </c>
      <c r="F664" s="5" t="s">
        <v>40</v>
      </c>
      <c r="G664" s="5" t="s">
        <v>41</v>
      </c>
      <c r="H664" s="6">
        <v>45259</v>
      </c>
      <c r="I664" s="5">
        <v>1.2</v>
      </c>
      <c r="J664" s="5">
        <v>66.400000000000006</v>
      </c>
      <c r="K664" s="5">
        <v>5.2</v>
      </c>
      <c r="L664" s="5">
        <v>53.8</v>
      </c>
      <c r="M664" s="5">
        <v>49.8</v>
      </c>
    </row>
    <row r="665" spans="1:13" x14ac:dyDescent="0.3">
      <c r="A665" s="5">
        <v>759</v>
      </c>
      <c r="B665" s="5" t="s">
        <v>35</v>
      </c>
      <c r="C665" s="5" t="s">
        <v>39</v>
      </c>
      <c r="D665" s="5" t="s">
        <v>37</v>
      </c>
      <c r="E665" s="5" t="s">
        <v>37</v>
      </c>
      <c r="F665" s="5" t="s">
        <v>37</v>
      </c>
      <c r="G665" s="5" t="s">
        <v>43</v>
      </c>
      <c r="H665" s="6">
        <v>45365</v>
      </c>
      <c r="I665" s="5">
        <v>5.0999999999999996</v>
      </c>
      <c r="J665" s="5">
        <v>99.7</v>
      </c>
      <c r="K665" s="5">
        <v>7.6</v>
      </c>
      <c r="L665" s="5">
        <v>48.3</v>
      </c>
      <c r="M665" s="5">
        <v>77.599999999999994</v>
      </c>
    </row>
    <row r="666" spans="1:13" x14ac:dyDescent="0.3">
      <c r="A666" s="5">
        <v>885</v>
      </c>
      <c r="B666" s="5" t="s">
        <v>44</v>
      </c>
      <c r="C666" s="5" t="s">
        <v>36</v>
      </c>
      <c r="D666" s="5" t="s">
        <v>40</v>
      </c>
      <c r="E666" s="5" t="s">
        <v>37</v>
      </c>
      <c r="F666" s="5" t="s">
        <v>37</v>
      </c>
      <c r="G666" s="5" t="s">
        <v>38</v>
      </c>
      <c r="H666" s="6">
        <v>45251</v>
      </c>
      <c r="I666" s="5">
        <v>6.3</v>
      </c>
      <c r="J666" s="5">
        <v>94.4</v>
      </c>
      <c r="K666" s="5">
        <v>8.8000000000000007</v>
      </c>
      <c r="L666" s="5">
        <v>88.8</v>
      </c>
      <c r="M666" s="5">
        <v>97.9</v>
      </c>
    </row>
    <row r="667" spans="1:13" x14ac:dyDescent="0.3">
      <c r="A667" s="5">
        <v>670</v>
      </c>
      <c r="B667" s="5" t="s">
        <v>44</v>
      </c>
      <c r="C667" s="5" t="s">
        <v>39</v>
      </c>
      <c r="D667" s="5" t="s">
        <v>37</v>
      </c>
      <c r="E667" s="5" t="s">
        <v>37</v>
      </c>
      <c r="F667" s="5" t="s">
        <v>37</v>
      </c>
      <c r="G667" s="5" t="s">
        <v>47</v>
      </c>
      <c r="H667" s="6">
        <v>45257</v>
      </c>
      <c r="I667" s="5">
        <v>6.4</v>
      </c>
      <c r="J667" s="5">
        <v>75</v>
      </c>
      <c r="K667" s="5">
        <v>5.0999999999999996</v>
      </c>
      <c r="L667" s="5">
        <v>67</v>
      </c>
      <c r="M667" s="5">
        <v>85.4</v>
      </c>
    </row>
    <row r="668" spans="1:13" x14ac:dyDescent="0.3">
      <c r="A668" s="5">
        <v>398</v>
      </c>
      <c r="B668" s="5" t="s">
        <v>44</v>
      </c>
      <c r="C668" s="5"/>
      <c r="D668" s="5" t="s">
        <v>37</v>
      </c>
      <c r="E668" s="5" t="s">
        <v>37</v>
      </c>
      <c r="F668" s="5" t="s">
        <v>40</v>
      </c>
      <c r="G668" s="5" t="s">
        <v>38</v>
      </c>
      <c r="H668" s="6">
        <v>45595</v>
      </c>
      <c r="I668" s="5">
        <v>5.5</v>
      </c>
      <c r="J668" s="5">
        <v>92.7</v>
      </c>
      <c r="K668" s="5">
        <v>6</v>
      </c>
      <c r="L668" s="5">
        <v>58.4</v>
      </c>
      <c r="M668" s="5">
        <v>90.3</v>
      </c>
    </row>
    <row r="669" spans="1:13" x14ac:dyDescent="0.3">
      <c r="A669" s="5">
        <v>926</v>
      </c>
      <c r="B669" s="5" t="s">
        <v>35</v>
      </c>
      <c r="C669" s="5" t="s">
        <v>45</v>
      </c>
      <c r="D669" s="5" t="s">
        <v>37</v>
      </c>
      <c r="E669" s="5" t="s">
        <v>37</v>
      </c>
      <c r="F669" s="5" t="s">
        <v>37</v>
      </c>
      <c r="G669" s="5" t="s">
        <v>38</v>
      </c>
      <c r="H669" s="6">
        <v>44943</v>
      </c>
      <c r="I669" s="5">
        <v>5.9</v>
      </c>
      <c r="J669" s="5">
        <v>82.9</v>
      </c>
      <c r="K669" s="5">
        <v>7.1</v>
      </c>
      <c r="L669" s="5">
        <v>89.2</v>
      </c>
      <c r="M669" s="5">
        <v>91.6</v>
      </c>
    </row>
    <row r="670" spans="1:13" x14ac:dyDescent="0.3">
      <c r="A670" s="5">
        <v>852</v>
      </c>
      <c r="B670" s="5" t="s">
        <v>35</v>
      </c>
      <c r="C670" s="5" t="s">
        <v>42</v>
      </c>
      <c r="D670" s="5" t="s">
        <v>37</v>
      </c>
      <c r="E670" s="5" t="s">
        <v>40</v>
      </c>
      <c r="F670" s="5" t="s">
        <v>40</v>
      </c>
      <c r="G670" s="5" t="s">
        <v>47</v>
      </c>
      <c r="H670" s="6">
        <v>45256</v>
      </c>
      <c r="I670" s="5">
        <v>6.4</v>
      </c>
      <c r="J670" s="5">
        <v>99.1</v>
      </c>
      <c r="K670" s="5">
        <v>9</v>
      </c>
      <c r="L670" s="5">
        <v>36.4</v>
      </c>
      <c r="M670" s="5">
        <v>81.2</v>
      </c>
    </row>
    <row r="671" spans="1:13" x14ac:dyDescent="0.3">
      <c r="A671" s="5">
        <v>732</v>
      </c>
      <c r="B671" s="5" t="s">
        <v>35</v>
      </c>
      <c r="C671" s="5" t="s">
        <v>45</v>
      </c>
      <c r="D671" s="5"/>
      <c r="E671" s="5" t="s">
        <v>40</v>
      </c>
      <c r="F671" s="5" t="s">
        <v>37</v>
      </c>
      <c r="G671" s="5" t="s">
        <v>46</v>
      </c>
      <c r="H671" s="6">
        <v>45010</v>
      </c>
      <c r="I671" s="5">
        <v>2.2000000000000002</v>
      </c>
      <c r="J671" s="5">
        <v>68.3</v>
      </c>
      <c r="K671" s="5">
        <v>6</v>
      </c>
      <c r="L671" s="5">
        <v>66.75</v>
      </c>
      <c r="M671" s="5">
        <v>60</v>
      </c>
    </row>
    <row r="672" spans="1:13" x14ac:dyDescent="0.3">
      <c r="A672" s="5">
        <v>59</v>
      </c>
      <c r="B672" s="5" t="s">
        <v>35</v>
      </c>
      <c r="C672" s="5"/>
      <c r="D672" s="5" t="s">
        <v>37</v>
      </c>
      <c r="E672" s="5" t="s">
        <v>37</v>
      </c>
      <c r="F672" s="5" t="s">
        <v>40</v>
      </c>
      <c r="G672" s="5" t="s">
        <v>47</v>
      </c>
      <c r="H672" s="6">
        <v>45154</v>
      </c>
      <c r="I672" s="5">
        <v>2.9</v>
      </c>
      <c r="J672" s="5">
        <v>98.5</v>
      </c>
      <c r="K672" s="5">
        <v>9</v>
      </c>
      <c r="L672" s="5">
        <v>77.3</v>
      </c>
      <c r="M672" s="5">
        <v>80.900000000000006</v>
      </c>
    </row>
    <row r="673" spans="1:13" x14ac:dyDescent="0.3">
      <c r="A673" s="5">
        <v>2</v>
      </c>
      <c r="B673" s="5" t="s">
        <v>35</v>
      </c>
      <c r="C673" s="5" t="s">
        <v>42</v>
      </c>
      <c r="D673" s="5" t="s">
        <v>37</v>
      </c>
      <c r="E673" s="5" t="s">
        <v>40</v>
      </c>
      <c r="F673" s="5" t="s">
        <v>37</v>
      </c>
      <c r="G673" s="5" t="s">
        <v>43</v>
      </c>
      <c r="H673" s="6">
        <v>45250</v>
      </c>
      <c r="I673" s="5">
        <v>2.9</v>
      </c>
      <c r="J673" s="5">
        <v>97.4</v>
      </c>
      <c r="K673" s="5">
        <v>7.2</v>
      </c>
      <c r="L673" s="5">
        <v>68.3</v>
      </c>
      <c r="M673" s="5">
        <v>70</v>
      </c>
    </row>
    <row r="674" spans="1:13" x14ac:dyDescent="0.3">
      <c r="A674" s="5">
        <v>630</v>
      </c>
      <c r="B674" s="5" t="s">
        <v>35</v>
      </c>
      <c r="C674" s="5" t="s">
        <v>42</v>
      </c>
      <c r="D674" s="5" t="s">
        <v>37</v>
      </c>
      <c r="E674" s="5" t="s">
        <v>37</v>
      </c>
      <c r="F674" s="5" t="s">
        <v>37</v>
      </c>
      <c r="G674" s="5" t="s">
        <v>47</v>
      </c>
      <c r="H674" s="6">
        <v>45477</v>
      </c>
      <c r="I674" s="5">
        <v>3.9</v>
      </c>
      <c r="J674" s="5">
        <v>96.6</v>
      </c>
      <c r="K674" s="5">
        <v>4.8</v>
      </c>
      <c r="L674" s="5">
        <v>87.1</v>
      </c>
      <c r="M674" s="5">
        <v>87.7</v>
      </c>
    </row>
    <row r="675" spans="1:13" x14ac:dyDescent="0.3">
      <c r="A675" s="5">
        <v>264</v>
      </c>
      <c r="B675" s="5" t="s">
        <v>44</v>
      </c>
      <c r="C675" s="5" t="s">
        <v>42</v>
      </c>
      <c r="D675" s="5" t="s">
        <v>37</v>
      </c>
      <c r="E675" s="5" t="s">
        <v>37</v>
      </c>
      <c r="F675" s="5" t="s">
        <v>40</v>
      </c>
      <c r="G675" s="5" t="s">
        <v>46</v>
      </c>
      <c r="H675" s="6">
        <v>45036</v>
      </c>
      <c r="I675" s="5">
        <v>2.6</v>
      </c>
      <c r="J675" s="5">
        <v>75.7</v>
      </c>
      <c r="K675" s="5">
        <v>5.3</v>
      </c>
      <c r="L675" s="5">
        <v>71.099999999999994</v>
      </c>
      <c r="M675" s="5">
        <v>67.099999999999994</v>
      </c>
    </row>
    <row r="676" spans="1:13" x14ac:dyDescent="0.3">
      <c r="A676" s="5">
        <v>870</v>
      </c>
      <c r="B676" s="5" t="s">
        <v>44</v>
      </c>
      <c r="C676" s="5" t="s">
        <v>45</v>
      </c>
      <c r="D676" s="5" t="s">
        <v>37</v>
      </c>
      <c r="E676" s="5" t="s">
        <v>40</v>
      </c>
      <c r="F676" s="5" t="s">
        <v>37</v>
      </c>
      <c r="G676" s="5" t="s">
        <v>43</v>
      </c>
      <c r="H676" s="6">
        <v>45005</v>
      </c>
      <c r="I676" s="5">
        <v>6.2</v>
      </c>
      <c r="J676" s="5">
        <v>74.400000000000006</v>
      </c>
      <c r="K676" s="5">
        <v>4.3</v>
      </c>
      <c r="L676" s="5">
        <v>65.400000000000006</v>
      </c>
      <c r="M676" s="5">
        <v>74.099999999999994</v>
      </c>
    </row>
    <row r="677" spans="1:13" x14ac:dyDescent="0.3">
      <c r="A677" s="5">
        <v>436</v>
      </c>
      <c r="B677" s="5" t="s">
        <v>44</v>
      </c>
      <c r="C677" s="5" t="s">
        <v>45</v>
      </c>
      <c r="D677" s="5" t="s">
        <v>37</v>
      </c>
      <c r="E677" s="5" t="s">
        <v>37</v>
      </c>
      <c r="F677" s="5" t="s">
        <v>40</v>
      </c>
      <c r="G677" s="5" t="s">
        <v>43</v>
      </c>
      <c r="H677" s="6"/>
      <c r="I677" s="5">
        <v>4.0999999999999996</v>
      </c>
      <c r="J677" s="5">
        <v>83.8</v>
      </c>
      <c r="K677" s="5">
        <v>8.1</v>
      </c>
      <c r="L677" s="5">
        <v>70.2</v>
      </c>
      <c r="M677" s="5">
        <v>79.599999999999994</v>
      </c>
    </row>
    <row r="678" spans="1:13" x14ac:dyDescent="0.3">
      <c r="A678" s="5">
        <v>491</v>
      </c>
      <c r="B678" s="5" t="s">
        <v>44</v>
      </c>
      <c r="C678" s="5" t="s">
        <v>45</v>
      </c>
      <c r="D678" s="5" t="s">
        <v>37</v>
      </c>
      <c r="E678" s="5" t="s">
        <v>37</v>
      </c>
      <c r="F678" s="5" t="s">
        <v>37</v>
      </c>
      <c r="G678" s="5" t="s">
        <v>41</v>
      </c>
      <c r="H678" s="6">
        <v>45203</v>
      </c>
      <c r="I678" s="5">
        <v>1.7</v>
      </c>
      <c r="J678" s="5">
        <v>86.5</v>
      </c>
      <c r="K678" s="5">
        <v>5.0999999999999996</v>
      </c>
      <c r="L678" s="5">
        <v>43.3</v>
      </c>
      <c r="M678" s="5">
        <v>49</v>
      </c>
    </row>
    <row r="679" spans="1:13" x14ac:dyDescent="0.3">
      <c r="A679" s="5">
        <v>431</v>
      </c>
      <c r="B679" s="5" t="s">
        <v>44</v>
      </c>
      <c r="C679" s="5" t="s">
        <v>45</v>
      </c>
      <c r="D679" s="5" t="s">
        <v>37</v>
      </c>
      <c r="E679" s="5" t="s">
        <v>40</v>
      </c>
      <c r="F679" s="5" t="s">
        <v>40</v>
      </c>
      <c r="G679" s="5" t="s">
        <v>41</v>
      </c>
      <c r="H679" s="6">
        <v>45265</v>
      </c>
      <c r="I679" s="5">
        <v>3.2</v>
      </c>
      <c r="J679" s="5">
        <v>90.1</v>
      </c>
      <c r="K679" s="5">
        <v>8.6</v>
      </c>
      <c r="L679" s="5">
        <v>37.4</v>
      </c>
      <c r="M679" s="5">
        <v>57.3</v>
      </c>
    </row>
    <row r="680" spans="1:13" x14ac:dyDescent="0.3">
      <c r="A680" s="5">
        <v>724</v>
      </c>
      <c r="B680" s="5" t="s">
        <v>44</v>
      </c>
      <c r="C680" s="5" t="s">
        <v>45</v>
      </c>
      <c r="D680" s="5" t="s">
        <v>37</v>
      </c>
      <c r="E680" s="5" t="s">
        <v>37</v>
      </c>
      <c r="F680" s="5" t="s">
        <v>37</v>
      </c>
      <c r="G680" s="5" t="s">
        <v>47</v>
      </c>
      <c r="H680" s="6">
        <v>44988</v>
      </c>
      <c r="I680" s="5">
        <v>7</v>
      </c>
      <c r="J680" s="5">
        <v>75.599999999999994</v>
      </c>
      <c r="K680" s="5">
        <v>4.0999999999999996</v>
      </c>
      <c r="L680" s="5">
        <v>94.5</v>
      </c>
      <c r="M680" s="5">
        <v>85.6</v>
      </c>
    </row>
    <row r="681" spans="1:13" x14ac:dyDescent="0.3">
      <c r="A681" s="5">
        <v>96</v>
      </c>
      <c r="B681" s="5" t="s">
        <v>35</v>
      </c>
      <c r="C681" s="5" t="s">
        <v>45</v>
      </c>
      <c r="D681" s="5" t="s">
        <v>37</v>
      </c>
      <c r="E681" s="5" t="s">
        <v>40</v>
      </c>
      <c r="F681" s="5" t="s">
        <v>37</v>
      </c>
      <c r="G681" s="5" t="s">
        <v>47</v>
      </c>
      <c r="H681" s="6">
        <v>45343</v>
      </c>
      <c r="I681" s="5">
        <v>3.9</v>
      </c>
      <c r="J681" s="5">
        <v>91</v>
      </c>
      <c r="K681" s="5">
        <v>7.7</v>
      </c>
      <c r="L681" s="5">
        <v>89.2</v>
      </c>
      <c r="M681" s="5">
        <v>82.4</v>
      </c>
    </row>
    <row r="682" spans="1:13" x14ac:dyDescent="0.3">
      <c r="A682" s="5">
        <v>13</v>
      </c>
      <c r="B682" s="5" t="s">
        <v>44</v>
      </c>
      <c r="C682" s="5"/>
      <c r="D682" s="5" t="s">
        <v>37</v>
      </c>
      <c r="E682" s="5" t="s">
        <v>40</v>
      </c>
      <c r="F682" s="5" t="s">
        <v>37</v>
      </c>
      <c r="G682" s="5" t="s">
        <v>47</v>
      </c>
      <c r="H682" s="6">
        <v>45349</v>
      </c>
      <c r="I682" s="5">
        <v>6.4</v>
      </c>
      <c r="J682" s="5">
        <v>81</v>
      </c>
      <c r="K682" s="5">
        <v>5</v>
      </c>
      <c r="L682" s="5">
        <v>86.4</v>
      </c>
      <c r="M682" s="5">
        <v>89.7</v>
      </c>
    </row>
    <row r="683" spans="1:13" x14ac:dyDescent="0.3">
      <c r="A683" s="5">
        <v>84</v>
      </c>
      <c r="B683" s="5" t="s">
        <v>35</v>
      </c>
      <c r="C683" s="5" t="s">
        <v>45</v>
      </c>
      <c r="D683" s="5" t="s">
        <v>37</v>
      </c>
      <c r="E683" s="5" t="s">
        <v>37</v>
      </c>
      <c r="F683" s="5" t="s">
        <v>37</v>
      </c>
      <c r="G683" s="5" t="s">
        <v>46</v>
      </c>
      <c r="H683" s="6">
        <v>45093</v>
      </c>
      <c r="I683" s="5">
        <v>2.6</v>
      </c>
      <c r="J683" s="5">
        <v>73.5</v>
      </c>
      <c r="K683" s="5">
        <v>6.4</v>
      </c>
      <c r="L683" s="5">
        <v>90.8</v>
      </c>
      <c r="M683" s="5">
        <v>67.8</v>
      </c>
    </row>
    <row r="684" spans="1:13" x14ac:dyDescent="0.3">
      <c r="A684" s="5">
        <v>106</v>
      </c>
      <c r="B684" s="5" t="s">
        <v>35</v>
      </c>
      <c r="C684" s="5" t="s">
        <v>39</v>
      </c>
      <c r="D684" s="5" t="s">
        <v>37</v>
      </c>
      <c r="E684" s="5" t="s">
        <v>37</v>
      </c>
      <c r="F684" s="5" t="s">
        <v>40</v>
      </c>
      <c r="G684" s="5" t="s">
        <v>43</v>
      </c>
      <c r="H684" s="6">
        <v>45044</v>
      </c>
      <c r="I684" s="5">
        <v>2.7</v>
      </c>
      <c r="J684" s="5">
        <v>83.6</v>
      </c>
      <c r="K684" s="5">
        <v>5.2</v>
      </c>
      <c r="L684" s="5">
        <v>88.3</v>
      </c>
      <c r="M684" s="5">
        <v>70.900000000000006</v>
      </c>
    </row>
    <row r="685" spans="1:13" x14ac:dyDescent="0.3">
      <c r="A685" s="5">
        <v>495</v>
      </c>
      <c r="B685" s="5" t="s">
        <v>35</v>
      </c>
      <c r="C685" s="5"/>
      <c r="D685" s="5" t="s">
        <v>37</v>
      </c>
      <c r="E685" s="5" t="s">
        <v>40</v>
      </c>
      <c r="F685" s="5" t="s">
        <v>37</v>
      </c>
      <c r="G685" s="5" t="s">
        <v>47</v>
      </c>
      <c r="H685" s="6"/>
      <c r="I685" s="5">
        <v>4.3</v>
      </c>
      <c r="J685" s="5">
        <v>66.599999999999994</v>
      </c>
      <c r="K685" s="5">
        <v>8.1</v>
      </c>
      <c r="L685" s="5">
        <v>93.2</v>
      </c>
      <c r="M685" s="5">
        <v>86.9</v>
      </c>
    </row>
    <row r="686" spans="1:13" x14ac:dyDescent="0.3">
      <c r="A686" s="5">
        <v>357</v>
      </c>
      <c r="B686" s="5" t="s">
        <v>35</v>
      </c>
      <c r="C686" s="5" t="s">
        <v>45</v>
      </c>
      <c r="D686" s="5" t="s">
        <v>37</v>
      </c>
      <c r="E686" s="5" t="s">
        <v>40</v>
      </c>
      <c r="F686" s="5" t="s">
        <v>37</v>
      </c>
      <c r="G686" s="5" t="s">
        <v>43</v>
      </c>
      <c r="H686" s="6"/>
      <c r="I686" s="5">
        <v>5.0999999999999996</v>
      </c>
      <c r="J686" s="5">
        <v>82.2</v>
      </c>
      <c r="K686" s="5">
        <v>7</v>
      </c>
      <c r="L686" s="5">
        <v>35.799999999999997</v>
      </c>
      <c r="M686" s="5">
        <v>74.2</v>
      </c>
    </row>
    <row r="687" spans="1:13" x14ac:dyDescent="0.3">
      <c r="A687" s="5">
        <v>683</v>
      </c>
      <c r="B687" s="5" t="s">
        <v>44</v>
      </c>
      <c r="C687" s="5"/>
      <c r="D687" s="5" t="s">
        <v>40</v>
      </c>
      <c r="E687" s="5" t="s">
        <v>37</v>
      </c>
      <c r="F687" s="5" t="s">
        <v>40</v>
      </c>
      <c r="G687" s="5" t="s">
        <v>46</v>
      </c>
      <c r="H687" s="6">
        <v>45430</v>
      </c>
      <c r="I687" s="5">
        <v>3.4</v>
      </c>
      <c r="J687" s="5">
        <v>66.5</v>
      </c>
      <c r="K687" s="5">
        <v>6.7</v>
      </c>
      <c r="L687" s="5">
        <v>55.5</v>
      </c>
      <c r="M687" s="5">
        <v>65.7</v>
      </c>
    </row>
    <row r="688" spans="1:13" x14ac:dyDescent="0.3">
      <c r="A688" s="5">
        <v>194</v>
      </c>
      <c r="B688" s="5" t="s">
        <v>35</v>
      </c>
      <c r="C688" s="5" t="s">
        <v>45</v>
      </c>
      <c r="D688" s="5" t="s">
        <v>37</v>
      </c>
      <c r="E688" s="5" t="s">
        <v>37</v>
      </c>
      <c r="F688" s="5" t="s">
        <v>40</v>
      </c>
      <c r="G688" s="5" t="s">
        <v>43</v>
      </c>
      <c r="H688" s="6">
        <v>45390</v>
      </c>
      <c r="I688" s="5">
        <v>2</v>
      </c>
      <c r="J688" s="5">
        <v>66</v>
      </c>
      <c r="K688" s="5">
        <v>8.8000000000000007</v>
      </c>
      <c r="L688" s="5">
        <v>66.900000000000006</v>
      </c>
      <c r="M688" s="5">
        <v>77.900000000000006</v>
      </c>
    </row>
    <row r="689" spans="1:13" x14ac:dyDescent="0.3">
      <c r="A689" s="5">
        <v>253</v>
      </c>
      <c r="B689" s="5" t="s">
        <v>35</v>
      </c>
      <c r="C689" s="5" t="s">
        <v>36</v>
      </c>
      <c r="D689" s="5" t="s">
        <v>37</v>
      </c>
      <c r="E689" s="5" t="s">
        <v>37</v>
      </c>
      <c r="F689" s="5" t="s">
        <v>37</v>
      </c>
      <c r="G689" s="5" t="s">
        <v>38</v>
      </c>
      <c r="H689" s="6">
        <v>45333</v>
      </c>
      <c r="I689" s="5">
        <v>5.4</v>
      </c>
      <c r="J689" s="5">
        <v>94.5</v>
      </c>
      <c r="K689" s="5">
        <v>8.3000000000000007</v>
      </c>
      <c r="L689" s="5">
        <v>86.6</v>
      </c>
      <c r="M689" s="5">
        <v>96.5</v>
      </c>
    </row>
    <row r="690" spans="1:13" x14ac:dyDescent="0.3">
      <c r="A690" s="5">
        <v>451</v>
      </c>
      <c r="B690" s="5" t="s">
        <v>44</v>
      </c>
      <c r="C690" s="5" t="s">
        <v>39</v>
      </c>
      <c r="D690" s="5"/>
      <c r="E690" s="5" t="s">
        <v>37</v>
      </c>
      <c r="F690" s="5" t="s">
        <v>40</v>
      </c>
      <c r="G690" s="5" t="s">
        <v>38</v>
      </c>
      <c r="H690" s="6">
        <v>45013</v>
      </c>
      <c r="I690" s="5">
        <v>6.8</v>
      </c>
      <c r="J690" s="5">
        <v>89.6</v>
      </c>
      <c r="K690" s="5">
        <v>4.8</v>
      </c>
      <c r="L690" s="5">
        <v>51.9</v>
      </c>
      <c r="M690" s="5">
        <v>91</v>
      </c>
    </row>
    <row r="691" spans="1:13" x14ac:dyDescent="0.3">
      <c r="A691" s="5">
        <v>775</v>
      </c>
      <c r="B691" s="5" t="s">
        <v>44</v>
      </c>
      <c r="C691" s="5" t="s">
        <v>36</v>
      </c>
      <c r="D691" s="5" t="s">
        <v>37</v>
      </c>
      <c r="E691" s="5" t="s">
        <v>37</v>
      </c>
      <c r="F691" s="5" t="s">
        <v>37</v>
      </c>
      <c r="G691" s="5" t="s">
        <v>46</v>
      </c>
      <c r="H691" s="6">
        <v>44930</v>
      </c>
      <c r="I691" s="5">
        <v>2.6</v>
      </c>
      <c r="J691" s="5">
        <v>87</v>
      </c>
      <c r="K691" s="5">
        <v>7</v>
      </c>
      <c r="L691" s="5">
        <v>42.7</v>
      </c>
      <c r="M691" s="5">
        <v>63.2</v>
      </c>
    </row>
    <row r="692" spans="1:13" x14ac:dyDescent="0.3">
      <c r="A692" s="5">
        <v>587</v>
      </c>
      <c r="B692" s="5" t="s">
        <v>35</v>
      </c>
      <c r="C692" s="5"/>
      <c r="D692" s="5" t="s">
        <v>37</v>
      </c>
      <c r="E692" s="5" t="s">
        <v>40</v>
      </c>
      <c r="F692" s="5" t="s">
        <v>40</v>
      </c>
      <c r="G692" s="5" t="s">
        <v>38</v>
      </c>
      <c r="H692" s="6">
        <v>45169</v>
      </c>
      <c r="I692" s="5">
        <v>5.6</v>
      </c>
      <c r="J692" s="5">
        <v>84.4</v>
      </c>
      <c r="K692" s="5">
        <v>5.5</v>
      </c>
      <c r="L692" s="5">
        <v>86.8</v>
      </c>
      <c r="M692" s="5">
        <v>92</v>
      </c>
    </row>
    <row r="693" spans="1:13" x14ac:dyDescent="0.3">
      <c r="A693" s="5">
        <v>245</v>
      </c>
      <c r="B693" s="5" t="s">
        <v>44</v>
      </c>
      <c r="C693" s="5" t="s">
        <v>36</v>
      </c>
      <c r="D693" s="5" t="s">
        <v>37</v>
      </c>
      <c r="E693" s="5" t="s">
        <v>37</v>
      </c>
      <c r="F693" s="5" t="s">
        <v>40</v>
      </c>
      <c r="G693" s="5" t="s">
        <v>43</v>
      </c>
      <c r="H693" s="6">
        <v>45162</v>
      </c>
      <c r="I693" s="5">
        <v>1.3</v>
      </c>
      <c r="J693" s="5">
        <v>97.8</v>
      </c>
      <c r="K693" s="5">
        <v>8.5</v>
      </c>
      <c r="L693" s="5">
        <v>78.099999999999994</v>
      </c>
      <c r="M693" s="5">
        <v>70.2</v>
      </c>
    </row>
    <row r="694" spans="1:13" x14ac:dyDescent="0.3">
      <c r="A694" s="5">
        <v>824</v>
      </c>
      <c r="B694" s="5" t="s">
        <v>44</v>
      </c>
      <c r="C694" s="5"/>
      <c r="D694" s="5" t="s">
        <v>40</v>
      </c>
      <c r="E694" s="5" t="s">
        <v>40</v>
      </c>
      <c r="F694" s="5" t="s">
        <v>40</v>
      </c>
      <c r="G694" s="5" t="s">
        <v>47</v>
      </c>
      <c r="H694" s="6"/>
      <c r="I694" s="5">
        <v>7</v>
      </c>
      <c r="J694" s="5">
        <v>70.7</v>
      </c>
      <c r="K694" s="5">
        <v>7</v>
      </c>
      <c r="L694" s="5">
        <v>77.900000000000006</v>
      </c>
      <c r="M694" s="5">
        <v>89.8</v>
      </c>
    </row>
    <row r="695" spans="1:13" x14ac:dyDescent="0.3">
      <c r="A695" s="5">
        <v>308</v>
      </c>
      <c r="B695" s="5" t="s">
        <v>35</v>
      </c>
      <c r="C695" s="5" t="s">
        <v>42</v>
      </c>
      <c r="D695" s="5" t="s">
        <v>37</v>
      </c>
      <c r="E695" s="5" t="s">
        <v>37</v>
      </c>
      <c r="F695" s="5" t="s">
        <v>40</v>
      </c>
      <c r="G695" s="5" t="s">
        <v>43</v>
      </c>
      <c r="H695" s="6"/>
      <c r="I695" s="5">
        <v>4.9000000000000004</v>
      </c>
      <c r="J695" s="5">
        <v>94.4</v>
      </c>
      <c r="K695" s="5">
        <v>9</v>
      </c>
      <c r="L695" s="5">
        <v>37.9</v>
      </c>
      <c r="M695" s="5">
        <v>76.5</v>
      </c>
    </row>
    <row r="696" spans="1:13" x14ac:dyDescent="0.3">
      <c r="A696" s="5">
        <v>141</v>
      </c>
      <c r="B696" s="5" t="s">
        <v>44</v>
      </c>
      <c r="C696" s="5" t="s">
        <v>39</v>
      </c>
      <c r="D696" s="5" t="s">
        <v>40</v>
      </c>
      <c r="E696" s="5" t="s">
        <v>37</v>
      </c>
      <c r="F696" s="5" t="s">
        <v>40</v>
      </c>
      <c r="G696" s="5" t="s">
        <v>47</v>
      </c>
      <c r="H696" s="6">
        <v>45291</v>
      </c>
      <c r="I696" s="5">
        <v>4.2</v>
      </c>
      <c r="J696" s="5">
        <v>93.2</v>
      </c>
      <c r="K696" s="5">
        <v>4.9000000000000004</v>
      </c>
      <c r="L696" s="5">
        <v>93.3</v>
      </c>
      <c r="M696" s="5">
        <v>85.2</v>
      </c>
    </row>
    <row r="697" spans="1:13" x14ac:dyDescent="0.3">
      <c r="A697" s="5">
        <v>690</v>
      </c>
      <c r="B697" s="5" t="s">
        <v>44</v>
      </c>
      <c r="C697" s="5"/>
      <c r="D697" s="5" t="s">
        <v>37</v>
      </c>
      <c r="E697" s="5" t="s">
        <v>37</v>
      </c>
      <c r="F697" s="5" t="s">
        <v>40</v>
      </c>
      <c r="G697" s="5" t="s">
        <v>43</v>
      </c>
      <c r="H697" s="6">
        <v>45033</v>
      </c>
      <c r="I697" s="5">
        <v>3.3</v>
      </c>
      <c r="J697" s="5">
        <v>80.599999999999994</v>
      </c>
      <c r="K697" s="5">
        <v>5.0999999999999996</v>
      </c>
      <c r="L697" s="5">
        <v>41.8</v>
      </c>
      <c r="M697" s="5">
        <v>72.2</v>
      </c>
    </row>
    <row r="698" spans="1:13" x14ac:dyDescent="0.3">
      <c r="A698" s="5">
        <v>42</v>
      </c>
      <c r="B698" s="5" t="s">
        <v>35</v>
      </c>
      <c r="C698" s="5" t="s">
        <v>45</v>
      </c>
      <c r="D698" s="5" t="s">
        <v>37</v>
      </c>
      <c r="E698" s="5" t="s">
        <v>37</v>
      </c>
      <c r="F698" s="5" t="s">
        <v>40</v>
      </c>
      <c r="G698" s="5" t="s">
        <v>43</v>
      </c>
      <c r="H698" s="6">
        <v>45610</v>
      </c>
      <c r="I698" s="5">
        <v>2.9</v>
      </c>
      <c r="J698" s="5">
        <v>76</v>
      </c>
      <c r="K698" s="5">
        <v>4.8</v>
      </c>
      <c r="L698" s="5">
        <v>58</v>
      </c>
      <c r="M698" s="5">
        <v>70.8</v>
      </c>
    </row>
    <row r="699" spans="1:13" x14ac:dyDescent="0.3">
      <c r="A699" s="5">
        <v>293</v>
      </c>
      <c r="B699" s="5" t="s">
        <v>35</v>
      </c>
      <c r="C699" s="5" t="s">
        <v>42</v>
      </c>
      <c r="D699" s="5" t="s">
        <v>37</v>
      </c>
      <c r="E699" s="5" t="s">
        <v>37</v>
      </c>
      <c r="F699" s="5" t="s">
        <v>37</v>
      </c>
      <c r="G699" s="5" t="s">
        <v>47</v>
      </c>
      <c r="H699" s="6">
        <v>45266</v>
      </c>
      <c r="I699" s="5">
        <v>6.3</v>
      </c>
      <c r="J699" s="5">
        <v>87.1</v>
      </c>
      <c r="K699" s="5">
        <v>6.6</v>
      </c>
      <c r="L699" s="5">
        <v>84.4</v>
      </c>
      <c r="M699" s="5">
        <v>86.9</v>
      </c>
    </row>
    <row r="700" spans="1:13" x14ac:dyDescent="0.3">
      <c r="A700" s="5">
        <v>666</v>
      </c>
      <c r="B700" s="5" t="s">
        <v>44</v>
      </c>
      <c r="C700" s="5" t="s">
        <v>39</v>
      </c>
      <c r="D700" s="5" t="s">
        <v>37</v>
      </c>
      <c r="E700" s="5" t="s">
        <v>40</v>
      </c>
      <c r="F700" s="5" t="s">
        <v>40</v>
      </c>
      <c r="G700" s="5" t="s">
        <v>47</v>
      </c>
      <c r="H700" s="6">
        <v>44971</v>
      </c>
      <c r="I700" s="5">
        <v>3.5</v>
      </c>
      <c r="J700" s="5">
        <v>69.2</v>
      </c>
      <c r="K700" s="5">
        <v>6.8</v>
      </c>
      <c r="L700" s="5">
        <v>74.3</v>
      </c>
      <c r="M700" s="5">
        <v>80.599999999999994</v>
      </c>
    </row>
    <row r="701" spans="1:13" x14ac:dyDescent="0.3">
      <c r="A701" s="5">
        <v>762</v>
      </c>
      <c r="B701" s="5" t="s">
        <v>44</v>
      </c>
      <c r="C701" s="5" t="s">
        <v>42</v>
      </c>
      <c r="D701" s="5" t="s">
        <v>37</v>
      </c>
      <c r="E701" s="5" t="s">
        <v>37</v>
      </c>
      <c r="F701" s="5" t="s">
        <v>40</v>
      </c>
      <c r="G701" s="5" t="s">
        <v>41</v>
      </c>
      <c r="H701" s="6">
        <v>45341</v>
      </c>
      <c r="I701" s="5">
        <v>0.8</v>
      </c>
      <c r="J701" s="5">
        <v>87.7</v>
      </c>
      <c r="K701" s="5">
        <v>6.8</v>
      </c>
      <c r="L701" s="5">
        <v>56</v>
      </c>
      <c r="M701" s="5">
        <v>52.6</v>
      </c>
    </row>
    <row r="702" spans="1:13" x14ac:dyDescent="0.3">
      <c r="A702" s="5">
        <v>687</v>
      </c>
      <c r="B702" s="5" t="s">
        <v>44</v>
      </c>
      <c r="C702" s="5"/>
      <c r="D702" s="5" t="s">
        <v>37</v>
      </c>
      <c r="E702" s="5" t="s">
        <v>37</v>
      </c>
      <c r="F702" s="5" t="s">
        <v>37</v>
      </c>
      <c r="G702" s="5" t="s">
        <v>43</v>
      </c>
      <c r="H702" s="6">
        <v>45502</v>
      </c>
      <c r="I702" s="5">
        <v>1.8</v>
      </c>
      <c r="J702" s="5">
        <v>82</v>
      </c>
      <c r="K702" s="5">
        <v>4.2</v>
      </c>
      <c r="L702" s="5">
        <v>62.6</v>
      </c>
      <c r="M702" s="5">
        <v>70.8</v>
      </c>
    </row>
    <row r="703" spans="1:13" x14ac:dyDescent="0.3">
      <c r="A703" s="5">
        <v>262</v>
      </c>
      <c r="B703" s="5" t="s">
        <v>35</v>
      </c>
      <c r="C703" s="5" t="s">
        <v>45</v>
      </c>
      <c r="D703" s="5" t="s">
        <v>37</v>
      </c>
      <c r="E703" s="5" t="s">
        <v>37</v>
      </c>
      <c r="F703" s="5" t="s">
        <v>40</v>
      </c>
      <c r="G703" s="5" t="s">
        <v>43</v>
      </c>
      <c r="H703" s="6">
        <v>45292</v>
      </c>
      <c r="I703" s="5">
        <v>4.0999999999999996</v>
      </c>
      <c r="J703" s="5">
        <v>79.900000000000006</v>
      </c>
      <c r="K703" s="5">
        <v>8</v>
      </c>
      <c r="L703" s="5">
        <v>66.75</v>
      </c>
      <c r="M703" s="5">
        <v>74.8</v>
      </c>
    </row>
    <row r="704" spans="1:13" x14ac:dyDescent="0.3">
      <c r="A704" s="5">
        <v>116</v>
      </c>
      <c r="B704" s="5" t="s">
        <v>44</v>
      </c>
      <c r="C704" s="5" t="s">
        <v>42</v>
      </c>
      <c r="D704" s="5" t="s">
        <v>37</v>
      </c>
      <c r="E704" s="5" t="s">
        <v>40</v>
      </c>
      <c r="F704" s="5" t="s">
        <v>37</v>
      </c>
      <c r="G704" s="5" t="s">
        <v>46</v>
      </c>
      <c r="H704" s="6">
        <v>45410</v>
      </c>
      <c r="I704" s="5">
        <v>1.3</v>
      </c>
      <c r="J704" s="5">
        <v>68.2</v>
      </c>
      <c r="K704" s="5">
        <v>7.3</v>
      </c>
      <c r="L704" s="5">
        <v>54.6</v>
      </c>
      <c r="M704" s="5">
        <v>65.3</v>
      </c>
    </row>
    <row r="705" spans="1:13" x14ac:dyDescent="0.3">
      <c r="A705" s="5">
        <v>627</v>
      </c>
      <c r="B705" s="5" t="s">
        <v>35</v>
      </c>
      <c r="C705" s="5" t="s">
        <v>42</v>
      </c>
      <c r="D705" s="5" t="s">
        <v>40</v>
      </c>
      <c r="E705" s="5" t="s">
        <v>37</v>
      </c>
      <c r="F705" s="5" t="s">
        <v>40</v>
      </c>
      <c r="G705" s="5" t="s">
        <v>41</v>
      </c>
      <c r="H705" s="6"/>
      <c r="I705" s="5">
        <v>1</v>
      </c>
      <c r="J705" s="5">
        <v>80.2</v>
      </c>
      <c r="K705" s="5">
        <v>4.9000000000000004</v>
      </c>
      <c r="L705" s="5">
        <v>56.6</v>
      </c>
      <c r="M705" s="5">
        <v>58.2</v>
      </c>
    </row>
    <row r="706" spans="1:13" x14ac:dyDescent="0.3">
      <c r="A706" s="5">
        <v>794</v>
      </c>
      <c r="B706" s="5" t="s">
        <v>44</v>
      </c>
      <c r="C706" s="5" t="s">
        <v>36</v>
      </c>
      <c r="D706" s="5" t="s">
        <v>37</v>
      </c>
      <c r="E706" s="5" t="s">
        <v>40</v>
      </c>
      <c r="F706" s="5" t="s">
        <v>40</v>
      </c>
      <c r="G706" s="5" t="s">
        <v>43</v>
      </c>
      <c r="H706" s="6">
        <v>45355</v>
      </c>
      <c r="I706" s="5">
        <v>6.1</v>
      </c>
      <c r="J706" s="5">
        <v>98.4</v>
      </c>
      <c r="K706" s="5">
        <v>5</v>
      </c>
      <c r="L706" s="5">
        <v>69.2</v>
      </c>
      <c r="M706" s="5">
        <v>79.599999999999994</v>
      </c>
    </row>
    <row r="707" spans="1:13" x14ac:dyDescent="0.3">
      <c r="A707" s="5">
        <v>728</v>
      </c>
      <c r="B707" s="5" t="s">
        <v>44</v>
      </c>
      <c r="C707" s="5" t="s">
        <v>42</v>
      </c>
      <c r="D707" s="5" t="s">
        <v>37</v>
      </c>
      <c r="E707" s="5" t="s">
        <v>40</v>
      </c>
      <c r="F707" s="5" t="s">
        <v>40</v>
      </c>
      <c r="G707" s="5" t="s">
        <v>46</v>
      </c>
      <c r="H707" s="6">
        <v>45430</v>
      </c>
      <c r="I707" s="5">
        <v>2.8</v>
      </c>
      <c r="J707" s="5">
        <v>69.099999999999994</v>
      </c>
      <c r="K707" s="5">
        <v>6.7</v>
      </c>
      <c r="L707" s="5">
        <v>65.099999999999994</v>
      </c>
      <c r="M707" s="5">
        <v>61.8</v>
      </c>
    </row>
    <row r="708" spans="1:13" x14ac:dyDescent="0.3">
      <c r="A708" s="5">
        <v>665</v>
      </c>
      <c r="B708" s="5" t="s">
        <v>35</v>
      </c>
      <c r="C708" s="5"/>
      <c r="D708" s="5" t="s">
        <v>37</v>
      </c>
      <c r="E708" s="5" t="s">
        <v>37</v>
      </c>
      <c r="F708" s="5" t="s">
        <v>40</v>
      </c>
      <c r="G708" s="5" t="s">
        <v>38</v>
      </c>
      <c r="H708" s="6">
        <v>45201</v>
      </c>
      <c r="I708" s="5">
        <v>5</v>
      </c>
      <c r="J708" s="5">
        <v>98.7</v>
      </c>
      <c r="K708" s="5">
        <v>8.5</v>
      </c>
      <c r="L708" s="5">
        <v>84</v>
      </c>
      <c r="M708" s="5">
        <v>100</v>
      </c>
    </row>
    <row r="709" spans="1:13" x14ac:dyDescent="0.3">
      <c r="A709" s="5">
        <v>407</v>
      </c>
      <c r="B709" s="5" t="s">
        <v>44</v>
      </c>
      <c r="C709" s="5" t="s">
        <v>39</v>
      </c>
      <c r="D709" s="5" t="s">
        <v>37</v>
      </c>
      <c r="E709" s="5" t="s">
        <v>37</v>
      </c>
      <c r="F709" s="5" t="s">
        <v>37</v>
      </c>
      <c r="G709" s="5" t="s">
        <v>47</v>
      </c>
      <c r="H709" s="6">
        <v>45020</v>
      </c>
      <c r="I709" s="5">
        <v>4.9000000000000004</v>
      </c>
      <c r="J709" s="5">
        <v>73.400000000000006</v>
      </c>
      <c r="K709" s="5">
        <v>6.7</v>
      </c>
      <c r="L709" s="5">
        <v>69.5</v>
      </c>
      <c r="M709" s="5">
        <v>89.1</v>
      </c>
    </row>
    <row r="710" spans="1:13" x14ac:dyDescent="0.3">
      <c r="A710" s="5">
        <v>508</v>
      </c>
      <c r="B710" s="5" t="s">
        <v>35</v>
      </c>
      <c r="C710" s="5" t="s">
        <v>45</v>
      </c>
      <c r="D710" s="5" t="s">
        <v>37</v>
      </c>
      <c r="E710" s="5" t="s">
        <v>40</v>
      </c>
      <c r="F710" s="5" t="s">
        <v>37</v>
      </c>
      <c r="G710" s="5" t="s">
        <v>47</v>
      </c>
      <c r="H710" s="6">
        <v>45284</v>
      </c>
      <c r="I710" s="5">
        <v>6</v>
      </c>
      <c r="J710" s="5">
        <v>71.7</v>
      </c>
      <c r="K710" s="5">
        <v>6.5</v>
      </c>
      <c r="L710" s="5">
        <v>75.7</v>
      </c>
      <c r="M710" s="5">
        <v>73</v>
      </c>
    </row>
    <row r="711" spans="1:13" x14ac:dyDescent="0.3">
      <c r="A711" s="5">
        <v>301</v>
      </c>
      <c r="B711" s="5" t="s">
        <v>35</v>
      </c>
      <c r="C711" s="5" t="s">
        <v>39</v>
      </c>
      <c r="D711" s="5" t="s">
        <v>37</v>
      </c>
      <c r="E711" s="5" t="s">
        <v>37</v>
      </c>
      <c r="F711" s="5" t="s">
        <v>40</v>
      </c>
      <c r="G711" s="5" t="s">
        <v>47</v>
      </c>
      <c r="H711" s="6">
        <v>45051</v>
      </c>
      <c r="I711" s="5">
        <v>5.0999999999999996</v>
      </c>
      <c r="J711" s="5">
        <v>81.400000000000006</v>
      </c>
      <c r="K711" s="5">
        <v>8.5</v>
      </c>
      <c r="L711" s="5">
        <v>93.3</v>
      </c>
      <c r="M711" s="5">
        <v>86.6</v>
      </c>
    </row>
    <row r="712" spans="1:13" x14ac:dyDescent="0.3">
      <c r="A712" s="5">
        <v>281</v>
      </c>
      <c r="B712" s="5" t="s">
        <v>35</v>
      </c>
      <c r="C712" s="5" t="s">
        <v>36</v>
      </c>
      <c r="D712" s="5" t="s">
        <v>40</v>
      </c>
      <c r="E712" s="5" t="s">
        <v>40</v>
      </c>
      <c r="F712" s="5" t="s">
        <v>40</v>
      </c>
      <c r="G712" s="5" t="s">
        <v>38</v>
      </c>
      <c r="H712" s="6"/>
      <c r="I712" s="5">
        <v>6.4</v>
      </c>
      <c r="J712" s="5">
        <v>82.2</v>
      </c>
      <c r="K712" s="5">
        <v>8.6</v>
      </c>
      <c r="L712" s="5">
        <v>72.2</v>
      </c>
      <c r="M712" s="5">
        <v>90.1</v>
      </c>
    </row>
    <row r="713" spans="1:13" x14ac:dyDescent="0.3">
      <c r="A713" s="5">
        <v>17</v>
      </c>
      <c r="B713" s="5" t="s">
        <v>35</v>
      </c>
      <c r="C713" s="5" t="s">
        <v>42</v>
      </c>
      <c r="D713" s="5" t="s">
        <v>37</v>
      </c>
      <c r="E713" s="5" t="s">
        <v>37</v>
      </c>
      <c r="F713" s="5" t="s">
        <v>40</v>
      </c>
      <c r="G713" s="5" t="s">
        <v>43</v>
      </c>
      <c r="H713" s="6">
        <v>44942</v>
      </c>
      <c r="I713" s="5">
        <v>2.2000000000000002</v>
      </c>
      <c r="J713" s="5">
        <v>76.599999999999994</v>
      </c>
      <c r="K713" s="5">
        <v>6.6</v>
      </c>
      <c r="L713" s="5">
        <v>88.8</v>
      </c>
      <c r="M713" s="5">
        <v>72.400000000000006</v>
      </c>
    </row>
    <row r="714" spans="1:13" x14ac:dyDescent="0.3">
      <c r="A714" s="5">
        <v>334</v>
      </c>
      <c r="B714" s="5" t="s">
        <v>35</v>
      </c>
      <c r="C714" s="5" t="s">
        <v>42</v>
      </c>
      <c r="D714" s="5" t="s">
        <v>37</v>
      </c>
      <c r="E714" s="5" t="s">
        <v>40</v>
      </c>
      <c r="F714" s="5" t="s">
        <v>37</v>
      </c>
      <c r="G714" s="5" t="s">
        <v>41</v>
      </c>
      <c r="H714" s="6">
        <v>45357</v>
      </c>
      <c r="I714" s="5">
        <v>2.1</v>
      </c>
      <c r="J714" s="5">
        <v>91.1</v>
      </c>
      <c r="K714" s="5">
        <v>4.4000000000000004</v>
      </c>
      <c r="L714" s="5">
        <v>39.799999999999997</v>
      </c>
      <c r="M714" s="5">
        <v>55.1</v>
      </c>
    </row>
    <row r="715" spans="1:13" x14ac:dyDescent="0.3">
      <c r="A715" s="5">
        <v>790</v>
      </c>
      <c r="B715" s="5" t="s">
        <v>44</v>
      </c>
      <c r="C715" s="5" t="s">
        <v>45</v>
      </c>
      <c r="D715" s="5" t="s">
        <v>40</v>
      </c>
      <c r="E715" s="5" t="s">
        <v>37</v>
      </c>
      <c r="F715" s="5" t="s">
        <v>40</v>
      </c>
      <c r="G715" s="5" t="s">
        <v>43</v>
      </c>
      <c r="H715" s="6">
        <v>45139</v>
      </c>
      <c r="I715" s="5">
        <v>3.1</v>
      </c>
      <c r="J715" s="5">
        <v>65.2</v>
      </c>
      <c r="K715" s="5">
        <v>8.8000000000000007</v>
      </c>
      <c r="L715" s="5">
        <v>54</v>
      </c>
      <c r="M715" s="5">
        <v>77</v>
      </c>
    </row>
    <row r="716" spans="1:13" x14ac:dyDescent="0.3">
      <c r="A716" s="5">
        <v>744</v>
      </c>
      <c r="B716" s="5" t="s">
        <v>44</v>
      </c>
      <c r="C716" s="5" t="s">
        <v>42</v>
      </c>
      <c r="D716" s="5" t="s">
        <v>37</v>
      </c>
      <c r="E716" s="5" t="s">
        <v>37</v>
      </c>
      <c r="F716" s="5" t="s">
        <v>37</v>
      </c>
      <c r="G716" s="5" t="s">
        <v>43</v>
      </c>
      <c r="H716" s="6">
        <v>45041</v>
      </c>
      <c r="I716" s="5">
        <v>3.7</v>
      </c>
      <c r="J716" s="5">
        <v>70.8</v>
      </c>
      <c r="K716" s="5">
        <v>6.7</v>
      </c>
      <c r="L716" s="5">
        <v>86.4</v>
      </c>
      <c r="M716" s="5">
        <v>75.400000000000006</v>
      </c>
    </row>
    <row r="717" spans="1:13" x14ac:dyDescent="0.3">
      <c r="A717" s="5">
        <v>367</v>
      </c>
      <c r="B717" s="5" t="s">
        <v>44</v>
      </c>
      <c r="C717" s="5" t="s">
        <v>39</v>
      </c>
      <c r="D717" s="5" t="s">
        <v>37</v>
      </c>
      <c r="E717" s="5" t="s">
        <v>37</v>
      </c>
      <c r="F717" s="5" t="s">
        <v>37</v>
      </c>
      <c r="G717" s="5" t="s">
        <v>43</v>
      </c>
      <c r="H717" s="6">
        <v>44961</v>
      </c>
      <c r="I717" s="5">
        <v>2.6</v>
      </c>
      <c r="J717" s="5">
        <v>74</v>
      </c>
      <c r="K717" s="5">
        <v>9</v>
      </c>
      <c r="L717" s="5">
        <v>36.5</v>
      </c>
      <c r="M717" s="5">
        <v>70</v>
      </c>
    </row>
    <row r="718" spans="1:13" x14ac:dyDescent="0.3">
      <c r="A718" s="5">
        <v>179</v>
      </c>
      <c r="B718" s="5" t="s">
        <v>35</v>
      </c>
      <c r="C718" s="5" t="s">
        <v>42</v>
      </c>
      <c r="D718" s="5" t="s">
        <v>37</v>
      </c>
      <c r="E718" s="5" t="s">
        <v>40</v>
      </c>
      <c r="F718" s="5" t="s">
        <v>40</v>
      </c>
      <c r="G718" s="5" t="s">
        <v>47</v>
      </c>
      <c r="H718" s="6">
        <v>45111</v>
      </c>
      <c r="I718" s="5">
        <v>6.8</v>
      </c>
      <c r="J718" s="5">
        <v>82.2</v>
      </c>
      <c r="K718" s="5">
        <v>6.1</v>
      </c>
      <c r="L718" s="5">
        <v>81.3</v>
      </c>
      <c r="M718" s="5">
        <v>89.8</v>
      </c>
    </row>
    <row r="719" spans="1:13" x14ac:dyDescent="0.3">
      <c r="A719" s="5">
        <v>98</v>
      </c>
      <c r="B719" s="5" t="s">
        <v>35</v>
      </c>
      <c r="C719" s="5" t="s">
        <v>45</v>
      </c>
      <c r="D719" s="5" t="s">
        <v>37</v>
      </c>
      <c r="E719" s="5" t="s">
        <v>37</v>
      </c>
      <c r="F719" s="5" t="s">
        <v>40</v>
      </c>
      <c r="G719" s="5" t="s">
        <v>43</v>
      </c>
      <c r="H719" s="6">
        <v>45366</v>
      </c>
      <c r="I719" s="5">
        <v>2.6</v>
      </c>
      <c r="J719" s="5">
        <v>86.3</v>
      </c>
      <c r="K719" s="5">
        <v>6.9</v>
      </c>
      <c r="L719" s="5">
        <v>63.1</v>
      </c>
      <c r="M719" s="5">
        <v>74.599999999999994</v>
      </c>
    </row>
    <row r="720" spans="1:13" x14ac:dyDescent="0.3">
      <c r="A720" s="5">
        <v>572</v>
      </c>
      <c r="B720" s="5" t="s">
        <v>44</v>
      </c>
      <c r="C720" s="5" t="s">
        <v>36</v>
      </c>
      <c r="D720" s="5" t="s">
        <v>37</v>
      </c>
      <c r="E720" s="5" t="s">
        <v>37</v>
      </c>
      <c r="F720" s="5" t="s">
        <v>37</v>
      </c>
      <c r="G720" s="5" t="s">
        <v>46</v>
      </c>
      <c r="H720" s="6">
        <v>44929</v>
      </c>
      <c r="I720" s="5">
        <v>1.1000000000000001</v>
      </c>
      <c r="J720" s="5">
        <v>81.599999999999994</v>
      </c>
      <c r="K720" s="5">
        <v>5.0999999999999996</v>
      </c>
      <c r="L720" s="5">
        <v>70.400000000000006</v>
      </c>
      <c r="M720" s="5">
        <v>64.5</v>
      </c>
    </row>
    <row r="721" spans="1:13" x14ac:dyDescent="0.3">
      <c r="A721" s="5">
        <v>575</v>
      </c>
      <c r="B721" s="5" t="s">
        <v>35</v>
      </c>
      <c r="C721" s="5"/>
      <c r="D721" s="5" t="s">
        <v>37</v>
      </c>
      <c r="E721" s="5" t="s">
        <v>40</v>
      </c>
      <c r="F721" s="5" t="s">
        <v>40</v>
      </c>
      <c r="G721" s="5" t="s">
        <v>46</v>
      </c>
      <c r="H721" s="6">
        <v>44929</v>
      </c>
      <c r="I721" s="5">
        <v>3.8</v>
      </c>
      <c r="J721" s="5">
        <v>83.5</v>
      </c>
      <c r="K721" s="5">
        <v>7.3</v>
      </c>
      <c r="L721" s="5">
        <v>38.299999999999997</v>
      </c>
      <c r="M721" s="5">
        <v>60.1</v>
      </c>
    </row>
    <row r="722" spans="1:13" x14ac:dyDescent="0.3">
      <c r="A722" s="5">
        <v>667</v>
      </c>
      <c r="B722" s="5" t="s">
        <v>44</v>
      </c>
      <c r="C722" s="5" t="s">
        <v>36</v>
      </c>
      <c r="D722" s="5" t="s">
        <v>37</v>
      </c>
      <c r="E722" s="5" t="s">
        <v>37</v>
      </c>
      <c r="F722" s="5" t="s">
        <v>37</v>
      </c>
      <c r="G722" s="5" t="s">
        <v>43</v>
      </c>
      <c r="H722" s="6"/>
      <c r="I722" s="5">
        <v>6.1</v>
      </c>
      <c r="J722" s="5">
        <v>83.5</v>
      </c>
      <c r="K722" s="5">
        <v>7.5</v>
      </c>
      <c r="L722" s="5">
        <v>38.5</v>
      </c>
      <c r="M722" s="5">
        <v>74.099999999999994</v>
      </c>
    </row>
    <row r="723" spans="1:13" x14ac:dyDescent="0.3">
      <c r="A723" s="5">
        <v>626</v>
      </c>
      <c r="B723" s="5" t="s">
        <v>44</v>
      </c>
      <c r="C723" s="5" t="s">
        <v>36</v>
      </c>
      <c r="D723" s="5"/>
      <c r="E723" s="5" t="s">
        <v>40</v>
      </c>
      <c r="F723" s="5" t="s">
        <v>37</v>
      </c>
      <c r="G723" s="5" t="s">
        <v>46</v>
      </c>
      <c r="H723" s="6">
        <v>45499</v>
      </c>
      <c r="I723" s="5">
        <v>0.8</v>
      </c>
      <c r="J723" s="5">
        <v>84.7</v>
      </c>
      <c r="K723" s="5">
        <v>6</v>
      </c>
      <c r="L723" s="5">
        <v>67</v>
      </c>
      <c r="M723" s="5">
        <v>69.900000000000006</v>
      </c>
    </row>
    <row r="724" spans="1:13" x14ac:dyDescent="0.3">
      <c r="A724" s="5">
        <v>948</v>
      </c>
      <c r="B724" s="5" t="s">
        <v>35</v>
      </c>
      <c r="C724" s="5"/>
      <c r="D724" s="5" t="s">
        <v>37</v>
      </c>
      <c r="E724" s="5" t="s">
        <v>40</v>
      </c>
      <c r="F724" s="5" t="s">
        <v>40</v>
      </c>
      <c r="G724" s="5" t="s">
        <v>47</v>
      </c>
      <c r="H724" s="6">
        <v>45471</v>
      </c>
      <c r="I724" s="5">
        <v>2.5</v>
      </c>
      <c r="J724" s="5">
        <v>99.1</v>
      </c>
      <c r="K724" s="5">
        <v>5.7</v>
      </c>
      <c r="L724" s="5">
        <v>79.599999999999994</v>
      </c>
      <c r="M724" s="5">
        <v>81</v>
      </c>
    </row>
    <row r="725" spans="1:13" x14ac:dyDescent="0.3">
      <c r="A725" s="5">
        <v>816</v>
      </c>
      <c r="B725" s="5" t="s">
        <v>35</v>
      </c>
      <c r="C725" s="5" t="s">
        <v>42</v>
      </c>
      <c r="D725" s="5" t="s">
        <v>37</v>
      </c>
      <c r="E725" s="5" t="s">
        <v>37</v>
      </c>
      <c r="F725" s="5" t="s">
        <v>40</v>
      </c>
      <c r="G725" s="5" t="s">
        <v>43</v>
      </c>
      <c r="H725" s="6">
        <v>45128</v>
      </c>
      <c r="I725" s="5">
        <v>3.7</v>
      </c>
      <c r="J725" s="5">
        <v>78.5</v>
      </c>
      <c r="K725" s="5">
        <v>7.5</v>
      </c>
      <c r="L725" s="5">
        <v>63.7</v>
      </c>
      <c r="M725" s="5">
        <v>75.099999999999994</v>
      </c>
    </row>
    <row r="726" spans="1:13" x14ac:dyDescent="0.3">
      <c r="A726" s="5">
        <v>544</v>
      </c>
      <c r="B726" s="5" t="s">
        <v>35</v>
      </c>
      <c r="C726" s="5" t="s">
        <v>39</v>
      </c>
      <c r="D726" s="5" t="s">
        <v>37</v>
      </c>
      <c r="E726" s="5" t="s">
        <v>40</v>
      </c>
      <c r="F726" s="5" t="s">
        <v>40</v>
      </c>
      <c r="G726" s="5" t="s">
        <v>47</v>
      </c>
      <c r="H726" s="6">
        <v>45568</v>
      </c>
      <c r="I726" s="5">
        <v>5.7</v>
      </c>
      <c r="J726" s="5">
        <v>82.5</v>
      </c>
      <c r="K726" s="5">
        <v>5.4</v>
      </c>
      <c r="L726" s="5">
        <v>69.3</v>
      </c>
      <c r="M726" s="5">
        <v>81.400000000000006</v>
      </c>
    </row>
    <row r="727" spans="1:13" x14ac:dyDescent="0.3">
      <c r="A727" s="5">
        <v>512</v>
      </c>
      <c r="B727" s="5" t="s">
        <v>44</v>
      </c>
      <c r="C727" s="5" t="s">
        <v>39</v>
      </c>
      <c r="D727" s="5" t="s">
        <v>37</v>
      </c>
      <c r="E727" s="5" t="s">
        <v>40</v>
      </c>
      <c r="F727" s="5" t="s">
        <v>37</v>
      </c>
      <c r="G727" s="5" t="s">
        <v>47</v>
      </c>
      <c r="H727" s="6">
        <v>45162</v>
      </c>
      <c r="I727" s="5">
        <v>6.1</v>
      </c>
      <c r="J727" s="5">
        <v>75.599999999999994</v>
      </c>
      <c r="K727" s="5">
        <v>7.4</v>
      </c>
      <c r="L727" s="5">
        <v>43.2</v>
      </c>
      <c r="M727" s="5">
        <v>83.9</v>
      </c>
    </row>
    <row r="728" spans="1:13" x14ac:dyDescent="0.3">
      <c r="A728" s="5">
        <v>341</v>
      </c>
      <c r="B728" s="5" t="s">
        <v>44</v>
      </c>
      <c r="C728" s="5" t="s">
        <v>45</v>
      </c>
      <c r="D728" s="5" t="s">
        <v>37</v>
      </c>
      <c r="E728" s="5" t="s">
        <v>37</v>
      </c>
      <c r="F728" s="5" t="s">
        <v>37</v>
      </c>
      <c r="G728" s="5" t="s">
        <v>47</v>
      </c>
      <c r="H728" s="6">
        <v>45254</v>
      </c>
      <c r="I728" s="5">
        <v>3.4</v>
      </c>
      <c r="J728" s="5">
        <v>79.3</v>
      </c>
      <c r="K728" s="5">
        <v>4.9000000000000004</v>
      </c>
      <c r="L728" s="5">
        <v>92.8</v>
      </c>
      <c r="M728" s="5">
        <v>81.5</v>
      </c>
    </row>
    <row r="729" spans="1:13" x14ac:dyDescent="0.3">
      <c r="A729" s="5">
        <v>206</v>
      </c>
      <c r="B729" s="5" t="s">
        <v>44</v>
      </c>
      <c r="C729" s="5" t="s">
        <v>42</v>
      </c>
      <c r="D729" s="5" t="s">
        <v>37</v>
      </c>
      <c r="E729" s="5" t="s">
        <v>37</v>
      </c>
      <c r="F729" s="5" t="s">
        <v>40</v>
      </c>
      <c r="G729" s="5" t="s">
        <v>47</v>
      </c>
      <c r="H729" s="6">
        <v>45478</v>
      </c>
      <c r="I729" s="5">
        <v>5.4</v>
      </c>
      <c r="J729" s="5">
        <v>73.099999999999994</v>
      </c>
      <c r="K729" s="5">
        <v>8.5</v>
      </c>
      <c r="L729" s="5">
        <v>94.9</v>
      </c>
      <c r="M729" s="5">
        <v>80.900000000000006</v>
      </c>
    </row>
    <row r="730" spans="1:13" x14ac:dyDescent="0.3">
      <c r="A730" s="5">
        <v>602</v>
      </c>
      <c r="B730" s="5" t="s">
        <v>35</v>
      </c>
      <c r="C730" s="5" t="s">
        <v>42</v>
      </c>
      <c r="D730" s="5" t="s">
        <v>37</v>
      </c>
      <c r="E730" s="5" t="s">
        <v>40</v>
      </c>
      <c r="F730" s="5" t="s">
        <v>40</v>
      </c>
      <c r="G730" s="5" t="s">
        <v>38</v>
      </c>
      <c r="H730" s="6"/>
      <c r="I730" s="5">
        <v>5.6</v>
      </c>
      <c r="J730" s="5">
        <v>65.2</v>
      </c>
      <c r="K730" s="5">
        <v>6.5</v>
      </c>
      <c r="L730" s="5">
        <v>90.7</v>
      </c>
      <c r="M730" s="5">
        <v>73</v>
      </c>
    </row>
    <row r="731" spans="1:13" x14ac:dyDescent="0.3">
      <c r="A731" s="5">
        <v>705</v>
      </c>
      <c r="B731" s="5" t="s">
        <v>44</v>
      </c>
      <c r="C731" s="5" t="s">
        <v>42</v>
      </c>
      <c r="D731" s="5" t="s">
        <v>40</v>
      </c>
      <c r="E731" s="5" t="s">
        <v>37</v>
      </c>
      <c r="F731" s="5" t="s">
        <v>40</v>
      </c>
      <c r="G731" s="5" t="s">
        <v>46</v>
      </c>
      <c r="H731" s="6">
        <v>45297</v>
      </c>
      <c r="I731" s="5">
        <v>2.2999999999999998</v>
      </c>
      <c r="J731" s="5">
        <v>82.5</v>
      </c>
      <c r="K731" s="5">
        <v>6.7</v>
      </c>
      <c r="L731" s="5">
        <v>55.9</v>
      </c>
      <c r="M731" s="5">
        <v>62.6</v>
      </c>
    </row>
    <row r="732" spans="1:13" x14ac:dyDescent="0.3">
      <c r="A732" s="5">
        <v>54</v>
      </c>
      <c r="B732" s="5" t="s">
        <v>35</v>
      </c>
      <c r="C732" s="5" t="s">
        <v>42</v>
      </c>
      <c r="D732" s="5" t="s">
        <v>37</v>
      </c>
      <c r="E732" s="5" t="s">
        <v>40</v>
      </c>
      <c r="F732" s="5" t="s">
        <v>40</v>
      </c>
      <c r="G732" s="5" t="s">
        <v>43</v>
      </c>
      <c r="H732" s="6">
        <v>44953</v>
      </c>
      <c r="I732" s="5">
        <v>3.2</v>
      </c>
      <c r="J732" s="5">
        <v>72.599999999999994</v>
      </c>
      <c r="K732" s="5">
        <v>6.9</v>
      </c>
      <c r="L732" s="5">
        <v>63.4</v>
      </c>
      <c r="M732" s="5">
        <v>75.2</v>
      </c>
    </row>
    <row r="733" spans="1:13" x14ac:dyDescent="0.3">
      <c r="A733" s="5">
        <v>380</v>
      </c>
      <c r="B733" s="5" t="s">
        <v>44</v>
      </c>
      <c r="C733" s="5" t="s">
        <v>36</v>
      </c>
      <c r="D733" s="5" t="s">
        <v>37</v>
      </c>
      <c r="E733" s="5" t="s">
        <v>37</v>
      </c>
      <c r="F733" s="5" t="s">
        <v>40</v>
      </c>
      <c r="G733" s="5" t="s">
        <v>46</v>
      </c>
      <c r="H733" s="6">
        <v>45408</v>
      </c>
      <c r="I733" s="5">
        <v>0.9</v>
      </c>
      <c r="J733" s="5">
        <v>94.8</v>
      </c>
      <c r="K733" s="5">
        <v>8.3000000000000007</v>
      </c>
      <c r="L733" s="5">
        <v>44.3</v>
      </c>
      <c r="M733" s="5">
        <v>63.1</v>
      </c>
    </row>
    <row r="734" spans="1:13" x14ac:dyDescent="0.3">
      <c r="A734" s="5">
        <v>818</v>
      </c>
      <c r="B734" s="5" t="s">
        <v>44</v>
      </c>
      <c r="C734" s="5" t="s">
        <v>39</v>
      </c>
      <c r="D734" s="5" t="s">
        <v>37</v>
      </c>
      <c r="E734" s="5" t="s">
        <v>37</v>
      </c>
      <c r="F734" s="5" t="s">
        <v>40</v>
      </c>
      <c r="G734" s="5" t="s">
        <v>47</v>
      </c>
      <c r="H734" s="6">
        <v>44984</v>
      </c>
      <c r="I734" s="5">
        <v>4</v>
      </c>
      <c r="J734" s="5">
        <v>93.8</v>
      </c>
      <c r="K734" s="5">
        <v>6.7</v>
      </c>
      <c r="L734" s="5">
        <v>60.5</v>
      </c>
      <c r="M734" s="5">
        <v>80.5</v>
      </c>
    </row>
    <row r="735" spans="1:13" x14ac:dyDescent="0.3">
      <c r="A735" s="5">
        <v>502</v>
      </c>
      <c r="B735" s="5" t="s">
        <v>35</v>
      </c>
      <c r="C735" s="5" t="s">
        <v>45</v>
      </c>
      <c r="D735" s="5" t="s">
        <v>40</v>
      </c>
      <c r="E735" s="5" t="s">
        <v>37</v>
      </c>
      <c r="F735" s="5" t="s">
        <v>40</v>
      </c>
      <c r="G735" s="5" t="s">
        <v>46</v>
      </c>
      <c r="H735" s="6">
        <v>45462</v>
      </c>
      <c r="I735" s="5">
        <v>1.1000000000000001</v>
      </c>
      <c r="J735" s="5">
        <v>79.5</v>
      </c>
      <c r="K735" s="5">
        <v>7.9</v>
      </c>
      <c r="L735" s="5">
        <v>66.75</v>
      </c>
      <c r="M735" s="5">
        <v>63.9</v>
      </c>
    </row>
    <row r="736" spans="1:13" x14ac:dyDescent="0.3">
      <c r="A736" s="5">
        <v>700</v>
      </c>
      <c r="B736" s="5" t="s">
        <v>44</v>
      </c>
      <c r="C736" s="5" t="s">
        <v>45</v>
      </c>
      <c r="D736" s="5" t="s">
        <v>40</v>
      </c>
      <c r="E736" s="5" t="s">
        <v>40</v>
      </c>
      <c r="F736" s="5" t="s">
        <v>40</v>
      </c>
      <c r="G736" s="5" t="s">
        <v>43</v>
      </c>
      <c r="H736" s="6">
        <v>45038</v>
      </c>
      <c r="I736" s="5">
        <v>5.0999999999999996</v>
      </c>
      <c r="J736" s="5">
        <v>70.5</v>
      </c>
      <c r="K736" s="5">
        <v>8.1999999999999993</v>
      </c>
      <c r="L736" s="5">
        <v>65.3</v>
      </c>
      <c r="M736" s="5">
        <v>77</v>
      </c>
    </row>
    <row r="737" spans="1:13" x14ac:dyDescent="0.3">
      <c r="A737" s="5">
        <v>863</v>
      </c>
      <c r="B737" s="5" t="s">
        <v>44</v>
      </c>
      <c r="C737" s="5" t="s">
        <v>45</v>
      </c>
      <c r="D737" s="5" t="s">
        <v>37</v>
      </c>
      <c r="E737" s="5" t="s">
        <v>37</v>
      </c>
      <c r="F737" s="5" t="s">
        <v>40</v>
      </c>
      <c r="G737" s="5" t="s">
        <v>43</v>
      </c>
      <c r="H737" s="6">
        <v>45142</v>
      </c>
      <c r="I737" s="5">
        <v>6.2</v>
      </c>
      <c r="J737" s="5">
        <v>72.099999999999994</v>
      </c>
      <c r="K737" s="5">
        <v>7.5</v>
      </c>
      <c r="L737" s="5">
        <v>67</v>
      </c>
      <c r="M737" s="5">
        <v>74.099999999999994</v>
      </c>
    </row>
    <row r="738" spans="1:13" x14ac:dyDescent="0.3">
      <c r="A738" s="5">
        <v>539</v>
      </c>
      <c r="B738" s="5" t="s">
        <v>44</v>
      </c>
      <c r="C738" s="5"/>
      <c r="D738" s="5" t="s">
        <v>37</v>
      </c>
      <c r="E738" s="5" t="s">
        <v>40</v>
      </c>
      <c r="F738" s="5" t="s">
        <v>37</v>
      </c>
      <c r="G738" s="5" t="s">
        <v>46</v>
      </c>
      <c r="H738" s="6">
        <v>44943</v>
      </c>
      <c r="I738" s="5">
        <v>1.1000000000000001</v>
      </c>
      <c r="J738" s="5">
        <v>98.2</v>
      </c>
      <c r="K738" s="5">
        <v>6.3</v>
      </c>
      <c r="L738" s="5">
        <v>65.3</v>
      </c>
      <c r="M738" s="5">
        <v>64.5</v>
      </c>
    </row>
    <row r="739" spans="1:13" x14ac:dyDescent="0.3">
      <c r="A739" s="5">
        <v>445</v>
      </c>
      <c r="B739" s="5" t="s">
        <v>35</v>
      </c>
      <c r="C739" s="5"/>
      <c r="D739" s="5"/>
      <c r="E739" s="5" t="s">
        <v>37</v>
      </c>
      <c r="F739" s="5" t="s">
        <v>37</v>
      </c>
      <c r="G739" s="5" t="s">
        <v>43</v>
      </c>
      <c r="H739" s="6">
        <v>45119</v>
      </c>
      <c r="I739" s="5">
        <v>3.7</v>
      </c>
      <c r="J739" s="5">
        <v>70.3</v>
      </c>
      <c r="K739" s="5">
        <v>6.5</v>
      </c>
      <c r="L739" s="5">
        <v>90.8</v>
      </c>
      <c r="M739" s="5">
        <v>73.7</v>
      </c>
    </row>
    <row r="740" spans="1:13" x14ac:dyDescent="0.3">
      <c r="A740" s="5">
        <v>677</v>
      </c>
      <c r="B740" s="5" t="s">
        <v>35</v>
      </c>
      <c r="C740" s="5" t="s">
        <v>42</v>
      </c>
      <c r="D740" s="5" t="s">
        <v>40</v>
      </c>
      <c r="E740" s="5" t="s">
        <v>40</v>
      </c>
      <c r="F740" s="5" t="s">
        <v>40</v>
      </c>
      <c r="G740" s="5" t="s">
        <v>43</v>
      </c>
      <c r="H740" s="6">
        <v>45632</v>
      </c>
      <c r="I740" s="5">
        <v>1.8</v>
      </c>
      <c r="J740" s="5">
        <v>94.6</v>
      </c>
      <c r="K740" s="5">
        <v>8.1999999999999993</v>
      </c>
      <c r="L740" s="5">
        <v>42.8</v>
      </c>
      <c r="M740" s="5">
        <v>74.599999999999994</v>
      </c>
    </row>
    <row r="741" spans="1:13" x14ac:dyDescent="0.3">
      <c r="A741" s="5">
        <v>237</v>
      </c>
      <c r="B741" s="5" t="s">
        <v>44</v>
      </c>
      <c r="C741" s="5" t="s">
        <v>45</v>
      </c>
      <c r="D741" s="5"/>
      <c r="E741" s="5" t="s">
        <v>40</v>
      </c>
      <c r="F741" s="5" t="s">
        <v>40</v>
      </c>
      <c r="G741" s="5" t="s">
        <v>41</v>
      </c>
      <c r="H741" s="6">
        <v>45650</v>
      </c>
      <c r="I741" s="5">
        <v>1.1000000000000001</v>
      </c>
      <c r="J741" s="5">
        <v>65.900000000000006</v>
      </c>
      <c r="K741" s="5">
        <v>5</v>
      </c>
      <c r="L741" s="5">
        <v>67</v>
      </c>
      <c r="M741" s="5">
        <v>51.5</v>
      </c>
    </row>
    <row r="742" spans="1:13" x14ac:dyDescent="0.3">
      <c r="A742" s="5">
        <v>827</v>
      </c>
      <c r="B742" s="5" t="s">
        <v>44</v>
      </c>
      <c r="C742" s="5" t="s">
        <v>42</v>
      </c>
      <c r="D742" s="5" t="s">
        <v>37</v>
      </c>
      <c r="E742" s="5" t="s">
        <v>40</v>
      </c>
      <c r="F742" s="5" t="s">
        <v>37</v>
      </c>
      <c r="G742" s="5" t="s">
        <v>43</v>
      </c>
      <c r="H742" s="6">
        <v>45516</v>
      </c>
      <c r="I742" s="5">
        <v>4.4000000000000004</v>
      </c>
      <c r="J742" s="5">
        <v>98.5</v>
      </c>
      <c r="K742" s="5">
        <v>6.7</v>
      </c>
      <c r="L742" s="5">
        <v>74.2</v>
      </c>
      <c r="M742" s="5">
        <v>79.400000000000006</v>
      </c>
    </row>
    <row r="743" spans="1:13" x14ac:dyDescent="0.3">
      <c r="A743" s="5">
        <v>914</v>
      </c>
      <c r="B743" s="5" t="s">
        <v>44</v>
      </c>
      <c r="C743" s="5" t="s">
        <v>45</v>
      </c>
      <c r="D743" s="5" t="s">
        <v>37</v>
      </c>
      <c r="E743" s="5" t="s">
        <v>40</v>
      </c>
      <c r="F743" s="5" t="s">
        <v>40</v>
      </c>
      <c r="G743" s="5" t="s">
        <v>38</v>
      </c>
      <c r="H743" s="6">
        <v>44970</v>
      </c>
      <c r="I743" s="5">
        <v>6.5</v>
      </c>
      <c r="J743" s="5">
        <v>83.2</v>
      </c>
      <c r="K743" s="5">
        <v>7.3</v>
      </c>
      <c r="L743" s="5">
        <v>94.7</v>
      </c>
      <c r="M743" s="5">
        <v>91.9</v>
      </c>
    </row>
    <row r="744" spans="1:13" x14ac:dyDescent="0.3">
      <c r="A744" s="5">
        <v>57</v>
      </c>
      <c r="B744" s="5" t="s">
        <v>44</v>
      </c>
      <c r="C744" s="5" t="s">
        <v>45</v>
      </c>
      <c r="D744" s="5" t="s">
        <v>37</v>
      </c>
      <c r="E744" s="5" t="s">
        <v>40</v>
      </c>
      <c r="F744" s="5" t="s">
        <v>37</v>
      </c>
      <c r="G744" s="5" t="s">
        <v>43</v>
      </c>
      <c r="H744" s="6">
        <v>45541</v>
      </c>
      <c r="I744" s="5">
        <v>5.9</v>
      </c>
      <c r="J744" s="5">
        <v>82.3</v>
      </c>
      <c r="K744" s="5">
        <v>4.5999999999999996</v>
      </c>
      <c r="L744" s="5">
        <v>51.8</v>
      </c>
      <c r="M744" s="5">
        <v>77.2</v>
      </c>
    </row>
    <row r="745" spans="1:13" x14ac:dyDescent="0.3">
      <c r="A745" s="5">
        <v>131</v>
      </c>
      <c r="B745" s="5" t="s">
        <v>44</v>
      </c>
      <c r="C745" s="5" t="s">
        <v>36</v>
      </c>
      <c r="D745" s="5" t="s">
        <v>37</v>
      </c>
      <c r="E745" s="5" t="s">
        <v>37</v>
      </c>
      <c r="F745" s="5" t="s">
        <v>37</v>
      </c>
      <c r="G745" s="5" t="s">
        <v>47</v>
      </c>
      <c r="H745" s="6">
        <v>45205</v>
      </c>
      <c r="I745" s="5">
        <v>3.8</v>
      </c>
      <c r="J745" s="5">
        <v>83.5</v>
      </c>
      <c r="K745" s="5">
        <v>6.3</v>
      </c>
      <c r="L745" s="5">
        <v>80.099999999999994</v>
      </c>
      <c r="M745" s="5">
        <v>84.7</v>
      </c>
    </row>
    <row r="746" spans="1:13" x14ac:dyDescent="0.3">
      <c r="A746" s="5">
        <v>650</v>
      </c>
      <c r="B746" s="5" t="s">
        <v>35</v>
      </c>
      <c r="C746" s="5" t="s">
        <v>39</v>
      </c>
      <c r="D746" s="5" t="s">
        <v>37</v>
      </c>
      <c r="E746" s="5" t="s">
        <v>37</v>
      </c>
      <c r="F746" s="5" t="s">
        <v>37</v>
      </c>
      <c r="G746" s="5" t="s">
        <v>46</v>
      </c>
      <c r="H746" s="6">
        <v>45366</v>
      </c>
      <c r="I746" s="5">
        <v>4.3</v>
      </c>
      <c r="J746" s="5">
        <v>83</v>
      </c>
      <c r="K746" s="5">
        <v>6.8</v>
      </c>
      <c r="L746" s="5">
        <v>73.8</v>
      </c>
      <c r="M746" s="5">
        <v>99.5</v>
      </c>
    </row>
    <row r="747" spans="1:13" x14ac:dyDescent="0.3">
      <c r="A747" s="5">
        <v>808</v>
      </c>
      <c r="B747" s="5" t="s">
        <v>44</v>
      </c>
      <c r="C747" s="5"/>
      <c r="D747" s="5" t="s">
        <v>40</v>
      </c>
      <c r="E747" s="5" t="s">
        <v>37</v>
      </c>
      <c r="F747" s="5" t="s">
        <v>37</v>
      </c>
      <c r="G747" s="5" t="s">
        <v>43</v>
      </c>
      <c r="H747" s="6">
        <v>45509</v>
      </c>
      <c r="I747" s="5">
        <v>1.5</v>
      </c>
      <c r="J747" s="5">
        <v>69.599999999999994</v>
      </c>
      <c r="K747" s="5">
        <v>8.6999999999999993</v>
      </c>
      <c r="L747" s="5">
        <v>69.5</v>
      </c>
      <c r="M747" s="5">
        <v>71.8</v>
      </c>
    </row>
    <row r="748" spans="1:13" x14ac:dyDescent="0.3">
      <c r="A748" s="5">
        <v>836</v>
      </c>
      <c r="B748" s="5" t="s">
        <v>35</v>
      </c>
      <c r="C748" s="5"/>
      <c r="D748" s="5" t="s">
        <v>37</v>
      </c>
      <c r="E748" s="5" t="s">
        <v>37</v>
      </c>
      <c r="F748" s="5" t="s">
        <v>37</v>
      </c>
      <c r="G748" s="5" t="s">
        <v>47</v>
      </c>
      <c r="H748" s="6">
        <v>45021</v>
      </c>
      <c r="I748" s="5">
        <v>2.7</v>
      </c>
      <c r="J748" s="5">
        <v>98.7</v>
      </c>
      <c r="K748" s="5">
        <v>6.5</v>
      </c>
      <c r="L748" s="5">
        <v>91.8</v>
      </c>
      <c r="M748" s="5">
        <v>82.8</v>
      </c>
    </row>
    <row r="749" spans="1:13" x14ac:dyDescent="0.3">
      <c r="A749" s="5">
        <v>490</v>
      </c>
      <c r="B749" s="5" t="s">
        <v>35</v>
      </c>
      <c r="C749" s="5"/>
      <c r="D749" s="5" t="s">
        <v>37</v>
      </c>
      <c r="E749" s="5" t="s">
        <v>40</v>
      </c>
      <c r="F749" s="5" t="s">
        <v>37</v>
      </c>
      <c r="G749" s="5" t="s">
        <v>46</v>
      </c>
      <c r="H749" s="6">
        <v>45317</v>
      </c>
      <c r="I749" s="5">
        <v>5.3</v>
      </c>
      <c r="J749" s="5">
        <v>70.3</v>
      </c>
      <c r="K749" s="5">
        <v>5.3</v>
      </c>
      <c r="L749" s="5">
        <v>35.1</v>
      </c>
      <c r="M749" s="5">
        <v>64</v>
      </c>
    </row>
    <row r="750" spans="1:13" x14ac:dyDescent="0.3">
      <c r="A750" s="5">
        <v>362</v>
      </c>
      <c r="B750" s="5" t="s">
        <v>44</v>
      </c>
      <c r="C750" s="5" t="s">
        <v>39</v>
      </c>
      <c r="D750" s="5" t="s">
        <v>37</v>
      </c>
      <c r="E750" s="5" t="s">
        <v>37</v>
      </c>
      <c r="F750" s="5" t="s">
        <v>40</v>
      </c>
      <c r="G750" s="5" t="s">
        <v>41</v>
      </c>
      <c r="H750" s="6">
        <v>44984</v>
      </c>
      <c r="I750" s="5">
        <v>1.2</v>
      </c>
      <c r="J750" s="5">
        <v>75.8</v>
      </c>
      <c r="K750" s="5">
        <v>6.8</v>
      </c>
      <c r="L750" s="5">
        <v>39.299999999999997</v>
      </c>
      <c r="M750" s="5">
        <v>49.6</v>
      </c>
    </row>
    <row r="751" spans="1:13" x14ac:dyDescent="0.3">
      <c r="A751" s="5">
        <v>433</v>
      </c>
      <c r="B751" s="5" t="s">
        <v>35</v>
      </c>
      <c r="C751" s="5" t="s">
        <v>45</v>
      </c>
      <c r="D751" s="5" t="s">
        <v>37</v>
      </c>
      <c r="E751" s="5" t="s">
        <v>40</v>
      </c>
      <c r="F751" s="5" t="s">
        <v>40</v>
      </c>
      <c r="G751" s="5" t="s">
        <v>43</v>
      </c>
      <c r="H751" s="6">
        <v>45518</v>
      </c>
      <c r="I751" s="5">
        <v>3.1</v>
      </c>
      <c r="J751" s="5">
        <v>69.7</v>
      </c>
      <c r="K751" s="5">
        <v>5</v>
      </c>
      <c r="L751" s="5">
        <v>66.8</v>
      </c>
      <c r="M751" s="5">
        <v>71.599999999999994</v>
      </c>
    </row>
    <row r="752" spans="1:13" x14ac:dyDescent="0.3">
      <c r="A752" s="5">
        <v>874</v>
      </c>
      <c r="B752" s="5" t="s">
        <v>35</v>
      </c>
      <c r="C752" s="5" t="s">
        <v>42</v>
      </c>
      <c r="D752" s="5" t="s">
        <v>40</v>
      </c>
      <c r="E752" s="5" t="s">
        <v>37</v>
      </c>
      <c r="F752" s="5" t="s">
        <v>37</v>
      </c>
      <c r="G752" s="5" t="s">
        <v>47</v>
      </c>
      <c r="H752" s="6">
        <v>45126</v>
      </c>
      <c r="I752" s="5">
        <v>4.7</v>
      </c>
      <c r="J752" s="5">
        <v>92.2</v>
      </c>
      <c r="K752" s="5">
        <v>8.9</v>
      </c>
      <c r="L752" s="5">
        <v>54.8</v>
      </c>
      <c r="M752" s="5">
        <v>85.6</v>
      </c>
    </row>
    <row r="753" spans="1:13" x14ac:dyDescent="0.3">
      <c r="A753" s="5">
        <v>510</v>
      </c>
      <c r="B753" s="5" t="s">
        <v>35</v>
      </c>
      <c r="C753" s="5" t="s">
        <v>42</v>
      </c>
      <c r="D753" s="5" t="s">
        <v>40</v>
      </c>
      <c r="E753" s="5" t="s">
        <v>40</v>
      </c>
      <c r="F753" s="5" t="s">
        <v>37</v>
      </c>
      <c r="G753" s="5" t="s">
        <v>43</v>
      </c>
      <c r="H753" s="6">
        <v>45244</v>
      </c>
      <c r="I753" s="5">
        <v>5.2</v>
      </c>
      <c r="J753" s="5">
        <v>72.099999999999994</v>
      </c>
      <c r="K753" s="5">
        <v>5.0999999999999996</v>
      </c>
      <c r="L753" s="5">
        <v>66.75</v>
      </c>
      <c r="M753" s="5">
        <v>72.8</v>
      </c>
    </row>
    <row r="754" spans="1:13" x14ac:dyDescent="0.3">
      <c r="A754" s="5">
        <v>331</v>
      </c>
      <c r="B754" s="5" t="s">
        <v>35</v>
      </c>
      <c r="C754" s="5" t="s">
        <v>42</v>
      </c>
      <c r="D754" s="5" t="s">
        <v>37</v>
      </c>
      <c r="E754" s="5" t="s">
        <v>40</v>
      </c>
      <c r="F754" s="5" t="s">
        <v>40</v>
      </c>
      <c r="G754" s="5" t="s">
        <v>38</v>
      </c>
      <c r="H754" s="6">
        <v>45565</v>
      </c>
      <c r="I754" s="5">
        <v>5.8</v>
      </c>
      <c r="J754" s="5">
        <v>87.9</v>
      </c>
      <c r="K754" s="5">
        <v>7.6</v>
      </c>
      <c r="L754" s="5">
        <v>51.7</v>
      </c>
      <c r="M754" s="5">
        <v>93</v>
      </c>
    </row>
    <row r="755" spans="1:13" x14ac:dyDescent="0.3">
      <c r="A755" s="5">
        <v>765</v>
      </c>
      <c r="B755" s="5" t="s">
        <v>35</v>
      </c>
      <c r="C755" s="5" t="s">
        <v>45</v>
      </c>
      <c r="D755" s="5" t="s">
        <v>37</v>
      </c>
      <c r="E755" s="5" t="s">
        <v>40</v>
      </c>
      <c r="F755" s="5" t="s">
        <v>40</v>
      </c>
      <c r="G755" s="5" t="s">
        <v>46</v>
      </c>
      <c r="H755" s="6">
        <v>45366</v>
      </c>
      <c r="I755" s="5">
        <v>1.5</v>
      </c>
      <c r="J755" s="5">
        <v>69.3</v>
      </c>
      <c r="K755" s="5">
        <v>8.6</v>
      </c>
      <c r="L755" s="5">
        <v>56.6</v>
      </c>
      <c r="M755" s="5">
        <v>60.5</v>
      </c>
    </row>
    <row r="756" spans="1:13" x14ac:dyDescent="0.3">
      <c r="A756" s="5">
        <v>939</v>
      </c>
      <c r="B756" s="5" t="s">
        <v>44</v>
      </c>
      <c r="C756" s="5" t="s">
        <v>39</v>
      </c>
      <c r="D756" s="5" t="s">
        <v>37</v>
      </c>
      <c r="E756" s="5" t="s">
        <v>40</v>
      </c>
      <c r="F756" s="5" t="s">
        <v>37</v>
      </c>
      <c r="G756" s="5" t="s">
        <v>47</v>
      </c>
      <c r="H756" s="6"/>
      <c r="I756" s="5">
        <v>4.8</v>
      </c>
      <c r="J756" s="5">
        <v>88</v>
      </c>
      <c r="K756" s="5">
        <v>8.1999999999999993</v>
      </c>
      <c r="L756" s="5">
        <v>67</v>
      </c>
      <c r="M756" s="5">
        <v>84.4</v>
      </c>
    </row>
    <row r="757" spans="1:13" x14ac:dyDescent="0.3">
      <c r="A757" s="5">
        <v>256</v>
      </c>
      <c r="B757" s="5" t="s">
        <v>35</v>
      </c>
      <c r="C757" s="5"/>
      <c r="D757" s="5" t="s">
        <v>37</v>
      </c>
      <c r="E757" s="5" t="s">
        <v>37</v>
      </c>
      <c r="F757" s="5" t="s">
        <v>40</v>
      </c>
      <c r="G757" s="5" t="s">
        <v>47</v>
      </c>
      <c r="H757" s="6">
        <v>45281</v>
      </c>
      <c r="I757" s="5">
        <v>5.2</v>
      </c>
      <c r="J757" s="5">
        <v>98.2</v>
      </c>
      <c r="K757" s="5">
        <v>7.8</v>
      </c>
      <c r="L757" s="5">
        <v>54.5</v>
      </c>
      <c r="M757" s="5">
        <v>84.6</v>
      </c>
    </row>
    <row r="758" spans="1:13" x14ac:dyDescent="0.3">
      <c r="A758" s="5">
        <v>349</v>
      </c>
      <c r="B758" s="5" t="s">
        <v>44</v>
      </c>
      <c r="C758" s="5" t="s">
        <v>36</v>
      </c>
      <c r="D758" s="5" t="s">
        <v>40</v>
      </c>
      <c r="E758" s="5" t="s">
        <v>37</v>
      </c>
      <c r="F758" s="5" t="s">
        <v>40</v>
      </c>
      <c r="G758" s="5" t="s">
        <v>41</v>
      </c>
      <c r="H758" s="6">
        <v>44973</v>
      </c>
      <c r="I758" s="5">
        <v>2.9</v>
      </c>
      <c r="J758" s="5">
        <v>75.599999999999994</v>
      </c>
      <c r="K758" s="5">
        <v>4.9000000000000004</v>
      </c>
      <c r="L758" s="5">
        <v>73.400000000000006</v>
      </c>
      <c r="M758" s="5">
        <v>58</v>
      </c>
    </row>
    <row r="759" spans="1:13" x14ac:dyDescent="0.3">
      <c r="A759" s="5">
        <v>352</v>
      </c>
      <c r="B759" s="5" t="s">
        <v>44</v>
      </c>
      <c r="C759" s="5" t="s">
        <v>36</v>
      </c>
      <c r="D759" s="5" t="s">
        <v>37</v>
      </c>
      <c r="E759" s="5" t="s">
        <v>37</v>
      </c>
      <c r="F759" s="5" t="s">
        <v>40</v>
      </c>
      <c r="G759" s="5" t="s">
        <v>46</v>
      </c>
      <c r="H759" s="6">
        <v>45647</v>
      </c>
      <c r="I759" s="5">
        <v>1.1000000000000001</v>
      </c>
      <c r="J759" s="5">
        <v>71.599999999999994</v>
      </c>
      <c r="K759" s="5">
        <v>4.4000000000000004</v>
      </c>
      <c r="L759" s="5">
        <v>77.599999999999994</v>
      </c>
      <c r="M759" s="5">
        <v>62.4</v>
      </c>
    </row>
    <row r="760" spans="1:13" x14ac:dyDescent="0.3">
      <c r="A760" s="5">
        <v>278</v>
      </c>
      <c r="B760" s="5" t="s">
        <v>35</v>
      </c>
      <c r="C760" s="5" t="s">
        <v>42</v>
      </c>
      <c r="D760" s="5" t="s">
        <v>37</v>
      </c>
      <c r="E760" s="5" t="s">
        <v>40</v>
      </c>
      <c r="F760" s="5" t="s">
        <v>40</v>
      </c>
      <c r="G760" s="5" t="s">
        <v>43</v>
      </c>
      <c r="H760" s="6">
        <v>45425</v>
      </c>
      <c r="I760" s="5">
        <v>1.9</v>
      </c>
      <c r="J760" s="5">
        <v>93.7</v>
      </c>
      <c r="K760" s="5">
        <v>6.5</v>
      </c>
      <c r="L760" s="5">
        <v>84.7</v>
      </c>
      <c r="M760" s="5">
        <v>71.400000000000006</v>
      </c>
    </row>
    <row r="761" spans="1:13" x14ac:dyDescent="0.3">
      <c r="A761" s="5">
        <v>321</v>
      </c>
      <c r="B761" s="5" t="s">
        <v>44</v>
      </c>
      <c r="C761" s="5" t="s">
        <v>42</v>
      </c>
      <c r="D761" s="5" t="s">
        <v>37</v>
      </c>
      <c r="E761" s="5" t="s">
        <v>40</v>
      </c>
      <c r="F761" s="5" t="s">
        <v>37</v>
      </c>
      <c r="G761" s="5" t="s">
        <v>47</v>
      </c>
      <c r="H761" s="6">
        <v>45019</v>
      </c>
      <c r="I761" s="5">
        <v>1.9</v>
      </c>
      <c r="J761" s="5">
        <v>65.8</v>
      </c>
      <c r="K761" s="5">
        <v>8.6999999999999993</v>
      </c>
      <c r="L761" s="5">
        <v>93.9</v>
      </c>
      <c r="M761" s="5">
        <v>86.8</v>
      </c>
    </row>
    <row r="762" spans="1:13" x14ac:dyDescent="0.3">
      <c r="A762" s="5">
        <v>797</v>
      </c>
      <c r="B762" s="5" t="s">
        <v>44</v>
      </c>
      <c r="C762" s="5" t="s">
        <v>36</v>
      </c>
      <c r="D762" s="5" t="s">
        <v>37</v>
      </c>
      <c r="E762" s="5" t="s">
        <v>40</v>
      </c>
      <c r="F762" s="5" t="s">
        <v>37</v>
      </c>
      <c r="G762" s="5" t="s">
        <v>46</v>
      </c>
      <c r="H762" s="6">
        <v>45164</v>
      </c>
      <c r="I762" s="5">
        <v>2.8</v>
      </c>
      <c r="J762" s="5">
        <v>67.400000000000006</v>
      </c>
      <c r="K762" s="5">
        <v>6</v>
      </c>
      <c r="L762" s="5">
        <v>74.5</v>
      </c>
      <c r="M762" s="5">
        <v>65.2</v>
      </c>
    </row>
    <row r="763" spans="1:13" x14ac:dyDescent="0.3">
      <c r="A763" s="5">
        <v>656</v>
      </c>
      <c r="B763" s="5" t="s">
        <v>35</v>
      </c>
      <c r="C763" s="5"/>
      <c r="D763" s="5" t="s">
        <v>37</v>
      </c>
      <c r="E763" s="5" t="s">
        <v>40</v>
      </c>
      <c r="F763" s="5" t="s">
        <v>40</v>
      </c>
      <c r="G763" s="5" t="s">
        <v>47</v>
      </c>
      <c r="H763" s="6">
        <v>45119</v>
      </c>
      <c r="I763" s="5">
        <v>6.7</v>
      </c>
      <c r="J763" s="5">
        <v>68.7</v>
      </c>
      <c r="K763" s="5">
        <v>6.6</v>
      </c>
      <c r="L763" s="5">
        <v>82.9</v>
      </c>
      <c r="M763" s="5">
        <v>87.9</v>
      </c>
    </row>
    <row r="764" spans="1:13" x14ac:dyDescent="0.3">
      <c r="A764" s="5">
        <v>44</v>
      </c>
      <c r="B764" s="5" t="s">
        <v>44</v>
      </c>
      <c r="C764" s="5" t="s">
        <v>39</v>
      </c>
      <c r="D764" s="5" t="s">
        <v>37</v>
      </c>
      <c r="E764" s="5" t="s">
        <v>40</v>
      </c>
      <c r="F764" s="5" t="s">
        <v>40</v>
      </c>
      <c r="G764" s="5" t="s">
        <v>43</v>
      </c>
      <c r="H764" s="6">
        <v>44935</v>
      </c>
      <c r="I764" s="5">
        <v>4.5999999999999996</v>
      </c>
      <c r="J764" s="5">
        <v>69.3</v>
      </c>
      <c r="K764" s="5">
        <v>6.9</v>
      </c>
      <c r="L764" s="5">
        <v>84.5</v>
      </c>
      <c r="M764" s="5">
        <v>73.900000000000006</v>
      </c>
    </row>
    <row r="765" spans="1:13" x14ac:dyDescent="0.3">
      <c r="A765" s="5">
        <v>374</v>
      </c>
      <c r="B765" s="5" t="s">
        <v>35</v>
      </c>
      <c r="C765" s="5" t="s">
        <v>42</v>
      </c>
      <c r="D765" s="5" t="s">
        <v>37</v>
      </c>
      <c r="E765" s="5" t="s">
        <v>37</v>
      </c>
      <c r="F765" s="5" t="s">
        <v>40</v>
      </c>
      <c r="G765" s="5" t="s">
        <v>43</v>
      </c>
      <c r="H765" s="6"/>
      <c r="I765" s="5">
        <v>2.5</v>
      </c>
      <c r="J765" s="5">
        <v>76.599999999999994</v>
      </c>
      <c r="K765" s="5">
        <v>7.5</v>
      </c>
      <c r="L765" s="5">
        <v>88.6</v>
      </c>
      <c r="M765" s="5">
        <v>72.900000000000006</v>
      </c>
    </row>
    <row r="766" spans="1:13" x14ac:dyDescent="0.3">
      <c r="A766" s="5">
        <v>549</v>
      </c>
      <c r="B766" s="5" t="s">
        <v>35</v>
      </c>
      <c r="C766" s="5" t="s">
        <v>39</v>
      </c>
      <c r="D766" s="5" t="s">
        <v>37</v>
      </c>
      <c r="E766" s="5" t="s">
        <v>40</v>
      </c>
      <c r="F766" s="5" t="s">
        <v>40</v>
      </c>
      <c r="G766" s="5" t="s">
        <v>46</v>
      </c>
      <c r="H766" s="6">
        <v>45405</v>
      </c>
      <c r="I766" s="5">
        <v>4</v>
      </c>
      <c r="J766" s="5">
        <v>93</v>
      </c>
      <c r="K766" s="5">
        <v>7</v>
      </c>
      <c r="L766" s="5">
        <v>48.7</v>
      </c>
      <c r="M766" s="5">
        <v>64.400000000000006</v>
      </c>
    </row>
    <row r="767" spans="1:13" x14ac:dyDescent="0.3">
      <c r="A767" s="5">
        <v>446</v>
      </c>
      <c r="B767" s="5" t="s">
        <v>44</v>
      </c>
      <c r="C767" s="5" t="s">
        <v>42</v>
      </c>
      <c r="D767" s="5" t="s">
        <v>37</v>
      </c>
      <c r="E767" s="5" t="s">
        <v>37</v>
      </c>
      <c r="F767" s="5" t="s">
        <v>37</v>
      </c>
      <c r="G767" s="5" t="s">
        <v>41</v>
      </c>
      <c r="H767" s="6">
        <v>45453</v>
      </c>
      <c r="I767" s="5">
        <v>4.0999999999999996</v>
      </c>
      <c r="J767" s="5">
        <v>73.8</v>
      </c>
      <c r="K767" s="5">
        <v>6.3</v>
      </c>
      <c r="L767" s="5">
        <v>46.6</v>
      </c>
      <c r="M767" s="5">
        <v>59.5</v>
      </c>
    </row>
    <row r="768" spans="1:13" x14ac:dyDescent="0.3">
      <c r="A768" s="5">
        <v>118</v>
      </c>
      <c r="B768" s="5" t="s">
        <v>35</v>
      </c>
      <c r="C768" s="5" t="s">
        <v>39</v>
      </c>
      <c r="D768" s="5" t="s">
        <v>40</v>
      </c>
      <c r="E768" s="5" t="s">
        <v>40</v>
      </c>
      <c r="F768" s="5" t="s">
        <v>37</v>
      </c>
      <c r="G768" s="5" t="s">
        <v>43</v>
      </c>
      <c r="H768" s="6">
        <v>45372</v>
      </c>
      <c r="I768" s="5">
        <v>1.8</v>
      </c>
      <c r="J768" s="5">
        <v>84</v>
      </c>
      <c r="K768" s="5">
        <v>7.5</v>
      </c>
      <c r="L768" s="5">
        <v>72.5</v>
      </c>
      <c r="M768" s="5">
        <v>75.7</v>
      </c>
    </row>
    <row r="769" spans="1:13" x14ac:dyDescent="0.3">
      <c r="A769" s="5">
        <v>622</v>
      </c>
      <c r="B769" s="5" t="s">
        <v>44</v>
      </c>
      <c r="C769" s="5"/>
      <c r="D769" s="5" t="s">
        <v>37</v>
      </c>
      <c r="E769" s="5" t="s">
        <v>37</v>
      </c>
      <c r="F769" s="5" t="s">
        <v>40</v>
      </c>
      <c r="G769" s="5" t="s">
        <v>38</v>
      </c>
      <c r="H769" s="6">
        <v>44969</v>
      </c>
      <c r="I769" s="5">
        <v>6.3</v>
      </c>
      <c r="J769" s="5">
        <v>96.9</v>
      </c>
      <c r="K769" s="5">
        <v>6.7</v>
      </c>
      <c r="L769" s="5">
        <v>60.7</v>
      </c>
      <c r="M769" s="5">
        <v>91</v>
      </c>
    </row>
    <row r="770" spans="1:13" x14ac:dyDescent="0.3">
      <c r="A770" s="5">
        <v>709</v>
      </c>
      <c r="B770" s="5" t="s">
        <v>44</v>
      </c>
      <c r="C770" s="5" t="s">
        <v>45</v>
      </c>
      <c r="D770" s="5" t="s">
        <v>37</v>
      </c>
      <c r="E770" s="5" t="s">
        <v>37</v>
      </c>
      <c r="F770" s="5" t="s">
        <v>40</v>
      </c>
      <c r="G770" s="5" t="s">
        <v>46</v>
      </c>
      <c r="H770" s="6">
        <v>45365</v>
      </c>
      <c r="I770" s="5">
        <v>1.4</v>
      </c>
      <c r="J770" s="5">
        <v>86.9</v>
      </c>
      <c r="K770" s="5">
        <v>5.6</v>
      </c>
      <c r="L770" s="5">
        <v>82.6</v>
      </c>
      <c r="M770" s="5">
        <v>74.099999999999994</v>
      </c>
    </row>
    <row r="771" spans="1:13" x14ac:dyDescent="0.3">
      <c r="A771" s="5">
        <v>935</v>
      </c>
      <c r="B771" s="5" t="s">
        <v>44</v>
      </c>
      <c r="C771" s="5" t="s">
        <v>45</v>
      </c>
      <c r="D771" s="5" t="s">
        <v>40</v>
      </c>
      <c r="E771" s="5" t="s">
        <v>40</v>
      </c>
      <c r="F771" s="5" t="s">
        <v>37</v>
      </c>
      <c r="G771" s="5" t="s">
        <v>46</v>
      </c>
      <c r="H771" s="6">
        <v>45359</v>
      </c>
      <c r="I771" s="5">
        <v>4.0999999999999996</v>
      </c>
      <c r="J771" s="5">
        <v>92.7</v>
      </c>
      <c r="K771" s="5">
        <v>5.2</v>
      </c>
      <c r="L771" s="5">
        <v>36.5</v>
      </c>
      <c r="M771" s="5">
        <v>64.2</v>
      </c>
    </row>
    <row r="772" spans="1:13" x14ac:dyDescent="0.3">
      <c r="A772" s="5">
        <v>554</v>
      </c>
      <c r="B772" s="5" t="s">
        <v>44</v>
      </c>
      <c r="C772" s="5" t="s">
        <v>39</v>
      </c>
      <c r="D772" s="5" t="s">
        <v>37</v>
      </c>
      <c r="E772" s="5" t="s">
        <v>37</v>
      </c>
      <c r="F772" s="5" t="s">
        <v>40</v>
      </c>
      <c r="G772" s="5" t="s">
        <v>41</v>
      </c>
      <c r="H772" s="6"/>
      <c r="I772" s="5">
        <v>1.2</v>
      </c>
      <c r="J772" s="5">
        <v>65.2</v>
      </c>
      <c r="K772" s="5">
        <v>8.3000000000000007</v>
      </c>
      <c r="L772" s="5">
        <v>48.4</v>
      </c>
      <c r="M772" s="5">
        <v>52.6</v>
      </c>
    </row>
    <row r="773" spans="1:13" x14ac:dyDescent="0.3">
      <c r="A773" s="5">
        <v>296</v>
      </c>
      <c r="B773" s="5" t="s">
        <v>35</v>
      </c>
      <c r="C773" s="5"/>
      <c r="D773" s="5" t="s">
        <v>37</v>
      </c>
      <c r="E773" s="5" t="s">
        <v>40</v>
      </c>
      <c r="F773" s="5" t="s">
        <v>40</v>
      </c>
      <c r="G773" s="5" t="s">
        <v>43</v>
      </c>
      <c r="H773" s="6">
        <v>45106</v>
      </c>
      <c r="I773" s="5">
        <v>2</v>
      </c>
      <c r="J773" s="5">
        <v>94.4</v>
      </c>
      <c r="K773" s="5">
        <v>6.5</v>
      </c>
      <c r="L773" s="5">
        <v>83.3</v>
      </c>
      <c r="M773" s="5">
        <v>72.599999999999994</v>
      </c>
    </row>
    <row r="774" spans="1:13" x14ac:dyDescent="0.3">
      <c r="A774" s="5">
        <v>675</v>
      </c>
      <c r="B774" s="5" t="s">
        <v>44</v>
      </c>
      <c r="C774" s="5" t="s">
        <v>45</v>
      </c>
      <c r="D774" s="5" t="s">
        <v>37</v>
      </c>
      <c r="E774" s="5" t="s">
        <v>37</v>
      </c>
      <c r="F774" s="5" t="s">
        <v>37</v>
      </c>
      <c r="G774" s="5" t="s">
        <v>41</v>
      </c>
      <c r="H774" s="6">
        <v>45103</v>
      </c>
      <c r="I774" s="5">
        <v>1</v>
      </c>
      <c r="J774" s="5">
        <v>68.400000000000006</v>
      </c>
      <c r="K774" s="5">
        <v>8</v>
      </c>
      <c r="L774" s="5">
        <v>78.8</v>
      </c>
      <c r="M774" s="5">
        <v>59.8</v>
      </c>
    </row>
    <row r="775" spans="1:13" x14ac:dyDescent="0.3">
      <c r="A775" s="5">
        <v>466</v>
      </c>
      <c r="B775" s="5" t="s">
        <v>35</v>
      </c>
      <c r="C775" s="5" t="s">
        <v>45</v>
      </c>
      <c r="D775" s="5" t="s">
        <v>37</v>
      </c>
      <c r="E775" s="5" t="s">
        <v>40</v>
      </c>
      <c r="F775" s="5" t="s">
        <v>37</v>
      </c>
      <c r="G775" s="5" t="s">
        <v>46</v>
      </c>
      <c r="H775" s="6">
        <v>45001</v>
      </c>
      <c r="I775" s="5">
        <v>3.9</v>
      </c>
      <c r="J775" s="5">
        <v>82.2</v>
      </c>
      <c r="K775" s="5">
        <v>8.4</v>
      </c>
      <c r="L775" s="5">
        <v>83.4</v>
      </c>
      <c r="M775" s="5">
        <v>66.3</v>
      </c>
    </row>
    <row r="776" spans="1:13" x14ac:dyDescent="0.3">
      <c r="A776" s="5">
        <v>32</v>
      </c>
      <c r="B776" s="5" t="s">
        <v>35</v>
      </c>
      <c r="C776" s="5"/>
      <c r="D776" s="5" t="s">
        <v>37</v>
      </c>
      <c r="E776" s="5" t="s">
        <v>40</v>
      </c>
      <c r="F776" s="5" t="s">
        <v>37</v>
      </c>
      <c r="G776" s="5" t="s">
        <v>41</v>
      </c>
      <c r="H776" s="6">
        <v>45230</v>
      </c>
      <c r="I776" s="5">
        <v>1.7</v>
      </c>
      <c r="J776" s="5">
        <v>73.3</v>
      </c>
      <c r="K776" s="5">
        <v>5.2</v>
      </c>
      <c r="L776" s="5">
        <v>57.4</v>
      </c>
      <c r="M776" s="5">
        <v>58</v>
      </c>
    </row>
    <row r="777" spans="1:13" x14ac:dyDescent="0.3">
      <c r="A777" s="5">
        <v>315</v>
      </c>
      <c r="B777" s="5" t="s">
        <v>35</v>
      </c>
      <c r="C777" s="5" t="s">
        <v>36</v>
      </c>
      <c r="D777" s="5" t="s">
        <v>37</v>
      </c>
      <c r="E777" s="5" t="s">
        <v>40</v>
      </c>
      <c r="F777" s="5" t="s">
        <v>40</v>
      </c>
      <c r="G777" s="5" t="s">
        <v>46</v>
      </c>
      <c r="H777" s="6">
        <v>45426</v>
      </c>
      <c r="I777" s="5">
        <v>1.9</v>
      </c>
      <c r="J777" s="5">
        <v>80.8</v>
      </c>
      <c r="K777" s="5">
        <v>6.3</v>
      </c>
      <c r="L777" s="5">
        <v>74</v>
      </c>
      <c r="M777" s="5">
        <v>64.7</v>
      </c>
    </row>
    <row r="778" spans="1:13" x14ac:dyDescent="0.3">
      <c r="A778" s="5">
        <v>30</v>
      </c>
      <c r="B778" s="5" t="s">
        <v>44</v>
      </c>
      <c r="C778" s="5" t="s">
        <v>45</v>
      </c>
      <c r="D778" s="5" t="s">
        <v>37</v>
      </c>
      <c r="E778" s="5" t="s">
        <v>40</v>
      </c>
      <c r="F778" s="5" t="s">
        <v>37</v>
      </c>
      <c r="G778" s="5" t="s">
        <v>41</v>
      </c>
      <c r="H778" s="6">
        <v>45039</v>
      </c>
      <c r="I778" s="5">
        <v>1.4</v>
      </c>
      <c r="J778" s="5">
        <v>97.2</v>
      </c>
      <c r="K778" s="5">
        <v>4.8</v>
      </c>
      <c r="L778" s="5">
        <v>36.299999999999997</v>
      </c>
      <c r="M778" s="5">
        <v>51.3</v>
      </c>
    </row>
    <row r="779" spans="1:13" x14ac:dyDescent="0.3">
      <c r="A779" s="5">
        <v>79</v>
      </c>
      <c r="B779" s="5" t="s">
        <v>44</v>
      </c>
      <c r="C779" s="5" t="s">
        <v>42</v>
      </c>
      <c r="D779" s="5" t="s">
        <v>37</v>
      </c>
      <c r="E779" s="5" t="s">
        <v>40</v>
      </c>
      <c r="F779" s="5" t="s">
        <v>40</v>
      </c>
      <c r="G779" s="5" t="s">
        <v>47</v>
      </c>
      <c r="H779" s="6">
        <v>45653</v>
      </c>
      <c r="I779" s="5">
        <v>5.6</v>
      </c>
      <c r="J779" s="5">
        <v>92.4</v>
      </c>
      <c r="K779" s="5">
        <v>6.2</v>
      </c>
      <c r="L779" s="5">
        <v>83.9</v>
      </c>
      <c r="M779" s="5">
        <v>87.1</v>
      </c>
    </row>
    <row r="780" spans="1:13" x14ac:dyDescent="0.3">
      <c r="A780" s="5">
        <v>239</v>
      </c>
      <c r="B780" s="5" t="s">
        <v>44</v>
      </c>
      <c r="C780" s="5" t="s">
        <v>39</v>
      </c>
      <c r="D780" s="5" t="s">
        <v>37</v>
      </c>
      <c r="E780" s="5" t="s">
        <v>37</v>
      </c>
      <c r="F780" s="5" t="s">
        <v>37</v>
      </c>
      <c r="G780" s="5" t="s">
        <v>43</v>
      </c>
      <c r="H780" s="6">
        <v>45406</v>
      </c>
      <c r="I780" s="5">
        <v>1.1000000000000001</v>
      </c>
      <c r="J780" s="5">
        <v>99.8</v>
      </c>
      <c r="K780" s="5">
        <v>7.9</v>
      </c>
      <c r="L780" s="5">
        <v>81.2</v>
      </c>
      <c r="M780" s="5">
        <v>71</v>
      </c>
    </row>
    <row r="781" spans="1:13" x14ac:dyDescent="0.3">
      <c r="A781" s="5">
        <v>947</v>
      </c>
      <c r="B781" s="5" t="s">
        <v>35</v>
      </c>
      <c r="C781" s="5"/>
      <c r="D781" s="5" t="s">
        <v>37</v>
      </c>
      <c r="E781" s="5" t="s">
        <v>37</v>
      </c>
      <c r="F781" s="5" t="s">
        <v>37</v>
      </c>
      <c r="G781" s="5" t="s">
        <v>47</v>
      </c>
      <c r="H781" s="6">
        <v>45619</v>
      </c>
      <c r="I781" s="5">
        <v>6.6</v>
      </c>
      <c r="J781" s="5">
        <v>90.9</v>
      </c>
      <c r="K781" s="5">
        <v>5.2</v>
      </c>
      <c r="L781" s="5">
        <v>50.4</v>
      </c>
      <c r="M781" s="5">
        <v>87.5</v>
      </c>
    </row>
    <row r="782" spans="1:13" x14ac:dyDescent="0.3">
      <c r="A782" s="5">
        <v>653</v>
      </c>
      <c r="B782" s="5" t="s">
        <v>44</v>
      </c>
      <c r="C782" s="5" t="s">
        <v>36</v>
      </c>
      <c r="D782" s="5" t="s">
        <v>37</v>
      </c>
      <c r="E782" s="5" t="s">
        <v>37</v>
      </c>
      <c r="F782" s="5" t="s">
        <v>40</v>
      </c>
      <c r="G782" s="5" t="s">
        <v>47</v>
      </c>
      <c r="H782" s="6">
        <v>45042</v>
      </c>
      <c r="I782" s="5">
        <v>6.7</v>
      </c>
      <c r="J782" s="5">
        <v>82.2</v>
      </c>
      <c r="K782" s="5">
        <v>4.2</v>
      </c>
      <c r="L782" s="5">
        <v>40.1</v>
      </c>
      <c r="M782" s="5">
        <v>80</v>
      </c>
    </row>
    <row r="783" spans="1:13" x14ac:dyDescent="0.3">
      <c r="A783" s="5">
        <v>214</v>
      </c>
      <c r="B783" s="5" t="s">
        <v>35</v>
      </c>
      <c r="C783" s="5" t="s">
        <v>42</v>
      </c>
      <c r="D783" s="5" t="s">
        <v>37</v>
      </c>
      <c r="E783" s="5" t="s">
        <v>40</v>
      </c>
      <c r="F783" s="5" t="s">
        <v>37</v>
      </c>
      <c r="G783" s="5" t="s">
        <v>43</v>
      </c>
      <c r="H783" s="6">
        <v>44960</v>
      </c>
      <c r="I783" s="5">
        <v>2.5</v>
      </c>
      <c r="J783" s="5">
        <v>81.7</v>
      </c>
      <c r="K783" s="5">
        <v>5.8</v>
      </c>
      <c r="L783" s="5">
        <v>77.7</v>
      </c>
      <c r="M783" s="5">
        <v>71.099999999999994</v>
      </c>
    </row>
    <row r="784" spans="1:13" x14ac:dyDescent="0.3">
      <c r="A784" s="5">
        <v>743</v>
      </c>
      <c r="B784" s="5" t="s">
        <v>44</v>
      </c>
      <c r="C784" s="5" t="s">
        <v>45</v>
      </c>
      <c r="D784" s="5" t="s">
        <v>37</v>
      </c>
      <c r="E784" s="5" t="s">
        <v>40</v>
      </c>
      <c r="F784" s="5" t="s">
        <v>40</v>
      </c>
      <c r="G784" s="5" t="s">
        <v>47</v>
      </c>
      <c r="H784" s="6">
        <v>45097</v>
      </c>
      <c r="I784" s="5">
        <v>2.7</v>
      </c>
      <c r="J784" s="5">
        <v>83.5</v>
      </c>
      <c r="K784" s="5">
        <v>7.6</v>
      </c>
      <c r="L784" s="5">
        <v>93.8</v>
      </c>
      <c r="M784" s="5">
        <v>86</v>
      </c>
    </row>
    <row r="785" spans="1:13" x14ac:dyDescent="0.3">
      <c r="A785" s="5">
        <v>95</v>
      </c>
      <c r="B785" s="5" t="s">
        <v>44</v>
      </c>
      <c r="C785" s="5" t="s">
        <v>39</v>
      </c>
      <c r="D785" s="5" t="s">
        <v>40</v>
      </c>
      <c r="E785" s="5" t="s">
        <v>37</v>
      </c>
      <c r="F785" s="5" t="s">
        <v>40</v>
      </c>
      <c r="G785" s="5" t="s">
        <v>43</v>
      </c>
      <c r="H785" s="6">
        <v>45022</v>
      </c>
      <c r="I785" s="5">
        <v>1.7</v>
      </c>
      <c r="J785" s="5">
        <v>72</v>
      </c>
      <c r="K785" s="5">
        <v>8.3000000000000007</v>
      </c>
      <c r="L785" s="5">
        <v>79</v>
      </c>
      <c r="M785" s="5">
        <v>70.099999999999994</v>
      </c>
    </row>
    <row r="786" spans="1:13" x14ac:dyDescent="0.3">
      <c r="A786" s="5">
        <v>246</v>
      </c>
      <c r="B786" s="5" t="s">
        <v>44</v>
      </c>
      <c r="C786" s="5"/>
      <c r="D786" s="5" t="s">
        <v>40</v>
      </c>
      <c r="E786" s="5" t="s">
        <v>37</v>
      </c>
      <c r="F786" s="5" t="s">
        <v>40</v>
      </c>
      <c r="G786" s="5" t="s">
        <v>43</v>
      </c>
      <c r="H786" s="6">
        <v>45279</v>
      </c>
      <c r="I786" s="5">
        <v>1.2</v>
      </c>
      <c r="J786" s="5">
        <v>100</v>
      </c>
      <c r="K786" s="5">
        <v>6.7</v>
      </c>
      <c r="L786" s="5">
        <v>40.299999999999997</v>
      </c>
      <c r="M786" s="5">
        <v>74</v>
      </c>
    </row>
    <row r="787" spans="1:13" x14ac:dyDescent="0.3">
      <c r="A787" s="5">
        <v>288</v>
      </c>
      <c r="B787" s="5" t="s">
        <v>35</v>
      </c>
      <c r="C787" s="5" t="s">
        <v>45</v>
      </c>
      <c r="D787" s="5" t="s">
        <v>37</v>
      </c>
      <c r="E787" s="5" t="s">
        <v>40</v>
      </c>
      <c r="F787" s="5" t="s">
        <v>40</v>
      </c>
      <c r="G787" s="5" t="s">
        <v>41</v>
      </c>
      <c r="H787" s="6">
        <v>45578</v>
      </c>
      <c r="I787" s="5">
        <v>1.6</v>
      </c>
      <c r="J787" s="5">
        <v>80.8</v>
      </c>
      <c r="K787" s="5">
        <v>6</v>
      </c>
      <c r="L787" s="5">
        <v>42.5</v>
      </c>
      <c r="M787" s="5">
        <v>49.1</v>
      </c>
    </row>
    <row r="788" spans="1:13" x14ac:dyDescent="0.3">
      <c r="A788" s="5">
        <v>632</v>
      </c>
      <c r="B788" s="5" t="s">
        <v>44</v>
      </c>
      <c r="C788" s="5"/>
      <c r="D788" s="5" t="s">
        <v>37</v>
      </c>
      <c r="E788" s="5" t="s">
        <v>37</v>
      </c>
      <c r="F788" s="5" t="s">
        <v>40</v>
      </c>
      <c r="G788" s="5" t="s">
        <v>47</v>
      </c>
      <c r="H788" s="6">
        <v>45017</v>
      </c>
      <c r="I788" s="5">
        <v>4</v>
      </c>
      <c r="J788" s="5">
        <v>94.9</v>
      </c>
      <c r="K788" s="5">
        <v>7.7</v>
      </c>
      <c r="L788" s="5">
        <v>86.2</v>
      </c>
      <c r="M788" s="5">
        <v>82.7</v>
      </c>
    </row>
    <row r="789" spans="1:13" x14ac:dyDescent="0.3">
      <c r="A789" s="5">
        <v>695</v>
      </c>
      <c r="B789" s="5" t="s">
        <v>44</v>
      </c>
      <c r="C789" s="5" t="s">
        <v>36</v>
      </c>
      <c r="D789" s="5" t="s">
        <v>37</v>
      </c>
      <c r="E789" s="5" t="s">
        <v>37</v>
      </c>
      <c r="F789" s="5" t="s">
        <v>37</v>
      </c>
      <c r="G789" s="5" t="s">
        <v>43</v>
      </c>
      <c r="H789" s="6">
        <v>44954</v>
      </c>
      <c r="I789" s="5">
        <v>3.4</v>
      </c>
      <c r="J789" s="5">
        <v>94.3</v>
      </c>
      <c r="K789" s="5">
        <v>4.4000000000000004</v>
      </c>
      <c r="L789" s="5">
        <v>62.7</v>
      </c>
      <c r="M789" s="5">
        <v>75.599999999999994</v>
      </c>
    </row>
    <row r="790" spans="1:13" x14ac:dyDescent="0.3">
      <c r="A790" s="5">
        <v>496</v>
      </c>
      <c r="B790" s="5" t="s">
        <v>35</v>
      </c>
      <c r="C790" s="5"/>
      <c r="D790" s="5" t="s">
        <v>37</v>
      </c>
      <c r="E790" s="5" t="s">
        <v>37</v>
      </c>
      <c r="F790" s="5" t="s">
        <v>37</v>
      </c>
      <c r="G790" s="5" t="s">
        <v>43</v>
      </c>
      <c r="H790" s="6">
        <v>45588</v>
      </c>
      <c r="I790" s="5">
        <v>1.6</v>
      </c>
      <c r="J790" s="5">
        <v>88</v>
      </c>
      <c r="K790" s="5">
        <v>9</v>
      </c>
      <c r="L790" s="5">
        <v>73.900000000000006</v>
      </c>
      <c r="M790" s="5">
        <v>77.5</v>
      </c>
    </row>
    <row r="791" spans="1:13" x14ac:dyDescent="0.3">
      <c r="A791" s="5">
        <v>236</v>
      </c>
      <c r="B791" s="5" t="s">
        <v>35</v>
      </c>
      <c r="C791" s="5"/>
      <c r="D791" s="5" t="s">
        <v>37</v>
      </c>
      <c r="E791" s="5" t="s">
        <v>37</v>
      </c>
      <c r="F791" s="5" t="s">
        <v>37</v>
      </c>
      <c r="G791" s="5" t="s">
        <v>41</v>
      </c>
      <c r="H791" s="6">
        <v>45067</v>
      </c>
      <c r="I791" s="5">
        <v>2.1</v>
      </c>
      <c r="J791" s="5">
        <v>74.599999999999994</v>
      </c>
      <c r="K791" s="5">
        <v>4.2</v>
      </c>
      <c r="L791" s="5">
        <v>58.1</v>
      </c>
      <c r="M791" s="5">
        <v>43.9</v>
      </c>
    </row>
    <row r="792" spans="1:13" x14ac:dyDescent="0.3">
      <c r="A792" s="5">
        <v>38</v>
      </c>
      <c r="B792" s="5" t="s">
        <v>35</v>
      </c>
      <c r="C792" s="5" t="s">
        <v>36</v>
      </c>
      <c r="D792" s="5" t="s">
        <v>40</v>
      </c>
      <c r="E792" s="5" t="s">
        <v>40</v>
      </c>
      <c r="F792" s="5" t="s">
        <v>40</v>
      </c>
      <c r="G792" s="5" t="s">
        <v>43</v>
      </c>
      <c r="H792" s="6">
        <v>45027</v>
      </c>
      <c r="I792" s="5">
        <v>1.1000000000000001</v>
      </c>
      <c r="J792" s="5">
        <v>90.4</v>
      </c>
      <c r="K792" s="5">
        <v>4.4000000000000004</v>
      </c>
      <c r="L792" s="5">
        <v>83.1</v>
      </c>
      <c r="M792" s="5">
        <v>74.5</v>
      </c>
    </row>
    <row r="793" spans="1:13" x14ac:dyDescent="0.3">
      <c r="A793" s="5">
        <v>444</v>
      </c>
      <c r="B793" s="5" t="s">
        <v>35</v>
      </c>
      <c r="C793" s="5"/>
      <c r="D793" s="5" t="s">
        <v>37</v>
      </c>
      <c r="E793" s="5" t="s">
        <v>37</v>
      </c>
      <c r="F793" s="5" t="s">
        <v>40</v>
      </c>
      <c r="G793" s="5" t="s">
        <v>41</v>
      </c>
      <c r="H793" s="6">
        <v>45187</v>
      </c>
      <c r="I793" s="5">
        <v>3.4</v>
      </c>
      <c r="J793" s="5">
        <v>76.900000000000006</v>
      </c>
      <c r="K793" s="5">
        <v>4.9000000000000004</v>
      </c>
      <c r="L793" s="5">
        <v>49.5</v>
      </c>
      <c r="M793" s="5">
        <v>58.8</v>
      </c>
    </row>
    <row r="794" spans="1:13" x14ac:dyDescent="0.3">
      <c r="A794" s="5">
        <v>611</v>
      </c>
      <c r="B794" s="5" t="s">
        <v>35</v>
      </c>
      <c r="C794" s="5" t="s">
        <v>42</v>
      </c>
      <c r="D794" s="5" t="s">
        <v>37</v>
      </c>
      <c r="E794" s="5" t="s">
        <v>37</v>
      </c>
      <c r="F794" s="5" t="s">
        <v>40</v>
      </c>
      <c r="G794" s="5" t="s">
        <v>43</v>
      </c>
      <c r="H794" s="6">
        <v>45219</v>
      </c>
      <c r="I794" s="5">
        <v>4.5999999999999996</v>
      </c>
      <c r="J794" s="5">
        <v>95.6</v>
      </c>
      <c r="K794" s="5">
        <v>5.8</v>
      </c>
      <c r="L794" s="5">
        <v>70.5</v>
      </c>
      <c r="M794" s="5">
        <v>76.900000000000006</v>
      </c>
    </row>
    <row r="795" spans="1:13" x14ac:dyDescent="0.3">
      <c r="A795" s="5">
        <v>476</v>
      </c>
      <c r="B795" s="5" t="s">
        <v>44</v>
      </c>
      <c r="C795" s="5" t="s">
        <v>39</v>
      </c>
      <c r="D795" s="5"/>
      <c r="E795" s="5" t="s">
        <v>40</v>
      </c>
      <c r="F795" s="5" t="s">
        <v>37</v>
      </c>
      <c r="G795" s="5" t="s">
        <v>41</v>
      </c>
      <c r="H795" s="6">
        <v>45368</v>
      </c>
      <c r="I795" s="5">
        <v>1.5</v>
      </c>
      <c r="J795" s="5">
        <v>96.8</v>
      </c>
      <c r="K795" s="5">
        <v>5.0999999999999996</v>
      </c>
      <c r="L795" s="5">
        <v>67</v>
      </c>
      <c r="M795" s="5">
        <v>74.099999999999994</v>
      </c>
    </row>
    <row r="796" spans="1:13" x14ac:dyDescent="0.3">
      <c r="A796" s="5">
        <v>595</v>
      </c>
      <c r="B796" s="5" t="s">
        <v>35</v>
      </c>
      <c r="C796" s="5" t="s">
        <v>45</v>
      </c>
      <c r="D796" s="5" t="s">
        <v>37</v>
      </c>
      <c r="E796" s="5" t="s">
        <v>40</v>
      </c>
      <c r="F796" s="5" t="s">
        <v>40</v>
      </c>
      <c r="G796" s="5" t="s">
        <v>47</v>
      </c>
      <c r="H796" s="6">
        <v>45584</v>
      </c>
      <c r="I796" s="5">
        <v>5.8</v>
      </c>
      <c r="J796" s="5">
        <v>87.6</v>
      </c>
      <c r="K796" s="5">
        <v>4.4000000000000004</v>
      </c>
      <c r="L796" s="5">
        <v>92.1</v>
      </c>
      <c r="M796" s="5">
        <v>84.8</v>
      </c>
    </row>
    <row r="797" spans="1:13" x14ac:dyDescent="0.3">
      <c r="A797" s="5">
        <v>780</v>
      </c>
      <c r="B797" s="5" t="s">
        <v>35</v>
      </c>
      <c r="C797" s="5" t="s">
        <v>36</v>
      </c>
      <c r="D797" s="5" t="s">
        <v>37</v>
      </c>
      <c r="E797" s="5" t="s">
        <v>37</v>
      </c>
      <c r="F797" s="5" t="s">
        <v>37</v>
      </c>
      <c r="G797" s="5" t="s">
        <v>43</v>
      </c>
      <c r="H797" s="6">
        <v>45017</v>
      </c>
      <c r="I797" s="5">
        <v>6.3</v>
      </c>
      <c r="J797" s="5">
        <v>65</v>
      </c>
      <c r="K797" s="5">
        <v>5.0999999999999996</v>
      </c>
      <c r="L797" s="5">
        <v>72.599999999999994</v>
      </c>
      <c r="M797" s="5">
        <v>72.400000000000006</v>
      </c>
    </row>
    <row r="798" spans="1:13" x14ac:dyDescent="0.3">
      <c r="A798" s="5">
        <v>35</v>
      </c>
      <c r="B798" s="5" t="s">
        <v>35</v>
      </c>
      <c r="C798" s="5" t="s">
        <v>36</v>
      </c>
      <c r="D798" s="5" t="s">
        <v>37</v>
      </c>
      <c r="E798" s="5" t="s">
        <v>40</v>
      </c>
      <c r="F798" s="5" t="s">
        <v>37</v>
      </c>
      <c r="G798" s="5" t="s">
        <v>41</v>
      </c>
      <c r="H798" s="6">
        <v>45096</v>
      </c>
      <c r="I798" s="5">
        <v>2.2000000000000002</v>
      </c>
      <c r="J798" s="5">
        <v>69.900000000000006</v>
      </c>
      <c r="K798" s="5">
        <v>6.4</v>
      </c>
      <c r="L798" s="5">
        <v>57</v>
      </c>
      <c r="M798" s="5">
        <v>58.2</v>
      </c>
    </row>
    <row r="799" spans="1:13" x14ac:dyDescent="0.3">
      <c r="A799" s="5">
        <v>603</v>
      </c>
      <c r="B799" s="5" t="s">
        <v>44</v>
      </c>
      <c r="C799" s="5" t="s">
        <v>45</v>
      </c>
      <c r="D799" s="5" t="s">
        <v>37</v>
      </c>
      <c r="E799" s="5" t="s">
        <v>37</v>
      </c>
      <c r="F799" s="5" t="s">
        <v>40</v>
      </c>
      <c r="G799" s="5" t="s">
        <v>46</v>
      </c>
      <c r="H799" s="6">
        <v>44994</v>
      </c>
      <c r="I799" s="5">
        <v>3.4</v>
      </c>
      <c r="J799" s="5">
        <v>88</v>
      </c>
      <c r="K799" s="5">
        <v>6.1</v>
      </c>
      <c r="L799" s="5">
        <v>47.3</v>
      </c>
      <c r="M799" s="5">
        <v>69</v>
      </c>
    </row>
    <row r="800" spans="1:13" x14ac:dyDescent="0.3">
      <c r="A800" s="5">
        <v>69</v>
      </c>
      <c r="B800" s="5" t="s">
        <v>44</v>
      </c>
      <c r="C800" s="5" t="s">
        <v>45</v>
      </c>
      <c r="D800" s="5" t="s">
        <v>37</v>
      </c>
      <c r="E800" s="5" t="s">
        <v>37</v>
      </c>
      <c r="F800" s="5" t="s">
        <v>40</v>
      </c>
      <c r="G800" s="5" t="s">
        <v>47</v>
      </c>
      <c r="H800" s="6">
        <v>44956</v>
      </c>
      <c r="I800" s="5">
        <v>5.3</v>
      </c>
      <c r="J800" s="5">
        <v>91.2</v>
      </c>
      <c r="K800" s="5">
        <v>5.7</v>
      </c>
      <c r="L800" s="5">
        <v>64.400000000000006</v>
      </c>
      <c r="M800" s="5">
        <v>85.5</v>
      </c>
    </row>
    <row r="801" spans="1:13" x14ac:dyDescent="0.3">
      <c r="A801" s="5">
        <v>594</v>
      </c>
      <c r="B801" s="5" t="s">
        <v>35</v>
      </c>
      <c r="C801" s="5" t="s">
        <v>45</v>
      </c>
      <c r="D801" s="5" t="s">
        <v>37</v>
      </c>
      <c r="E801" s="5" t="s">
        <v>40</v>
      </c>
      <c r="F801" s="5" t="s">
        <v>40</v>
      </c>
      <c r="G801" s="5" t="s">
        <v>47</v>
      </c>
      <c r="H801" s="6">
        <v>45587</v>
      </c>
      <c r="I801" s="5">
        <v>6.4</v>
      </c>
      <c r="J801" s="5">
        <v>91.4</v>
      </c>
      <c r="K801" s="5">
        <v>7.3</v>
      </c>
      <c r="L801" s="5">
        <v>70.7</v>
      </c>
      <c r="M801" s="5">
        <v>87.7</v>
      </c>
    </row>
    <row r="802" spans="1:13" x14ac:dyDescent="0.3">
      <c r="A802" s="5">
        <v>731</v>
      </c>
      <c r="B802" s="5" t="s">
        <v>44</v>
      </c>
      <c r="C802" s="5" t="s">
        <v>39</v>
      </c>
      <c r="D802" s="5" t="s">
        <v>37</v>
      </c>
      <c r="E802" s="5" t="s">
        <v>37</v>
      </c>
      <c r="F802" s="5" t="s">
        <v>40</v>
      </c>
      <c r="G802" s="5" t="s">
        <v>47</v>
      </c>
      <c r="H802" s="6">
        <v>45244</v>
      </c>
      <c r="I802" s="5">
        <v>6.1</v>
      </c>
      <c r="J802" s="5">
        <v>83</v>
      </c>
      <c r="K802" s="5">
        <v>5.3</v>
      </c>
      <c r="L802" s="5">
        <v>95</v>
      </c>
      <c r="M802" s="5">
        <v>82.2</v>
      </c>
    </row>
    <row r="803" spans="1:13" x14ac:dyDescent="0.3">
      <c r="A803" s="5">
        <v>562</v>
      </c>
      <c r="B803" s="5" t="s">
        <v>35</v>
      </c>
      <c r="C803" s="5"/>
      <c r="D803" s="5" t="s">
        <v>40</v>
      </c>
      <c r="E803" s="5" t="s">
        <v>37</v>
      </c>
      <c r="F803" s="5" t="s">
        <v>40</v>
      </c>
      <c r="G803" s="5" t="s">
        <v>41</v>
      </c>
      <c r="H803" s="6">
        <v>45301</v>
      </c>
      <c r="I803" s="5">
        <v>1.5</v>
      </c>
      <c r="J803" s="5">
        <v>75.599999999999994</v>
      </c>
      <c r="K803" s="5">
        <v>4.7</v>
      </c>
      <c r="L803" s="5">
        <v>66.75</v>
      </c>
      <c r="M803" s="5">
        <v>56.9</v>
      </c>
    </row>
    <row r="804" spans="1:13" x14ac:dyDescent="0.3">
      <c r="A804" s="5">
        <v>835</v>
      </c>
      <c r="B804" s="5" t="s">
        <v>44</v>
      </c>
      <c r="C804" s="5"/>
      <c r="D804" s="5" t="s">
        <v>37</v>
      </c>
      <c r="E804" s="5" t="s">
        <v>40</v>
      </c>
      <c r="F804" s="5" t="s">
        <v>37</v>
      </c>
      <c r="G804" s="5" t="s">
        <v>41</v>
      </c>
      <c r="H804" s="6">
        <v>45052</v>
      </c>
      <c r="I804" s="5">
        <v>2</v>
      </c>
      <c r="J804" s="5">
        <v>92.3</v>
      </c>
      <c r="K804" s="5">
        <v>7.9</v>
      </c>
      <c r="L804" s="5">
        <v>40.200000000000003</v>
      </c>
      <c r="M804" s="5">
        <v>59.9</v>
      </c>
    </row>
    <row r="805" spans="1:13" x14ac:dyDescent="0.3">
      <c r="A805" s="5">
        <v>427</v>
      </c>
      <c r="B805" s="5" t="s">
        <v>35</v>
      </c>
      <c r="C805" s="5" t="s">
        <v>36</v>
      </c>
      <c r="D805" s="5" t="s">
        <v>37</v>
      </c>
      <c r="E805" s="5" t="s">
        <v>40</v>
      </c>
      <c r="F805" s="5" t="s">
        <v>37</v>
      </c>
      <c r="G805" s="5" t="s">
        <v>47</v>
      </c>
      <c r="H805" s="6">
        <v>45441</v>
      </c>
      <c r="I805" s="5">
        <v>4.5</v>
      </c>
      <c r="J805" s="5">
        <v>98.6</v>
      </c>
      <c r="K805" s="5">
        <v>6.5</v>
      </c>
      <c r="L805" s="5">
        <v>52</v>
      </c>
      <c r="M805" s="5">
        <v>80.7</v>
      </c>
    </row>
    <row r="806" spans="1:13" x14ac:dyDescent="0.3">
      <c r="A806" s="5">
        <v>785</v>
      </c>
      <c r="B806" s="5" t="s">
        <v>44</v>
      </c>
      <c r="C806" s="5" t="s">
        <v>36</v>
      </c>
      <c r="D806" s="5" t="s">
        <v>37</v>
      </c>
      <c r="E806" s="5" t="s">
        <v>37</v>
      </c>
      <c r="F806" s="5" t="s">
        <v>40</v>
      </c>
      <c r="G806" s="5" t="s">
        <v>47</v>
      </c>
      <c r="H806" s="6">
        <v>45624</v>
      </c>
      <c r="I806" s="5">
        <v>3.5</v>
      </c>
      <c r="J806" s="5">
        <v>73</v>
      </c>
      <c r="K806" s="5">
        <v>9</v>
      </c>
      <c r="L806" s="5">
        <v>85.3</v>
      </c>
      <c r="M806" s="5">
        <v>86.4</v>
      </c>
    </row>
    <row r="807" spans="1:13" x14ac:dyDescent="0.3">
      <c r="A807" s="5">
        <v>501</v>
      </c>
      <c r="B807" s="5" t="s">
        <v>35</v>
      </c>
      <c r="C807" s="5" t="s">
        <v>42</v>
      </c>
      <c r="D807" s="5" t="s">
        <v>37</v>
      </c>
      <c r="E807" s="5" t="s">
        <v>37</v>
      </c>
      <c r="F807" s="5" t="s">
        <v>40</v>
      </c>
      <c r="G807" s="5" t="s">
        <v>46</v>
      </c>
      <c r="H807" s="6">
        <v>45146</v>
      </c>
      <c r="I807" s="5">
        <v>3.9</v>
      </c>
      <c r="J807" s="5">
        <v>95.7</v>
      </c>
      <c r="K807" s="5">
        <v>6.5</v>
      </c>
      <c r="L807" s="5">
        <v>52.9</v>
      </c>
      <c r="M807" s="5">
        <v>68.2</v>
      </c>
    </row>
    <row r="808" spans="1:13" x14ac:dyDescent="0.3">
      <c r="A808" s="5">
        <v>722</v>
      </c>
      <c r="B808" s="5" t="s">
        <v>35</v>
      </c>
      <c r="C808" s="5" t="s">
        <v>39</v>
      </c>
      <c r="D808" s="5" t="s">
        <v>37</v>
      </c>
      <c r="E808" s="5" t="s">
        <v>37</v>
      </c>
      <c r="F808" s="5" t="s">
        <v>37</v>
      </c>
      <c r="G808" s="5" t="s">
        <v>46</v>
      </c>
      <c r="H808" s="6">
        <v>45035</v>
      </c>
      <c r="I808" s="5">
        <v>0.8</v>
      </c>
      <c r="J808" s="5">
        <v>85.6</v>
      </c>
      <c r="K808" s="5">
        <v>6.9</v>
      </c>
      <c r="L808" s="5">
        <v>80.099999999999994</v>
      </c>
      <c r="M808" s="5">
        <v>69.099999999999994</v>
      </c>
    </row>
    <row r="809" spans="1:13" x14ac:dyDescent="0.3">
      <c r="A809" s="5">
        <v>943</v>
      </c>
      <c r="B809" s="5" t="s">
        <v>44</v>
      </c>
      <c r="C809" s="5"/>
      <c r="D809" s="5" t="s">
        <v>37</v>
      </c>
      <c r="E809" s="5" t="s">
        <v>40</v>
      </c>
      <c r="F809" s="5" t="s">
        <v>37</v>
      </c>
      <c r="G809" s="5" t="s">
        <v>43</v>
      </c>
      <c r="H809" s="6">
        <v>45494</v>
      </c>
      <c r="I809" s="5">
        <v>6.4</v>
      </c>
      <c r="J809" s="5">
        <v>84.5</v>
      </c>
      <c r="K809" s="5">
        <v>4</v>
      </c>
      <c r="L809" s="5">
        <v>67</v>
      </c>
      <c r="M809" s="5">
        <v>79.099999999999994</v>
      </c>
    </row>
    <row r="810" spans="1:13" x14ac:dyDescent="0.3">
      <c r="A810" s="5">
        <v>242</v>
      </c>
      <c r="B810" s="5" t="s">
        <v>44</v>
      </c>
      <c r="C810" s="5" t="s">
        <v>42</v>
      </c>
      <c r="D810" s="5" t="s">
        <v>37</v>
      </c>
      <c r="E810" s="5" t="s">
        <v>37</v>
      </c>
      <c r="F810" s="5" t="s">
        <v>37</v>
      </c>
      <c r="G810" s="5" t="s">
        <v>43</v>
      </c>
      <c r="H810" s="6">
        <v>45528</v>
      </c>
      <c r="I810" s="5">
        <v>1.5</v>
      </c>
      <c r="J810" s="5">
        <v>77.3</v>
      </c>
      <c r="K810" s="5">
        <v>6.8</v>
      </c>
      <c r="L810" s="5">
        <v>93.2</v>
      </c>
      <c r="M810" s="5">
        <v>70</v>
      </c>
    </row>
    <row r="811" spans="1:13" x14ac:dyDescent="0.3">
      <c r="A811" s="5">
        <v>890</v>
      </c>
      <c r="B811" s="5" t="s">
        <v>35</v>
      </c>
      <c r="C811" s="5" t="s">
        <v>36</v>
      </c>
      <c r="D811" s="5" t="s">
        <v>37</v>
      </c>
      <c r="E811" s="5" t="s">
        <v>37</v>
      </c>
      <c r="F811" s="5" t="s">
        <v>40</v>
      </c>
      <c r="G811" s="5" t="s">
        <v>46</v>
      </c>
      <c r="H811" s="6">
        <v>45105</v>
      </c>
      <c r="I811" s="5">
        <v>1.8</v>
      </c>
      <c r="J811" s="5">
        <v>74.2</v>
      </c>
      <c r="K811" s="5">
        <v>8.6999999999999993</v>
      </c>
      <c r="L811" s="5">
        <v>58.2</v>
      </c>
      <c r="M811" s="5">
        <v>67.7</v>
      </c>
    </row>
    <row r="812" spans="1:13" x14ac:dyDescent="0.3">
      <c r="A812" s="5">
        <v>636</v>
      </c>
      <c r="B812" s="5" t="s">
        <v>35</v>
      </c>
      <c r="C812" s="5" t="s">
        <v>45</v>
      </c>
      <c r="D812" s="5" t="s">
        <v>40</v>
      </c>
      <c r="E812" s="5" t="s">
        <v>37</v>
      </c>
      <c r="F812" s="5" t="s">
        <v>40</v>
      </c>
      <c r="G812" s="5" t="s">
        <v>47</v>
      </c>
      <c r="H812" s="6">
        <v>45424</v>
      </c>
      <c r="I812" s="5">
        <v>6.4</v>
      </c>
      <c r="J812" s="5">
        <v>75.5</v>
      </c>
      <c r="K812" s="5">
        <v>5.4</v>
      </c>
      <c r="L812" s="5">
        <v>66.75</v>
      </c>
      <c r="M812" s="5">
        <v>84.2</v>
      </c>
    </row>
    <row r="813" spans="1:13" x14ac:dyDescent="0.3">
      <c r="A813" s="5">
        <v>564</v>
      </c>
      <c r="B813" s="5" t="s">
        <v>44</v>
      </c>
      <c r="C813" s="5" t="s">
        <v>45</v>
      </c>
      <c r="D813" s="5" t="s">
        <v>37</v>
      </c>
      <c r="E813" s="5" t="s">
        <v>37</v>
      </c>
      <c r="F813" s="5" t="s">
        <v>40</v>
      </c>
      <c r="G813" s="5" t="s">
        <v>43</v>
      </c>
      <c r="H813" s="6">
        <v>44964</v>
      </c>
      <c r="I813" s="5">
        <v>5.2</v>
      </c>
      <c r="J813" s="5">
        <v>71.099999999999994</v>
      </c>
      <c r="K813" s="5">
        <v>6.9</v>
      </c>
      <c r="L813" s="5">
        <v>59.8</v>
      </c>
      <c r="M813" s="5">
        <v>76.7</v>
      </c>
    </row>
    <row r="814" spans="1:13" x14ac:dyDescent="0.3">
      <c r="A814" s="5">
        <v>87</v>
      </c>
      <c r="B814" s="5" t="s">
        <v>44</v>
      </c>
      <c r="C814" s="5" t="s">
        <v>45</v>
      </c>
      <c r="D814" s="5" t="s">
        <v>40</v>
      </c>
      <c r="E814" s="5" t="s">
        <v>40</v>
      </c>
      <c r="F814" s="5" t="s">
        <v>40</v>
      </c>
      <c r="G814" s="5" t="s">
        <v>38</v>
      </c>
      <c r="H814" s="6">
        <v>45258</v>
      </c>
      <c r="I814" s="5">
        <v>5.5</v>
      </c>
      <c r="J814" s="5">
        <v>94.9</v>
      </c>
      <c r="K814" s="5">
        <v>5.3</v>
      </c>
      <c r="L814" s="5">
        <v>94.1</v>
      </c>
      <c r="M814" s="5">
        <v>98.8</v>
      </c>
    </row>
    <row r="815" spans="1:13" x14ac:dyDescent="0.3">
      <c r="A815" s="5">
        <v>474</v>
      </c>
      <c r="B815" s="5" t="s">
        <v>44</v>
      </c>
      <c r="C815" s="5" t="s">
        <v>42</v>
      </c>
      <c r="D815" s="5"/>
      <c r="E815" s="5" t="s">
        <v>37</v>
      </c>
      <c r="F815" s="5" t="s">
        <v>40</v>
      </c>
      <c r="G815" s="5" t="s">
        <v>38</v>
      </c>
      <c r="H815" s="6"/>
      <c r="I815" s="5">
        <v>5.8</v>
      </c>
      <c r="J815" s="5">
        <v>92.8</v>
      </c>
      <c r="K815" s="5">
        <v>7.8</v>
      </c>
      <c r="L815" s="5">
        <v>86.7</v>
      </c>
      <c r="M815" s="5">
        <v>92.2</v>
      </c>
    </row>
    <row r="816" spans="1:13" x14ac:dyDescent="0.3">
      <c r="A816" s="5">
        <v>532</v>
      </c>
      <c r="B816" s="5" t="s">
        <v>44</v>
      </c>
      <c r="C816" s="5" t="s">
        <v>42</v>
      </c>
      <c r="D816" s="5" t="s">
        <v>37</v>
      </c>
      <c r="E816" s="5" t="s">
        <v>37</v>
      </c>
      <c r="F816" s="5" t="s">
        <v>37</v>
      </c>
      <c r="G816" s="5" t="s">
        <v>43</v>
      </c>
      <c r="H816" s="6">
        <v>45059</v>
      </c>
      <c r="I816" s="5">
        <v>0.6</v>
      </c>
      <c r="J816" s="5">
        <v>74.599999999999994</v>
      </c>
      <c r="K816" s="5">
        <v>8.8000000000000007</v>
      </c>
      <c r="L816" s="5">
        <v>63.8</v>
      </c>
      <c r="M816" s="5">
        <v>71</v>
      </c>
    </row>
    <row r="817" spans="1:13" x14ac:dyDescent="0.3">
      <c r="A817" s="5">
        <v>718</v>
      </c>
      <c r="B817" s="5" t="s">
        <v>35</v>
      </c>
      <c r="C817" s="5" t="s">
        <v>42</v>
      </c>
      <c r="D817" s="5" t="s">
        <v>37</v>
      </c>
      <c r="E817" s="5" t="s">
        <v>37</v>
      </c>
      <c r="F817" s="5" t="s">
        <v>40</v>
      </c>
      <c r="G817" s="5" t="s">
        <v>38</v>
      </c>
      <c r="H817" s="6">
        <v>44960</v>
      </c>
      <c r="I817" s="5">
        <v>4.4000000000000004</v>
      </c>
      <c r="J817" s="5">
        <v>99.7</v>
      </c>
      <c r="K817" s="5">
        <v>6.8</v>
      </c>
      <c r="L817" s="5">
        <v>60.4</v>
      </c>
      <c r="M817" s="5">
        <v>90</v>
      </c>
    </row>
    <row r="818" spans="1:13" x14ac:dyDescent="0.3">
      <c r="A818" s="5">
        <v>859</v>
      </c>
      <c r="B818" s="5" t="s">
        <v>35</v>
      </c>
      <c r="C818" s="5" t="s">
        <v>42</v>
      </c>
      <c r="D818" s="5" t="s">
        <v>37</v>
      </c>
      <c r="E818" s="5" t="s">
        <v>40</v>
      </c>
      <c r="F818" s="5" t="s">
        <v>40</v>
      </c>
      <c r="G818" s="5" t="s">
        <v>47</v>
      </c>
      <c r="H818" s="6">
        <v>45352</v>
      </c>
      <c r="I818" s="5">
        <v>3.5</v>
      </c>
      <c r="J818" s="5">
        <v>93.6</v>
      </c>
      <c r="K818" s="5">
        <v>8.6</v>
      </c>
      <c r="L818" s="5">
        <v>73.7</v>
      </c>
      <c r="M818" s="5">
        <v>84.6</v>
      </c>
    </row>
    <row r="819" spans="1:13" x14ac:dyDescent="0.3">
      <c r="A819" s="5">
        <v>243</v>
      </c>
      <c r="B819" s="5" t="s">
        <v>44</v>
      </c>
      <c r="C819" s="5" t="s">
        <v>39</v>
      </c>
      <c r="D819" s="5" t="s">
        <v>37</v>
      </c>
      <c r="E819" s="5" t="s">
        <v>37</v>
      </c>
      <c r="F819" s="5" t="s">
        <v>40</v>
      </c>
      <c r="G819" s="5" t="s">
        <v>43</v>
      </c>
      <c r="H819" s="6">
        <v>45524</v>
      </c>
      <c r="I819" s="5">
        <v>5.9</v>
      </c>
      <c r="J819" s="5">
        <v>70</v>
      </c>
      <c r="K819" s="5">
        <v>6.6</v>
      </c>
      <c r="L819" s="5">
        <v>50.8</v>
      </c>
      <c r="M819" s="5">
        <v>73</v>
      </c>
    </row>
    <row r="820" spans="1:13" x14ac:dyDescent="0.3">
      <c r="A820" s="5">
        <v>637</v>
      </c>
      <c r="B820" s="5" t="s">
        <v>35</v>
      </c>
      <c r="C820" s="5" t="s">
        <v>36</v>
      </c>
      <c r="D820" s="5" t="s">
        <v>37</v>
      </c>
      <c r="E820" s="5" t="s">
        <v>37</v>
      </c>
      <c r="F820" s="5" t="s">
        <v>40</v>
      </c>
      <c r="G820" s="5" t="s">
        <v>38</v>
      </c>
      <c r="H820" s="6">
        <v>45630</v>
      </c>
      <c r="I820" s="5">
        <v>4.8</v>
      </c>
      <c r="J820" s="5">
        <v>97</v>
      </c>
      <c r="K820" s="5">
        <v>5.9</v>
      </c>
      <c r="L820" s="5">
        <v>88.8</v>
      </c>
      <c r="M820" s="5">
        <v>91.5</v>
      </c>
    </row>
    <row r="821" spans="1:13" x14ac:dyDescent="0.3">
      <c r="A821" s="5">
        <v>365</v>
      </c>
      <c r="B821" s="5" t="s">
        <v>44</v>
      </c>
      <c r="C821" s="5" t="s">
        <v>45</v>
      </c>
      <c r="D821" s="5" t="s">
        <v>37</v>
      </c>
      <c r="E821" s="5" t="s">
        <v>37</v>
      </c>
      <c r="F821" s="5" t="s">
        <v>37</v>
      </c>
      <c r="G821" s="5" t="s">
        <v>46</v>
      </c>
      <c r="H821" s="6">
        <v>45234</v>
      </c>
      <c r="I821" s="5">
        <v>1.1000000000000001</v>
      </c>
      <c r="J821" s="5">
        <v>71.7</v>
      </c>
      <c r="K821" s="5">
        <v>7.2</v>
      </c>
      <c r="L821" s="5">
        <v>61</v>
      </c>
      <c r="M821" s="5">
        <v>74.099999999999994</v>
      </c>
    </row>
    <row r="822" spans="1:13" x14ac:dyDescent="0.3">
      <c r="A822" s="5">
        <v>915</v>
      </c>
      <c r="B822" s="5" t="s">
        <v>44</v>
      </c>
      <c r="C822" s="5" t="s">
        <v>39</v>
      </c>
      <c r="D822" s="5" t="s">
        <v>37</v>
      </c>
      <c r="E822" s="5" t="s">
        <v>37</v>
      </c>
      <c r="F822" s="5" t="s">
        <v>37</v>
      </c>
      <c r="G822" s="5" t="s">
        <v>41</v>
      </c>
      <c r="H822" s="6">
        <v>45140</v>
      </c>
      <c r="I822" s="5">
        <v>1.6</v>
      </c>
      <c r="J822" s="5">
        <v>70.400000000000006</v>
      </c>
      <c r="K822" s="5">
        <v>4.4000000000000004</v>
      </c>
      <c r="L822" s="5">
        <v>43.3</v>
      </c>
      <c r="M822" s="5">
        <v>74.099999999999994</v>
      </c>
    </row>
    <row r="823" spans="1:13" x14ac:dyDescent="0.3">
      <c r="A823" s="5">
        <v>556</v>
      </c>
      <c r="B823" s="5" t="s">
        <v>35</v>
      </c>
      <c r="C823" s="5" t="s">
        <v>36</v>
      </c>
      <c r="D823" s="5" t="s">
        <v>37</v>
      </c>
      <c r="E823" s="5" t="s">
        <v>40</v>
      </c>
      <c r="F823" s="5" t="s">
        <v>37</v>
      </c>
      <c r="G823" s="5" t="s">
        <v>43</v>
      </c>
      <c r="H823" s="6"/>
      <c r="I823" s="5">
        <v>4.7</v>
      </c>
      <c r="J823" s="5">
        <v>89.6</v>
      </c>
      <c r="K823" s="5">
        <v>6</v>
      </c>
      <c r="L823" s="5">
        <v>78.599999999999994</v>
      </c>
      <c r="M823" s="5">
        <v>78.099999999999994</v>
      </c>
    </row>
    <row r="824" spans="1:13" x14ac:dyDescent="0.3">
      <c r="A824" s="5">
        <v>395</v>
      </c>
      <c r="B824" s="5" t="s">
        <v>44</v>
      </c>
      <c r="C824" s="5" t="s">
        <v>45</v>
      </c>
      <c r="D824" s="5" t="s">
        <v>37</v>
      </c>
      <c r="E824" s="5" t="s">
        <v>40</v>
      </c>
      <c r="F824" s="5" t="s">
        <v>40</v>
      </c>
      <c r="G824" s="5" t="s">
        <v>47</v>
      </c>
      <c r="H824" s="6">
        <v>45602</v>
      </c>
      <c r="I824" s="5">
        <v>3.9</v>
      </c>
      <c r="J824" s="5">
        <v>75.2</v>
      </c>
      <c r="K824" s="5">
        <v>8</v>
      </c>
      <c r="L824" s="5">
        <v>67</v>
      </c>
      <c r="M824" s="5">
        <v>88.1</v>
      </c>
    </row>
    <row r="825" spans="1:13" x14ac:dyDescent="0.3">
      <c r="A825" s="5">
        <v>866</v>
      </c>
      <c r="B825" s="5" t="s">
        <v>35</v>
      </c>
      <c r="C825" s="5" t="s">
        <v>42</v>
      </c>
      <c r="D825" s="5" t="s">
        <v>37</v>
      </c>
      <c r="E825" s="5" t="s">
        <v>37</v>
      </c>
      <c r="F825" s="5" t="s">
        <v>37</v>
      </c>
      <c r="G825" s="5" t="s">
        <v>46</v>
      </c>
      <c r="H825" s="6">
        <v>45616</v>
      </c>
      <c r="I825" s="5">
        <v>1.9</v>
      </c>
      <c r="J825" s="5">
        <v>89</v>
      </c>
      <c r="K825" s="5">
        <v>7.9</v>
      </c>
      <c r="L825" s="5">
        <v>43</v>
      </c>
      <c r="M825" s="5">
        <v>63.6</v>
      </c>
    </row>
    <row r="826" spans="1:13" x14ac:dyDescent="0.3">
      <c r="A826" s="5">
        <v>115</v>
      </c>
      <c r="B826" s="5" t="s">
        <v>44</v>
      </c>
      <c r="C826" s="5" t="s">
        <v>42</v>
      </c>
      <c r="D826" s="5"/>
      <c r="E826" s="5" t="s">
        <v>37</v>
      </c>
      <c r="F826" s="5" t="s">
        <v>40</v>
      </c>
      <c r="G826" s="5" t="s">
        <v>43</v>
      </c>
      <c r="H826" s="6">
        <v>45233</v>
      </c>
      <c r="I826" s="5">
        <v>4.2</v>
      </c>
      <c r="J826" s="5">
        <v>90.2</v>
      </c>
      <c r="K826" s="5">
        <v>6.5</v>
      </c>
      <c r="L826" s="5">
        <v>55.5</v>
      </c>
      <c r="M826" s="5">
        <v>71.400000000000006</v>
      </c>
    </row>
    <row r="827" spans="1:13" x14ac:dyDescent="0.3">
      <c r="A827" s="5">
        <v>817</v>
      </c>
      <c r="B827" s="5" t="s">
        <v>35</v>
      </c>
      <c r="C827" s="5" t="s">
        <v>39</v>
      </c>
      <c r="D827" s="5" t="s">
        <v>37</v>
      </c>
      <c r="E827" s="5" t="s">
        <v>40</v>
      </c>
      <c r="F827" s="5" t="s">
        <v>40</v>
      </c>
      <c r="G827" s="5" t="s">
        <v>38</v>
      </c>
      <c r="H827" s="6">
        <v>45498</v>
      </c>
      <c r="I827" s="5">
        <v>5.9</v>
      </c>
      <c r="J827" s="5">
        <v>71.400000000000006</v>
      </c>
      <c r="K827" s="5">
        <v>4.5</v>
      </c>
      <c r="L827" s="5">
        <v>90.5</v>
      </c>
      <c r="M827" s="5">
        <v>91.2</v>
      </c>
    </row>
    <row r="828" spans="1:13" x14ac:dyDescent="0.3">
      <c r="A828" s="5">
        <v>696</v>
      </c>
      <c r="B828" s="5" t="s">
        <v>35</v>
      </c>
      <c r="C828" s="5" t="s">
        <v>42</v>
      </c>
      <c r="D828" s="5" t="s">
        <v>37</v>
      </c>
      <c r="E828" s="5" t="s">
        <v>40</v>
      </c>
      <c r="F828" s="5" t="s">
        <v>40</v>
      </c>
      <c r="G828" s="5" t="s">
        <v>41</v>
      </c>
      <c r="H828" s="6">
        <v>45406</v>
      </c>
      <c r="I828" s="5">
        <v>0.7</v>
      </c>
      <c r="J828" s="5">
        <v>66.2</v>
      </c>
      <c r="K828" s="5">
        <v>7.6</v>
      </c>
      <c r="L828" s="5">
        <v>38.6</v>
      </c>
      <c r="M828" s="5">
        <v>47.1</v>
      </c>
    </row>
    <row r="829" spans="1:13" x14ac:dyDescent="0.3">
      <c r="A829" s="5">
        <v>86</v>
      </c>
      <c r="B829" s="5" t="s">
        <v>44</v>
      </c>
      <c r="C829" s="5"/>
      <c r="D829" s="5" t="s">
        <v>37</v>
      </c>
      <c r="E829" s="5" t="s">
        <v>40</v>
      </c>
      <c r="F829" s="5" t="s">
        <v>37</v>
      </c>
      <c r="G829" s="5" t="s">
        <v>38</v>
      </c>
      <c r="H829" s="6">
        <v>45547</v>
      </c>
      <c r="I829" s="5">
        <v>4.5</v>
      </c>
      <c r="J829" s="5">
        <v>73.5</v>
      </c>
      <c r="K829" s="5">
        <v>6.8</v>
      </c>
      <c r="L829" s="5">
        <v>86.2</v>
      </c>
      <c r="M829" s="5">
        <v>93.2</v>
      </c>
    </row>
    <row r="830" spans="1:13" x14ac:dyDescent="0.3">
      <c r="A830" s="5">
        <v>660</v>
      </c>
      <c r="B830" s="5" t="s">
        <v>44</v>
      </c>
      <c r="C830" s="5" t="s">
        <v>45</v>
      </c>
      <c r="D830" s="5" t="s">
        <v>37</v>
      </c>
      <c r="E830" s="5" t="s">
        <v>40</v>
      </c>
      <c r="F830" s="5" t="s">
        <v>40</v>
      </c>
      <c r="G830" s="5" t="s">
        <v>41</v>
      </c>
      <c r="H830" s="6">
        <v>45180</v>
      </c>
      <c r="I830" s="5">
        <v>0.9</v>
      </c>
      <c r="J830" s="5">
        <v>88.4</v>
      </c>
      <c r="K830" s="5">
        <v>6.7</v>
      </c>
      <c r="L830" s="5">
        <v>62.5</v>
      </c>
      <c r="M830" s="5">
        <v>57.1</v>
      </c>
    </row>
    <row r="831" spans="1:13" x14ac:dyDescent="0.3">
      <c r="A831" s="5">
        <v>648</v>
      </c>
      <c r="B831" s="5" t="s">
        <v>35</v>
      </c>
      <c r="C831" s="5" t="s">
        <v>42</v>
      </c>
      <c r="D831" s="5" t="s">
        <v>37</v>
      </c>
      <c r="E831" s="5" t="s">
        <v>40</v>
      </c>
      <c r="F831" s="5" t="s">
        <v>40</v>
      </c>
      <c r="G831" s="5" t="s">
        <v>46</v>
      </c>
      <c r="H831" s="6">
        <v>45124</v>
      </c>
      <c r="I831" s="5">
        <v>3.6</v>
      </c>
      <c r="J831" s="5">
        <v>71.900000000000006</v>
      </c>
      <c r="K831" s="5">
        <v>5.9</v>
      </c>
      <c r="L831" s="5">
        <v>62.7</v>
      </c>
      <c r="M831" s="5">
        <v>68.900000000000006</v>
      </c>
    </row>
    <row r="832" spans="1:13" x14ac:dyDescent="0.3">
      <c r="A832" s="5">
        <v>166</v>
      </c>
      <c r="B832" s="5" t="s">
        <v>44</v>
      </c>
      <c r="C832" s="5" t="s">
        <v>39</v>
      </c>
      <c r="D832" s="5" t="s">
        <v>37</v>
      </c>
      <c r="E832" s="5" t="s">
        <v>40</v>
      </c>
      <c r="F832" s="5" t="s">
        <v>40</v>
      </c>
      <c r="G832" s="5" t="s">
        <v>47</v>
      </c>
      <c r="H832" s="6">
        <v>45497</v>
      </c>
      <c r="I832" s="5">
        <v>3.6</v>
      </c>
      <c r="J832" s="5">
        <v>67.099999999999994</v>
      </c>
      <c r="K832" s="5">
        <v>8.1</v>
      </c>
      <c r="L832" s="5">
        <v>73.3</v>
      </c>
      <c r="M832" s="5">
        <v>88.6</v>
      </c>
    </row>
    <row r="833" spans="1:13" x14ac:dyDescent="0.3">
      <c r="A833" s="5">
        <v>494</v>
      </c>
      <c r="B833" s="5" t="s">
        <v>44</v>
      </c>
      <c r="C833" s="5" t="s">
        <v>45</v>
      </c>
      <c r="D833" s="5" t="s">
        <v>40</v>
      </c>
      <c r="E833" s="5" t="s">
        <v>40</v>
      </c>
      <c r="F833" s="5" t="s">
        <v>40</v>
      </c>
      <c r="G833" s="5" t="s">
        <v>46</v>
      </c>
      <c r="H833" s="6">
        <v>45403</v>
      </c>
      <c r="I833" s="5">
        <v>4.0999999999999996</v>
      </c>
      <c r="J833" s="5">
        <v>65.7</v>
      </c>
      <c r="K833" s="5">
        <v>8.1999999999999993</v>
      </c>
      <c r="L833" s="5">
        <v>66.7</v>
      </c>
      <c r="M833" s="5">
        <v>67.7</v>
      </c>
    </row>
    <row r="834" spans="1:13" x14ac:dyDescent="0.3">
      <c r="A834" s="5">
        <v>820</v>
      </c>
      <c r="B834" s="5" t="s">
        <v>44</v>
      </c>
      <c r="C834" s="5" t="s">
        <v>45</v>
      </c>
      <c r="D834" s="5" t="s">
        <v>37</v>
      </c>
      <c r="E834" s="5" t="s">
        <v>40</v>
      </c>
      <c r="F834" s="5" t="s">
        <v>40</v>
      </c>
      <c r="G834" s="5" t="s">
        <v>41</v>
      </c>
      <c r="H834" s="6"/>
      <c r="I834" s="5">
        <v>2.2000000000000002</v>
      </c>
      <c r="J834" s="5">
        <v>65.5</v>
      </c>
      <c r="K834" s="5">
        <v>6.7</v>
      </c>
      <c r="L834" s="5">
        <v>58.4</v>
      </c>
      <c r="M834" s="5">
        <v>51.7</v>
      </c>
    </row>
    <row r="835" spans="1:13" x14ac:dyDescent="0.3">
      <c r="A835" s="5">
        <v>309</v>
      </c>
      <c r="B835" s="5" t="s">
        <v>35</v>
      </c>
      <c r="C835" s="5" t="s">
        <v>45</v>
      </c>
      <c r="D835" s="5" t="s">
        <v>37</v>
      </c>
      <c r="E835" s="5" t="s">
        <v>37</v>
      </c>
      <c r="F835" s="5" t="s">
        <v>37</v>
      </c>
      <c r="G835" s="5" t="s">
        <v>47</v>
      </c>
      <c r="H835" s="6">
        <v>45012</v>
      </c>
      <c r="I835" s="5">
        <v>4.7</v>
      </c>
      <c r="J835" s="5">
        <v>82.2</v>
      </c>
      <c r="K835" s="5">
        <v>6.5</v>
      </c>
      <c r="L835" s="5">
        <v>73.3</v>
      </c>
      <c r="M835" s="5">
        <v>85.9</v>
      </c>
    </row>
    <row r="836" spans="1:13" x14ac:dyDescent="0.3">
      <c r="A836" s="5">
        <v>56</v>
      </c>
      <c r="B836" s="5" t="s">
        <v>35</v>
      </c>
      <c r="C836" s="5" t="s">
        <v>36</v>
      </c>
      <c r="D836" s="5" t="s">
        <v>40</v>
      </c>
      <c r="E836" s="5" t="s">
        <v>37</v>
      </c>
      <c r="F836" s="5" t="s">
        <v>40</v>
      </c>
      <c r="G836" s="5" t="s">
        <v>46</v>
      </c>
      <c r="H836" s="6">
        <v>45362</v>
      </c>
      <c r="I836" s="5">
        <v>2.8</v>
      </c>
      <c r="J836" s="5">
        <v>82.9</v>
      </c>
      <c r="K836" s="5">
        <v>7.7</v>
      </c>
      <c r="L836" s="5">
        <v>66.2</v>
      </c>
      <c r="M836" s="5">
        <v>67.2</v>
      </c>
    </row>
    <row r="837" spans="1:13" x14ac:dyDescent="0.3">
      <c r="A837" s="5">
        <v>924</v>
      </c>
      <c r="B837" s="5" t="s">
        <v>35</v>
      </c>
      <c r="C837" s="5" t="s">
        <v>45</v>
      </c>
      <c r="D837" s="5" t="s">
        <v>37</v>
      </c>
      <c r="E837" s="5" t="s">
        <v>37</v>
      </c>
      <c r="F837" s="5" t="s">
        <v>40</v>
      </c>
      <c r="G837" s="5" t="s">
        <v>46</v>
      </c>
      <c r="H837" s="6">
        <v>45066</v>
      </c>
      <c r="I837" s="5">
        <v>5</v>
      </c>
      <c r="J837" s="5">
        <v>84.9</v>
      </c>
      <c r="K837" s="5">
        <v>8</v>
      </c>
      <c r="L837" s="5">
        <v>39.799999999999997</v>
      </c>
      <c r="M837" s="5">
        <v>67.900000000000006</v>
      </c>
    </row>
    <row r="838" spans="1:13" x14ac:dyDescent="0.3">
      <c r="A838" s="5">
        <v>305</v>
      </c>
      <c r="B838" s="5" t="s">
        <v>44</v>
      </c>
      <c r="C838" s="5" t="s">
        <v>42</v>
      </c>
      <c r="D838" s="5" t="s">
        <v>37</v>
      </c>
      <c r="E838" s="5" t="s">
        <v>40</v>
      </c>
      <c r="F838" s="5" t="s">
        <v>40</v>
      </c>
      <c r="G838" s="5" t="s">
        <v>41</v>
      </c>
      <c r="H838" s="6">
        <v>45190</v>
      </c>
      <c r="I838" s="5">
        <v>1.1000000000000001</v>
      </c>
      <c r="J838" s="5">
        <v>94.6</v>
      </c>
      <c r="K838" s="5">
        <v>4.9000000000000004</v>
      </c>
      <c r="L838" s="5">
        <v>47.4</v>
      </c>
      <c r="M838" s="5">
        <v>55.8</v>
      </c>
    </row>
    <row r="839" spans="1:13" x14ac:dyDescent="0.3">
      <c r="A839" s="5">
        <v>391</v>
      </c>
      <c r="B839" s="5" t="s">
        <v>35</v>
      </c>
      <c r="C839" s="5" t="s">
        <v>36</v>
      </c>
      <c r="D839" s="5" t="s">
        <v>37</v>
      </c>
      <c r="E839" s="5" t="s">
        <v>40</v>
      </c>
      <c r="F839" s="5" t="s">
        <v>37</v>
      </c>
      <c r="G839" s="5" t="s">
        <v>46</v>
      </c>
      <c r="H839" s="6">
        <v>45560</v>
      </c>
      <c r="I839" s="5">
        <v>1.6</v>
      </c>
      <c r="J839" s="5">
        <v>84</v>
      </c>
      <c r="K839" s="5">
        <v>7.8</v>
      </c>
      <c r="L839" s="5">
        <v>57.9</v>
      </c>
      <c r="M839" s="5">
        <v>64.400000000000006</v>
      </c>
    </row>
    <row r="840" spans="1:13" x14ac:dyDescent="0.3">
      <c r="A840" s="5">
        <v>94</v>
      </c>
      <c r="B840" s="5" t="s">
        <v>35</v>
      </c>
      <c r="C840" s="5" t="s">
        <v>42</v>
      </c>
      <c r="D840" s="5" t="s">
        <v>37</v>
      </c>
      <c r="E840" s="5" t="s">
        <v>40</v>
      </c>
      <c r="F840" s="5" t="s">
        <v>37</v>
      </c>
      <c r="G840" s="5" t="s">
        <v>47</v>
      </c>
      <c r="H840" s="6">
        <v>45576</v>
      </c>
      <c r="I840" s="5">
        <v>5.7</v>
      </c>
      <c r="J840" s="5">
        <v>83.2</v>
      </c>
      <c r="K840" s="5">
        <v>6</v>
      </c>
      <c r="L840" s="5">
        <v>76</v>
      </c>
      <c r="M840" s="5">
        <v>86.7</v>
      </c>
    </row>
    <row r="841" spans="1:13" x14ac:dyDescent="0.3">
      <c r="A841" s="5">
        <v>439</v>
      </c>
      <c r="B841" s="5" t="s">
        <v>44</v>
      </c>
      <c r="C841" s="5" t="s">
        <v>39</v>
      </c>
      <c r="D841" s="5" t="s">
        <v>37</v>
      </c>
      <c r="E841" s="5" t="s">
        <v>37</v>
      </c>
      <c r="F841" s="5" t="s">
        <v>40</v>
      </c>
      <c r="G841" s="5" t="s">
        <v>43</v>
      </c>
      <c r="H841" s="6">
        <v>45649</v>
      </c>
      <c r="I841" s="5">
        <v>6.6</v>
      </c>
      <c r="J841" s="5">
        <v>90</v>
      </c>
      <c r="K841" s="5">
        <v>4.3</v>
      </c>
      <c r="L841" s="5">
        <v>41.4</v>
      </c>
      <c r="M841" s="5">
        <v>77.2</v>
      </c>
    </row>
    <row r="842" spans="1:13" x14ac:dyDescent="0.3">
      <c r="A842" s="5">
        <v>176</v>
      </c>
      <c r="B842" s="5" t="s">
        <v>35</v>
      </c>
      <c r="C842" s="5" t="s">
        <v>39</v>
      </c>
      <c r="D842" s="5" t="s">
        <v>37</v>
      </c>
      <c r="E842" s="5" t="s">
        <v>40</v>
      </c>
      <c r="F842" s="5" t="s">
        <v>40</v>
      </c>
      <c r="G842" s="5" t="s">
        <v>47</v>
      </c>
      <c r="H842" s="6">
        <v>45122</v>
      </c>
      <c r="I842" s="5">
        <v>6.2</v>
      </c>
      <c r="J842" s="5">
        <v>96.1</v>
      </c>
      <c r="K842" s="5">
        <v>5.6</v>
      </c>
      <c r="L842" s="5">
        <v>91.3</v>
      </c>
      <c r="M842" s="5">
        <v>84.4</v>
      </c>
    </row>
    <row r="843" spans="1:13" x14ac:dyDescent="0.3">
      <c r="A843" s="5">
        <v>796</v>
      </c>
      <c r="B843" s="5" t="s">
        <v>44</v>
      </c>
      <c r="C843" s="5" t="s">
        <v>36</v>
      </c>
      <c r="D843" s="5" t="s">
        <v>40</v>
      </c>
      <c r="E843" s="5" t="s">
        <v>40</v>
      </c>
      <c r="F843" s="5" t="s">
        <v>37</v>
      </c>
      <c r="G843" s="5" t="s">
        <v>41</v>
      </c>
      <c r="H843" s="6">
        <v>45600</v>
      </c>
      <c r="I843" s="5">
        <v>2.8</v>
      </c>
      <c r="J843" s="5">
        <v>65.2</v>
      </c>
      <c r="K843" s="5">
        <v>4.5999999999999996</v>
      </c>
      <c r="L843" s="5">
        <v>50.5</v>
      </c>
      <c r="M843" s="5">
        <v>51.2</v>
      </c>
    </row>
    <row r="844" spans="1:13" x14ac:dyDescent="0.3">
      <c r="A844" s="5">
        <v>455</v>
      </c>
      <c r="B844" s="5" t="s">
        <v>44</v>
      </c>
      <c r="C844" s="5" t="s">
        <v>45</v>
      </c>
      <c r="D844" s="5" t="s">
        <v>40</v>
      </c>
      <c r="E844" s="5" t="s">
        <v>37</v>
      </c>
      <c r="F844" s="5" t="s">
        <v>40</v>
      </c>
      <c r="G844" s="5" t="s">
        <v>47</v>
      </c>
      <c r="H844" s="6">
        <v>45142</v>
      </c>
      <c r="I844" s="5">
        <v>4.3</v>
      </c>
      <c r="J844" s="5">
        <v>86.8</v>
      </c>
      <c r="K844" s="5">
        <v>7.4</v>
      </c>
      <c r="L844" s="5">
        <v>68.599999999999994</v>
      </c>
      <c r="M844" s="5">
        <v>86.9</v>
      </c>
    </row>
    <row r="845" spans="1:13" x14ac:dyDescent="0.3">
      <c r="A845" s="5">
        <v>72</v>
      </c>
      <c r="B845" s="5" t="s">
        <v>44</v>
      </c>
      <c r="C845" s="5" t="s">
        <v>39</v>
      </c>
      <c r="D845" s="5" t="s">
        <v>40</v>
      </c>
      <c r="E845" s="5" t="s">
        <v>37</v>
      </c>
      <c r="F845" s="5" t="s">
        <v>40</v>
      </c>
      <c r="G845" s="5" t="s">
        <v>46</v>
      </c>
      <c r="H845" s="6">
        <v>45017</v>
      </c>
      <c r="I845" s="5">
        <v>0.8</v>
      </c>
      <c r="J845" s="5">
        <v>73.2</v>
      </c>
      <c r="K845" s="5">
        <v>7.1</v>
      </c>
      <c r="L845" s="5">
        <v>75.599999999999994</v>
      </c>
      <c r="M845" s="5">
        <v>74.099999999999994</v>
      </c>
    </row>
    <row r="846" spans="1:13" x14ac:dyDescent="0.3">
      <c r="A846" s="5">
        <v>3</v>
      </c>
      <c r="B846" s="5" t="s">
        <v>35</v>
      </c>
      <c r="C846" s="5" t="s">
        <v>39</v>
      </c>
      <c r="D846" s="5" t="s">
        <v>40</v>
      </c>
      <c r="E846" s="5" t="s">
        <v>37</v>
      </c>
      <c r="F846" s="5" t="s">
        <v>40</v>
      </c>
      <c r="G846" s="5" t="s">
        <v>43</v>
      </c>
      <c r="H846" s="6">
        <v>45578</v>
      </c>
      <c r="I846" s="5">
        <v>48</v>
      </c>
      <c r="J846" s="5">
        <v>91.5</v>
      </c>
      <c r="K846" s="5">
        <v>5.8</v>
      </c>
      <c r="L846" s="5">
        <v>46.7</v>
      </c>
      <c r="M846" s="5">
        <v>74.7</v>
      </c>
    </row>
    <row r="847" spans="1:13" x14ac:dyDescent="0.3">
      <c r="A847" s="5">
        <v>71</v>
      </c>
      <c r="B847" s="5" t="s">
        <v>44</v>
      </c>
      <c r="C847" s="5"/>
      <c r="D847" s="5" t="s">
        <v>37</v>
      </c>
      <c r="E847" s="5" t="s">
        <v>40</v>
      </c>
      <c r="F847" s="5" t="s">
        <v>40</v>
      </c>
      <c r="G847" s="5" t="s">
        <v>46</v>
      </c>
      <c r="H847" s="6">
        <v>45447</v>
      </c>
      <c r="I847" s="5">
        <v>2.9</v>
      </c>
      <c r="J847" s="5">
        <v>66.7</v>
      </c>
      <c r="K847" s="5">
        <v>4.5</v>
      </c>
      <c r="L847" s="5">
        <v>86.9</v>
      </c>
      <c r="M847" s="5">
        <v>61.4</v>
      </c>
    </row>
    <row r="848" spans="1:13" x14ac:dyDescent="0.3">
      <c r="A848" s="5">
        <v>680</v>
      </c>
      <c r="B848" s="5" t="s">
        <v>35</v>
      </c>
      <c r="C848" s="5" t="s">
        <v>42</v>
      </c>
      <c r="D848" s="5" t="s">
        <v>37</v>
      </c>
      <c r="E848" s="5" t="s">
        <v>37</v>
      </c>
      <c r="F848" s="5" t="s">
        <v>37</v>
      </c>
      <c r="G848" s="5" t="s">
        <v>46</v>
      </c>
      <c r="H848" s="6">
        <v>45119</v>
      </c>
      <c r="I848" s="5">
        <v>1.3</v>
      </c>
      <c r="J848" s="5">
        <v>75.099999999999994</v>
      </c>
      <c r="K848" s="5">
        <v>6.5</v>
      </c>
      <c r="L848" s="5">
        <v>49.8</v>
      </c>
      <c r="M848" s="5">
        <v>62</v>
      </c>
    </row>
    <row r="849" spans="1:13" x14ac:dyDescent="0.3">
      <c r="A849" s="5">
        <v>884</v>
      </c>
      <c r="B849" s="5" t="s">
        <v>44</v>
      </c>
      <c r="C849" s="5" t="s">
        <v>45</v>
      </c>
      <c r="D849" s="5" t="s">
        <v>37</v>
      </c>
      <c r="E849" s="5" t="s">
        <v>37</v>
      </c>
      <c r="F849" s="5" t="s">
        <v>37</v>
      </c>
      <c r="G849" s="5" t="s">
        <v>43</v>
      </c>
      <c r="H849" s="6">
        <v>45392</v>
      </c>
      <c r="I849" s="5">
        <v>3.8</v>
      </c>
      <c r="J849" s="5">
        <v>94.7</v>
      </c>
      <c r="K849" s="5">
        <v>4.4000000000000004</v>
      </c>
      <c r="L849" s="5">
        <v>66.5</v>
      </c>
      <c r="M849" s="5">
        <v>81.7</v>
      </c>
    </row>
    <row r="850" spans="1:13" x14ac:dyDescent="0.3">
      <c r="A850" s="5">
        <v>640</v>
      </c>
      <c r="B850" s="5" t="s">
        <v>35</v>
      </c>
      <c r="C850" s="5" t="s">
        <v>42</v>
      </c>
      <c r="D850" s="5"/>
      <c r="E850" s="5" t="s">
        <v>40</v>
      </c>
      <c r="F850" s="5" t="s">
        <v>40</v>
      </c>
      <c r="G850" s="5" t="s">
        <v>46</v>
      </c>
      <c r="H850" s="6">
        <v>45481</v>
      </c>
      <c r="I850" s="5">
        <v>2.8</v>
      </c>
      <c r="J850" s="5">
        <v>86.6</v>
      </c>
      <c r="K850" s="5">
        <v>5.8</v>
      </c>
      <c r="L850" s="5">
        <v>49.6</v>
      </c>
      <c r="M850" s="5">
        <v>65.900000000000006</v>
      </c>
    </row>
    <row r="851" spans="1:13" x14ac:dyDescent="0.3">
      <c r="A851" s="5">
        <v>588</v>
      </c>
      <c r="B851" s="5" t="s">
        <v>35</v>
      </c>
      <c r="C851" s="5" t="s">
        <v>36</v>
      </c>
      <c r="D851" s="5" t="s">
        <v>37</v>
      </c>
      <c r="E851" s="5" t="s">
        <v>40</v>
      </c>
      <c r="F851" s="5" t="s">
        <v>40</v>
      </c>
      <c r="G851" s="5" t="s">
        <v>43</v>
      </c>
      <c r="H851" s="6">
        <v>44994</v>
      </c>
      <c r="I851" s="5">
        <v>4.3</v>
      </c>
      <c r="J851" s="5">
        <v>99.7</v>
      </c>
      <c r="K851" s="5">
        <v>5.2</v>
      </c>
      <c r="L851" s="5">
        <v>71.8</v>
      </c>
      <c r="M851" s="5">
        <v>75.8</v>
      </c>
    </row>
    <row r="852" spans="1:13" x14ac:dyDescent="0.3">
      <c r="A852" s="5">
        <v>536</v>
      </c>
      <c r="B852" s="5" t="s">
        <v>35</v>
      </c>
      <c r="C852" s="5"/>
      <c r="D852" s="5" t="s">
        <v>37</v>
      </c>
      <c r="E852" s="5" t="s">
        <v>37</v>
      </c>
      <c r="F852" s="5" t="s">
        <v>40</v>
      </c>
      <c r="G852" s="5" t="s">
        <v>47</v>
      </c>
      <c r="H852" s="6">
        <v>45145</v>
      </c>
      <c r="I852" s="5">
        <v>3.2</v>
      </c>
      <c r="J852" s="5">
        <v>92.5</v>
      </c>
      <c r="K852" s="5">
        <v>8.5</v>
      </c>
      <c r="L852" s="5">
        <v>79.400000000000006</v>
      </c>
      <c r="M852" s="5">
        <v>87.5</v>
      </c>
    </row>
    <row r="853" spans="1:13" x14ac:dyDescent="0.3">
      <c r="A853" s="5">
        <v>742</v>
      </c>
      <c r="B853" s="5" t="s">
        <v>44</v>
      </c>
      <c r="C853" s="5" t="s">
        <v>39</v>
      </c>
      <c r="D853" s="5" t="s">
        <v>37</v>
      </c>
      <c r="E853" s="5" t="s">
        <v>40</v>
      </c>
      <c r="F853" s="5" t="s">
        <v>40</v>
      </c>
      <c r="G853" s="5" t="s">
        <v>38</v>
      </c>
      <c r="H853" s="6">
        <v>44969</v>
      </c>
      <c r="I853" s="5">
        <v>6.3</v>
      </c>
      <c r="J853" s="5">
        <v>84.5</v>
      </c>
      <c r="K853" s="5">
        <v>6.4</v>
      </c>
      <c r="L853" s="5">
        <v>84.1</v>
      </c>
      <c r="M853" s="5">
        <v>97.2</v>
      </c>
    </row>
    <row r="854" spans="1:13" x14ac:dyDescent="0.3">
      <c r="A854" s="5">
        <v>325</v>
      </c>
      <c r="B854" s="5" t="s">
        <v>35</v>
      </c>
      <c r="C854" s="5" t="s">
        <v>39</v>
      </c>
      <c r="D854" s="5" t="s">
        <v>37</v>
      </c>
      <c r="E854" s="5" t="s">
        <v>37</v>
      </c>
      <c r="F854" s="5" t="s">
        <v>40</v>
      </c>
      <c r="G854" s="5" t="s">
        <v>43</v>
      </c>
      <c r="H854" s="6"/>
      <c r="I854" s="5">
        <v>0.5</v>
      </c>
      <c r="J854" s="5">
        <v>70.599999999999994</v>
      </c>
      <c r="K854" s="5">
        <v>7.4</v>
      </c>
      <c r="L854" s="5">
        <v>70.3</v>
      </c>
      <c r="M854" s="5">
        <v>77.7</v>
      </c>
    </row>
    <row r="855" spans="1:13" x14ac:dyDescent="0.3">
      <c r="A855" s="5">
        <v>591</v>
      </c>
      <c r="B855" s="5" t="s">
        <v>35</v>
      </c>
      <c r="C855" s="5" t="s">
        <v>39</v>
      </c>
      <c r="D855" s="5" t="s">
        <v>37</v>
      </c>
      <c r="E855" s="5" t="s">
        <v>37</v>
      </c>
      <c r="F855" s="5" t="s">
        <v>40</v>
      </c>
      <c r="G855" s="5" t="s">
        <v>41</v>
      </c>
      <c r="H855" s="6">
        <v>45599</v>
      </c>
      <c r="I855" s="5">
        <v>0.8</v>
      </c>
      <c r="J855" s="5">
        <v>70.099999999999994</v>
      </c>
      <c r="K855" s="5">
        <v>4.7</v>
      </c>
      <c r="L855" s="5">
        <v>55.6</v>
      </c>
      <c r="M855" s="5">
        <v>48.6</v>
      </c>
    </row>
    <row r="856" spans="1:13" x14ac:dyDescent="0.3">
      <c r="A856" s="5">
        <v>255</v>
      </c>
      <c r="B856" s="5" t="s">
        <v>44</v>
      </c>
      <c r="C856" s="5" t="s">
        <v>45</v>
      </c>
      <c r="D856" s="5" t="s">
        <v>37</v>
      </c>
      <c r="E856" s="5" t="s">
        <v>40</v>
      </c>
      <c r="F856" s="5" t="s">
        <v>37</v>
      </c>
      <c r="G856" s="5" t="s">
        <v>38</v>
      </c>
      <c r="H856" s="6">
        <v>45145</v>
      </c>
      <c r="I856" s="5">
        <v>6.8</v>
      </c>
      <c r="J856" s="5">
        <v>89.8</v>
      </c>
      <c r="K856" s="5">
        <v>7.1</v>
      </c>
      <c r="L856" s="5">
        <v>67</v>
      </c>
      <c r="M856" s="5">
        <v>90.3</v>
      </c>
    </row>
    <row r="857" spans="1:13" x14ac:dyDescent="0.3">
      <c r="A857" s="5">
        <v>8</v>
      </c>
      <c r="B857" s="5" t="s">
        <v>44</v>
      </c>
      <c r="C857" s="5" t="s">
        <v>36</v>
      </c>
      <c r="D857" s="5" t="s">
        <v>37</v>
      </c>
      <c r="E857" s="5" t="s">
        <v>40</v>
      </c>
      <c r="F857" s="5" t="s">
        <v>40</v>
      </c>
      <c r="G857" s="5" t="s">
        <v>43</v>
      </c>
      <c r="H857" s="6">
        <v>44949</v>
      </c>
      <c r="I857" s="5">
        <v>4.5999999999999996</v>
      </c>
      <c r="J857" s="5">
        <v>84.4</v>
      </c>
      <c r="K857" s="5">
        <v>6.8</v>
      </c>
      <c r="L857" s="5">
        <v>47.9</v>
      </c>
      <c r="M857" s="5">
        <v>71</v>
      </c>
    </row>
    <row r="858" spans="1:13" x14ac:dyDescent="0.3">
      <c r="A858" s="5">
        <v>435</v>
      </c>
      <c r="B858" s="5" t="s">
        <v>44</v>
      </c>
      <c r="C858" s="5" t="s">
        <v>45</v>
      </c>
      <c r="D858" s="5" t="s">
        <v>37</v>
      </c>
      <c r="E858" s="5" t="s">
        <v>37</v>
      </c>
      <c r="F858" s="5" t="s">
        <v>40</v>
      </c>
      <c r="G858" s="5" t="s">
        <v>43</v>
      </c>
      <c r="H858" s="6">
        <v>45086</v>
      </c>
      <c r="I858" s="5">
        <v>3.9</v>
      </c>
      <c r="J858" s="5">
        <v>84.1</v>
      </c>
      <c r="K858" s="5">
        <v>7.3</v>
      </c>
      <c r="L858" s="5">
        <v>55.8</v>
      </c>
      <c r="M858" s="5">
        <v>71.599999999999994</v>
      </c>
    </row>
    <row r="859" spans="1:13" x14ac:dyDescent="0.3">
      <c r="A859" s="5">
        <v>107</v>
      </c>
      <c r="B859" s="5" t="s">
        <v>44</v>
      </c>
      <c r="C859" s="5" t="s">
        <v>42</v>
      </c>
      <c r="D859" s="5" t="s">
        <v>37</v>
      </c>
      <c r="E859" s="5" t="s">
        <v>37</v>
      </c>
      <c r="F859" s="5" t="s">
        <v>37</v>
      </c>
      <c r="G859" s="5" t="s">
        <v>38</v>
      </c>
      <c r="H859" s="6">
        <v>45023</v>
      </c>
      <c r="I859" s="5">
        <v>3.7</v>
      </c>
      <c r="J859" s="5">
        <v>83.5</v>
      </c>
      <c r="K859" s="5">
        <v>6.7</v>
      </c>
      <c r="L859" s="5">
        <v>92.1</v>
      </c>
      <c r="M859" s="5">
        <v>90.2</v>
      </c>
    </row>
    <row r="860" spans="1:13" x14ac:dyDescent="0.3">
      <c r="A860" s="5">
        <v>248</v>
      </c>
      <c r="B860" s="5" t="s">
        <v>44</v>
      </c>
      <c r="C860" s="5" t="s">
        <v>36</v>
      </c>
      <c r="D860" s="5" t="s">
        <v>37</v>
      </c>
      <c r="E860" s="5" t="s">
        <v>40</v>
      </c>
      <c r="F860" s="5" t="s">
        <v>37</v>
      </c>
      <c r="G860" s="5" t="s">
        <v>41</v>
      </c>
      <c r="H860" s="6">
        <v>45405</v>
      </c>
      <c r="I860" s="5">
        <v>0.9</v>
      </c>
      <c r="J860" s="5">
        <v>66.400000000000006</v>
      </c>
      <c r="K860" s="5">
        <v>7.3</v>
      </c>
      <c r="L860" s="5">
        <v>92</v>
      </c>
      <c r="M860" s="5">
        <v>57</v>
      </c>
    </row>
    <row r="861" spans="1:13" x14ac:dyDescent="0.3">
      <c r="A861" s="5">
        <v>509</v>
      </c>
      <c r="B861" s="5" t="s">
        <v>35</v>
      </c>
      <c r="C861" s="5" t="s">
        <v>39</v>
      </c>
      <c r="D861" s="5" t="s">
        <v>37</v>
      </c>
      <c r="E861" s="5" t="s">
        <v>37</v>
      </c>
      <c r="F861" s="5" t="s">
        <v>40</v>
      </c>
      <c r="G861" s="5" t="s">
        <v>38</v>
      </c>
      <c r="H861" s="6">
        <v>45593</v>
      </c>
      <c r="I861" s="5">
        <v>6.9</v>
      </c>
      <c r="J861" s="5">
        <v>88.5</v>
      </c>
      <c r="K861" s="5">
        <v>7.8</v>
      </c>
      <c r="L861" s="5">
        <v>88</v>
      </c>
      <c r="M861" s="5">
        <v>95.7</v>
      </c>
    </row>
    <row r="862" spans="1:13" x14ac:dyDescent="0.3">
      <c r="A862" s="5">
        <v>156</v>
      </c>
      <c r="B862" s="5" t="s">
        <v>35</v>
      </c>
      <c r="C862" s="5" t="s">
        <v>42</v>
      </c>
      <c r="D862" s="5" t="s">
        <v>40</v>
      </c>
      <c r="E862" s="5" t="s">
        <v>37</v>
      </c>
      <c r="F862" s="5" t="s">
        <v>37</v>
      </c>
      <c r="G862" s="5" t="s">
        <v>41</v>
      </c>
      <c r="H862" s="6">
        <v>45153</v>
      </c>
      <c r="I862" s="5">
        <v>3.1</v>
      </c>
      <c r="J862" s="5">
        <v>80.599999999999994</v>
      </c>
      <c r="K862" s="5">
        <v>4.3</v>
      </c>
      <c r="L862" s="5">
        <v>52.2</v>
      </c>
      <c r="M862" s="5">
        <v>54.2</v>
      </c>
    </row>
    <row r="863" spans="1:13" x14ac:dyDescent="0.3">
      <c r="A863" s="5">
        <v>714</v>
      </c>
      <c r="B863" s="5" t="s">
        <v>35</v>
      </c>
      <c r="C863" s="5" t="s">
        <v>42</v>
      </c>
      <c r="D863" s="5" t="s">
        <v>40</v>
      </c>
      <c r="E863" s="5" t="s">
        <v>37</v>
      </c>
      <c r="F863" s="5" t="s">
        <v>40</v>
      </c>
      <c r="G863" s="5" t="s">
        <v>38</v>
      </c>
      <c r="H863" s="6">
        <v>45346</v>
      </c>
      <c r="I863" s="5">
        <v>3</v>
      </c>
      <c r="J863" s="5">
        <v>82.7</v>
      </c>
      <c r="K863" s="5">
        <v>6.5</v>
      </c>
      <c r="L863" s="5">
        <v>89.7</v>
      </c>
      <c r="M863" s="5">
        <v>73</v>
      </c>
    </row>
    <row r="864" spans="1:13" x14ac:dyDescent="0.3">
      <c r="A864" s="5">
        <v>522</v>
      </c>
      <c r="B864" s="5" t="s">
        <v>44</v>
      </c>
      <c r="C864" s="5" t="s">
        <v>39</v>
      </c>
      <c r="D864" s="5" t="s">
        <v>37</v>
      </c>
      <c r="E864" s="5" t="s">
        <v>40</v>
      </c>
      <c r="F864" s="5" t="s">
        <v>37</v>
      </c>
      <c r="G864" s="5" t="s">
        <v>46</v>
      </c>
      <c r="H864" s="6">
        <v>45143</v>
      </c>
      <c r="I864" s="5">
        <v>3.4</v>
      </c>
      <c r="J864" s="5">
        <v>77</v>
      </c>
      <c r="K864" s="5">
        <v>5.9</v>
      </c>
      <c r="L864" s="5">
        <v>60.7</v>
      </c>
      <c r="M864" s="5">
        <v>65.8</v>
      </c>
    </row>
    <row r="865" spans="1:13" x14ac:dyDescent="0.3">
      <c r="A865" s="5">
        <v>266</v>
      </c>
      <c r="B865" s="5" t="s">
        <v>44</v>
      </c>
      <c r="C865" s="5" t="s">
        <v>36</v>
      </c>
      <c r="D865" s="5" t="s">
        <v>37</v>
      </c>
      <c r="E865" s="5" t="s">
        <v>40</v>
      </c>
      <c r="F865" s="5" t="s">
        <v>40</v>
      </c>
      <c r="G865" s="5" t="s">
        <v>43</v>
      </c>
      <c r="H865" s="6"/>
      <c r="I865" s="5">
        <v>1</v>
      </c>
      <c r="J865" s="5">
        <v>85.7</v>
      </c>
      <c r="K865" s="5">
        <v>7.8</v>
      </c>
      <c r="L865" s="5">
        <v>94.5</v>
      </c>
      <c r="M865" s="5">
        <v>73.5</v>
      </c>
    </row>
    <row r="866" spans="1:13" x14ac:dyDescent="0.3">
      <c r="A866" s="5">
        <v>789</v>
      </c>
      <c r="B866" s="5" t="s">
        <v>35</v>
      </c>
      <c r="C866" s="5" t="s">
        <v>42</v>
      </c>
      <c r="D866" s="5" t="s">
        <v>37</v>
      </c>
      <c r="E866" s="5" t="s">
        <v>40</v>
      </c>
      <c r="F866" s="5" t="s">
        <v>37</v>
      </c>
      <c r="G866" s="5" t="s">
        <v>46</v>
      </c>
      <c r="H866" s="6">
        <v>45581</v>
      </c>
      <c r="I866" s="5">
        <v>4.3</v>
      </c>
      <c r="J866" s="5">
        <v>88.8</v>
      </c>
      <c r="K866" s="5">
        <v>6.7</v>
      </c>
      <c r="L866" s="5">
        <v>76.400000000000006</v>
      </c>
      <c r="M866" s="5">
        <v>69.599999999999994</v>
      </c>
    </row>
    <row r="867" spans="1:13" x14ac:dyDescent="0.3">
      <c r="A867" s="5">
        <v>440</v>
      </c>
      <c r="B867" s="5" t="s">
        <v>44</v>
      </c>
      <c r="C867" s="5" t="s">
        <v>45</v>
      </c>
      <c r="D867" s="5" t="s">
        <v>37</v>
      </c>
      <c r="E867" s="5" t="s">
        <v>37</v>
      </c>
      <c r="F867" s="5" t="s">
        <v>40</v>
      </c>
      <c r="G867" s="5" t="s">
        <v>41</v>
      </c>
      <c r="H867" s="6">
        <v>44992</v>
      </c>
      <c r="I867" s="5">
        <v>1.3</v>
      </c>
      <c r="J867" s="5">
        <v>89.3</v>
      </c>
      <c r="K867" s="5">
        <v>5.4</v>
      </c>
      <c r="L867" s="5">
        <v>44.5</v>
      </c>
      <c r="M867" s="5">
        <v>47.8</v>
      </c>
    </row>
    <row r="868" spans="1:13" x14ac:dyDescent="0.3">
      <c r="A868" s="5">
        <v>600</v>
      </c>
      <c r="B868" s="5" t="s">
        <v>35</v>
      </c>
      <c r="C868" s="5"/>
      <c r="D868" s="5" t="s">
        <v>37</v>
      </c>
      <c r="E868" s="5" t="s">
        <v>40</v>
      </c>
      <c r="F868" s="5" t="s">
        <v>40</v>
      </c>
      <c r="G868" s="5" t="s">
        <v>43</v>
      </c>
      <c r="H868" s="6">
        <v>45092</v>
      </c>
      <c r="I868" s="5">
        <v>4.0999999999999996</v>
      </c>
      <c r="J868" s="5">
        <v>90.5</v>
      </c>
      <c r="K868" s="5">
        <v>6.5</v>
      </c>
      <c r="L868" s="5">
        <v>51.1</v>
      </c>
      <c r="M868" s="5">
        <v>72.8</v>
      </c>
    </row>
    <row r="869" spans="1:13" x14ac:dyDescent="0.3">
      <c r="A869" s="5">
        <v>787</v>
      </c>
      <c r="B869" s="5" t="s">
        <v>35</v>
      </c>
      <c r="C869" s="5" t="s">
        <v>39</v>
      </c>
      <c r="D869" s="5" t="s">
        <v>37</v>
      </c>
      <c r="E869" s="5" t="s">
        <v>37</v>
      </c>
      <c r="F869" s="5" t="s">
        <v>37</v>
      </c>
      <c r="G869" s="5" t="s">
        <v>43</v>
      </c>
      <c r="H869" s="6">
        <v>45171</v>
      </c>
      <c r="I869" s="5">
        <v>5.5</v>
      </c>
      <c r="J869" s="5">
        <v>88.7</v>
      </c>
      <c r="K869" s="5">
        <v>5.3</v>
      </c>
      <c r="L869" s="5">
        <v>35.6</v>
      </c>
      <c r="M869" s="5">
        <v>76.3</v>
      </c>
    </row>
    <row r="870" spans="1:13" x14ac:dyDescent="0.3">
      <c r="A870" s="5">
        <v>28</v>
      </c>
      <c r="B870" s="5" t="s">
        <v>35</v>
      </c>
      <c r="C870" s="5" t="s">
        <v>36</v>
      </c>
      <c r="D870" s="5" t="s">
        <v>37</v>
      </c>
      <c r="E870" s="5" t="s">
        <v>40</v>
      </c>
      <c r="F870" s="5" t="s">
        <v>40</v>
      </c>
      <c r="G870" s="5" t="s">
        <v>47</v>
      </c>
      <c r="H870" s="6">
        <v>45237</v>
      </c>
      <c r="I870" s="5">
        <v>6.1</v>
      </c>
      <c r="J870" s="5">
        <v>86.1</v>
      </c>
      <c r="K870" s="5">
        <v>6.1</v>
      </c>
      <c r="L870" s="5">
        <v>87</v>
      </c>
      <c r="M870" s="5">
        <v>82.8</v>
      </c>
    </row>
    <row r="871" spans="1:13" x14ac:dyDescent="0.3">
      <c r="A871" s="5">
        <v>212</v>
      </c>
      <c r="B871" s="5" t="s">
        <v>44</v>
      </c>
      <c r="C871" s="5" t="s">
        <v>39</v>
      </c>
      <c r="D871" s="5" t="s">
        <v>37</v>
      </c>
      <c r="E871" s="5" t="s">
        <v>37</v>
      </c>
      <c r="F871" s="5" t="s">
        <v>40</v>
      </c>
      <c r="G871" s="5" t="s">
        <v>43</v>
      </c>
      <c r="H871" s="6">
        <v>44979</v>
      </c>
      <c r="I871" s="5">
        <v>1.5</v>
      </c>
      <c r="J871" s="5">
        <v>86.2</v>
      </c>
      <c r="K871" s="5">
        <v>6.2</v>
      </c>
      <c r="L871" s="5">
        <v>88.6</v>
      </c>
      <c r="M871" s="5">
        <v>72.7</v>
      </c>
    </row>
    <row r="872" spans="1:13" x14ac:dyDescent="0.3">
      <c r="A872" s="5">
        <v>186</v>
      </c>
      <c r="B872" s="5" t="s">
        <v>35</v>
      </c>
      <c r="C872" s="5"/>
      <c r="D872" s="5" t="s">
        <v>37</v>
      </c>
      <c r="E872" s="5" t="s">
        <v>40</v>
      </c>
      <c r="F872" s="5" t="s">
        <v>40</v>
      </c>
      <c r="G872" s="5" t="s">
        <v>47</v>
      </c>
      <c r="H872" s="6">
        <v>45020</v>
      </c>
      <c r="I872" s="5">
        <v>6.1</v>
      </c>
      <c r="J872" s="5">
        <v>75.7</v>
      </c>
      <c r="K872" s="5">
        <v>7.1</v>
      </c>
      <c r="L872" s="5">
        <v>91.3</v>
      </c>
      <c r="M872" s="5">
        <v>81.900000000000006</v>
      </c>
    </row>
    <row r="873" spans="1:13" x14ac:dyDescent="0.3">
      <c r="A873" s="5">
        <v>573</v>
      </c>
      <c r="B873" s="5" t="s">
        <v>44</v>
      </c>
      <c r="C873" s="5" t="s">
        <v>45</v>
      </c>
      <c r="D873" s="5" t="s">
        <v>37</v>
      </c>
      <c r="E873" s="5" t="s">
        <v>40</v>
      </c>
      <c r="F873" s="5" t="s">
        <v>40</v>
      </c>
      <c r="G873" s="5" t="s">
        <v>38</v>
      </c>
      <c r="H873" s="6">
        <v>45400</v>
      </c>
      <c r="I873" s="5">
        <v>6.9</v>
      </c>
      <c r="J873" s="5">
        <v>97.9</v>
      </c>
      <c r="K873" s="5">
        <v>4.5999999999999996</v>
      </c>
      <c r="L873" s="5">
        <v>57</v>
      </c>
      <c r="M873" s="5">
        <v>92.9</v>
      </c>
    </row>
    <row r="874" spans="1:13" x14ac:dyDescent="0.3">
      <c r="A874" s="5">
        <v>568</v>
      </c>
      <c r="B874" s="5" t="s">
        <v>44</v>
      </c>
      <c r="C874" s="5"/>
      <c r="D874" s="5" t="s">
        <v>37</v>
      </c>
      <c r="E874" s="5" t="s">
        <v>37</v>
      </c>
      <c r="F874" s="5" t="s">
        <v>40</v>
      </c>
      <c r="G874" s="5" t="s">
        <v>47</v>
      </c>
      <c r="H874" s="6">
        <v>45413</v>
      </c>
      <c r="I874" s="5">
        <v>6.5</v>
      </c>
      <c r="J874" s="5">
        <v>86.1</v>
      </c>
      <c r="K874" s="5">
        <v>7.8</v>
      </c>
      <c r="L874" s="5">
        <v>53.4</v>
      </c>
      <c r="M874" s="5">
        <v>83.3</v>
      </c>
    </row>
    <row r="875" spans="1:13" x14ac:dyDescent="0.3">
      <c r="A875" s="5">
        <v>452</v>
      </c>
      <c r="B875" s="5" t="s">
        <v>35</v>
      </c>
      <c r="C875" s="5" t="s">
        <v>39</v>
      </c>
      <c r="D875" s="5" t="s">
        <v>37</v>
      </c>
      <c r="E875" s="5" t="s">
        <v>40</v>
      </c>
      <c r="F875" s="5" t="s">
        <v>37</v>
      </c>
      <c r="G875" s="5" t="s">
        <v>46</v>
      </c>
      <c r="H875" s="6">
        <v>45054</v>
      </c>
      <c r="I875" s="5">
        <v>1.7</v>
      </c>
      <c r="J875" s="5">
        <v>78.8</v>
      </c>
      <c r="K875" s="5">
        <v>7.2</v>
      </c>
      <c r="L875" s="5">
        <v>59.4</v>
      </c>
      <c r="M875" s="5">
        <v>60.4</v>
      </c>
    </row>
    <row r="876" spans="1:13" x14ac:dyDescent="0.3">
      <c r="A876" s="5">
        <v>464</v>
      </c>
      <c r="B876" s="5" t="s">
        <v>44</v>
      </c>
      <c r="C876" s="5" t="s">
        <v>45</v>
      </c>
      <c r="D876" s="5" t="s">
        <v>37</v>
      </c>
      <c r="E876" s="5" t="s">
        <v>40</v>
      </c>
      <c r="F876" s="5" t="s">
        <v>40</v>
      </c>
      <c r="G876" s="5" t="s">
        <v>47</v>
      </c>
      <c r="H876" s="6">
        <v>44989</v>
      </c>
      <c r="I876" s="5">
        <v>6.9</v>
      </c>
      <c r="J876" s="5">
        <v>87.9</v>
      </c>
      <c r="K876" s="5">
        <v>6.7</v>
      </c>
      <c r="L876" s="5">
        <v>64.099999999999994</v>
      </c>
      <c r="M876" s="5">
        <v>89.8</v>
      </c>
    </row>
    <row r="877" spans="1:13" x14ac:dyDescent="0.3">
      <c r="A877" s="5">
        <v>478</v>
      </c>
      <c r="B877" s="5" t="s">
        <v>44</v>
      </c>
      <c r="C877" s="5" t="s">
        <v>39</v>
      </c>
      <c r="D877" s="5" t="s">
        <v>37</v>
      </c>
      <c r="E877" s="5" t="s">
        <v>37</v>
      </c>
      <c r="F877" s="5" t="s">
        <v>40</v>
      </c>
      <c r="G877" s="5" t="s">
        <v>46</v>
      </c>
      <c r="H877" s="6">
        <v>45178</v>
      </c>
      <c r="I877" s="5">
        <v>2.8</v>
      </c>
      <c r="J877" s="5">
        <v>65.400000000000006</v>
      </c>
      <c r="K877" s="5">
        <v>4.5999999999999996</v>
      </c>
      <c r="L877" s="5">
        <v>72.599999999999994</v>
      </c>
      <c r="M877" s="5">
        <v>65.400000000000006</v>
      </c>
    </row>
    <row r="878" spans="1:13" x14ac:dyDescent="0.3">
      <c r="A878" s="5">
        <v>82</v>
      </c>
      <c r="B878" s="5" t="s">
        <v>35</v>
      </c>
      <c r="C878" s="5"/>
      <c r="D878" s="5" t="s">
        <v>37</v>
      </c>
      <c r="E878" s="5" t="s">
        <v>40</v>
      </c>
      <c r="F878" s="5" t="s">
        <v>37</v>
      </c>
      <c r="G878" s="5" t="s">
        <v>46</v>
      </c>
      <c r="H878" s="6">
        <v>45147</v>
      </c>
      <c r="I878" s="5">
        <v>3</v>
      </c>
      <c r="J878" s="5">
        <v>82.2</v>
      </c>
      <c r="K878" s="5">
        <v>7.5</v>
      </c>
      <c r="L878" s="5">
        <v>66.75</v>
      </c>
      <c r="M878" s="5">
        <v>66.2</v>
      </c>
    </row>
    <row r="879" spans="1:13" x14ac:dyDescent="0.3">
      <c r="A879" s="5">
        <v>764</v>
      </c>
      <c r="B879" s="5" t="s">
        <v>35</v>
      </c>
      <c r="C879" s="5" t="s">
        <v>39</v>
      </c>
      <c r="D879" s="5" t="s">
        <v>37</v>
      </c>
      <c r="E879" s="5" t="s">
        <v>37</v>
      </c>
      <c r="F879" s="5" t="s">
        <v>40</v>
      </c>
      <c r="G879" s="5" t="s">
        <v>43</v>
      </c>
      <c r="H879" s="6">
        <v>45355</v>
      </c>
      <c r="I879" s="5">
        <v>6.7</v>
      </c>
      <c r="J879" s="5">
        <v>82.2</v>
      </c>
      <c r="K879" s="5">
        <v>5.3</v>
      </c>
      <c r="L879" s="5">
        <v>54.3</v>
      </c>
      <c r="M879" s="5">
        <v>76.2</v>
      </c>
    </row>
    <row r="880" spans="1:13" x14ac:dyDescent="0.3">
      <c r="A880" s="5">
        <v>6</v>
      </c>
      <c r="B880" s="5" t="s">
        <v>44</v>
      </c>
      <c r="C880" s="5" t="s">
        <v>39</v>
      </c>
      <c r="D880" s="5" t="s">
        <v>37</v>
      </c>
      <c r="E880" s="5" t="s">
        <v>40</v>
      </c>
      <c r="F880" s="5" t="s">
        <v>37</v>
      </c>
      <c r="G880" s="5" t="s">
        <v>43</v>
      </c>
      <c r="H880" s="6">
        <v>45072</v>
      </c>
      <c r="I880" s="5">
        <v>3</v>
      </c>
      <c r="J880" s="5">
        <v>75.099999999999994</v>
      </c>
      <c r="K880" s="5">
        <v>7.4</v>
      </c>
      <c r="L880" s="5">
        <v>67</v>
      </c>
      <c r="M880" s="5">
        <v>79.599999999999994</v>
      </c>
    </row>
    <row r="881" spans="1:13" x14ac:dyDescent="0.3">
      <c r="A881" s="5">
        <v>89</v>
      </c>
      <c r="B881" s="5" t="s">
        <v>35</v>
      </c>
      <c r="C881" s="5" t="s">
        <v>45</v>
      </c>
      <c r="D881" s="5" t="s">
        <v>37</v>
      </c>
      <c r="E881" s="5" t="s">
        <v>37</v>
      </c>
      <c r="F881" s="5" t="s">
        <v>37</v>
      </c>
      <c r="G881" s="5" t="s">
        <v>43</v>
      </c>
      <c r="H881" s="6">
        <v>45466</v>
      </c>
      <c r="I881" s="5">
        <v>0.6</v>
      </c>
      <c r="J881" s="5">
        <v>70.8</v>
      </c>
      <c r="K881" s="5">
        <v>7.6</v>
      </c>
      <c r="L881" s="5">
        <v>66.75</v>
      </c>
      <c r="M881" s="5">
        <v>74.599999999999994</v>
      </c>
    </row>
    <row r="882" spans="1:13" x14ac:dyDescent="0.3">
      <c r="A882" s="5">
        <v>312</v>
      </c>
      <c r="B882" s="5" t="s">
        <v>35</v>
      </c>
      <c r="C882" s="5"/>
      <c r="D882" s="5" t="s">
        <v>37</v>
      </c>
      <c r="E882" s="5" t="s">
        <v>40</v>
      </c>
      <c r="F882" s="5" t="s">
        <v>37</v>
      </c>
      <c r="G882" s="5" t="s">
        <v>46</v>
      </c>
      <c r="H882" s="6">
        <v>45460</v>
      </c>
      <c r="I882" s="5">
        <v>4.4000000000000004</v>
      </c>
      <c r="J882" s="5">
        <v>69.2</v>
      </c>
      <c r="K882" s="5">
        <v>5.2</v>
      </c>
      <c r="L882" s="5">
        <v>44.9</v>
      </c>
      <c r="M882" s="5">
        <v>62.2</v>
      </c>
    </row>
    <row r="883" spans="1:13" x14ac:dyDescent="0.3">
      <c r="A883" s="5">
        <v>896</v>
      </c>
      <c r="B883" s="5" t="s">
        <v>44</v>
      </c>
      <c r="C883" s="5" t="s">
        <v>42</v>
      </c>
      <c r="D883" s="5" t="s">
        <v>37</v>
      </c>
      <c r="E883" s="5" t="s">
        <v>40</v>
      </c>
      <c r="F883" s="5" t="s">
        <v>40</v>
      </c>
      <c r="G883" s="5" t="s">
        <v>46</v>
      </c>
      <c r="H883" s="6"/>
      <c r="I883" s="5">
        <v>6.9</v>
      </c>
      <c r="J883" s="5">
        <v>82.1</v>
      </c>
      <c r="K883" s="5">
        <v>4</v>
      </c>
      <c r="L883" s="5">
        <v>47.6</v>
      </c>
      <c r="M883" s="5">
        <v>67.900000000000006</v>
      </c>
    </row>
    <row r="884" spans="1:13" x14ac:dyDescent="0.3">
      <c r="A884" s="5">
        <v>93</v>
      </c>
      <c r="B884" s="5" t="s">
        <v>44</v>
      </c>
      <c r="C884" s="5" t="s">
        <v>45</v>
      </c>
      <c r="D884" s="5" t="s">
        <v>37</v>
      </c>
      <c r="E884" s="5" t="s">
        <v>37</v>
      </c>
      <c r="F884" s="5" t="s">
        <v>40</v>
      </c>
      <c r="G884" s="5" t="s">
        <v>43</v>
      </c>
      <c r="H884" s="6">
        <v>45480</v>
      </c>
      <c r="I884" s="5">
        <v>3.1</v>
      </c>
      <c r="J884" s="5">
        <v>88.7</v>
      </c>
      <c r="K884" s="5">
        <v>7.6</v>
      </c>
      <c r="L884" s="5">
        <v>60.2</v>
      </c>
      <c r="M884" s="5">
        <v>73.7</v>
      </c>
    </row>
    <row r="885" spans="1:13" x14ac:dyDescent="0.3">
      <c r="A885" s="5">
        <v>16</v>
      </c>
      <c r="B885" s="5" t="s">
        <v>44</v>
      </c>
      <c r="C885" s="5"/>
      <c r="D885" s="5" t="s">
        <v>37</v>
      </c>
      <c r="E885" s="5" t="s">
        <v>37</v>
      </c>
      <c r="F885" s="5" t="s">
        <v>40</v>
      </c>
      <c r="G885" s="5" t="s">
        <v>38</v>
      </c>
      <c r="H885" s="6">
        <v>45282</v>
      </c>
      <c r="I885" s="5">
        <v>6.7</v>
      </c>
      <c r="J885" s="5">
        <v>81.900000000000006</v>
      </c>
      <c r="K885" s="5">
        <v>7.9</v>
      </c>
      <c r="L885" s="5">
        <v>91.3</v>
      </c>
      <c r="M885" s="5">
        <v>92.4</v>
      </c>
    </row>
    <row r="886" spans="1:13" x14ac:dyDescent="0.3">
      <c r="A886" s="5">
        <v>316</v>
      </c>
      <c r="B886" s="5" t="s">
        <v>35</v>
      </c>
      <c r="C886" s="5" t="s">
        <v>45</v>
      </c>
      <c r="D886" s="5" t="s">
        <v>37</v>
      </c>
      <c r="E886" s="5" t="s">
        <v>40</v>
      </c>
      <c r="F886" s="5" t="s">
        <v>37</v>
      </c>
      <c r="G886" s="5" t="s">
        <v>43</v>
      </c>
      <c r="H886" s="6">
        <v>45106</v>
      </c>
      <c r="I886" s="5">
        <v>0.8</v>
      </c>
      <c r="J886" s="5">
        <v>92.5</v>
      </c>
      <c r="K886" s="5">
        <v>6.2</v>
      </c>
      <c r="L886" s="5">
        <v>70.3</v>
      </c>
      <c r="M886" s="5">
        <v>70.099999999999994</v>
      </c>
    </row>
    <row r="887" spans="1:13" x14ac:dyDescent="0.3">
      <c r="A887" s="5">
        <v>145</v>
      </c>
      <c r="B887" s="5" t="s">
        <v>35</v>
      </c>
      <c r="C887" s="5"/>
      <c r="D887" s="5" t="s">
        <v>37</v>
      </c>
      <c r="E887" s="5" t="s">
        <v>40</v>
      </c>
      <c r="F887" s="5" t="s">
        <v>40</v>
      </c>
      <c r="G887" s="5" t="s">
        <v>43</v>
      </c>
      <c r="H887" s="6"/>
      <c r="I887" s="5">
        <v>1.9</v>
      </c>
      <c r="J887" s="5">
        <v>84.7</v>
      </c>
      <c r="K887" s="5">
        <v>7.8</v>
      </c>
      <c r="L887" s="5">
        <v>70.8</v>
      </c>
      <c r="M887" s="5">
        <v>73.7</v>
      </c>
    </row>
    <row r="888" spans="1:13" x14ac:dyDescent="0.3">
      <c r="A888" s="5">
        <v>761</v>
      </c>
      <c r="B888" s="5" t="s">
        <v>44</v>
      </c>
      <c r="C888" s="5" t="s">
        <v>45</v>
      </c>
      <c r="D888" s="5" t="s">
        <v>40</v>
      </c>
      <c r="E888" s="5" t="s">
        <v>37</v>
      </c>
      <c r="F888" s="5" t="s">
        <v>37</v>
      </c>
      <c r="G888" s="5" t="s">
        <v>41</v>
      </c>
      <c r="H888" s="6">
        <v>44989</v>
      </c>
      <c r="I888" s="5">
        <v>1.9</v>
      </c>
      <c r="J888" s="5">
        <v>68.900000000000006</v>
      </c>
      <c r="K888" s="5">
        <v>5.0999999999999996</v>
      </c>
      <c r="L888" s="5">
        <v>66.7</v>
      </c>
      <c r="M888" s="5">
        <v>52.8</v>
      </c>
    </row>
    <row r="889" spans="1:13" x14ac:dyDescent="0.3">
      <c r="A889" s="5">
        <v>489</v>
      </c>
      <c r="B889" s="5" t="s">
        <v>35</v>
      </c>
      <c r="C889" s="5" t="s">
        <v>42</v>
      </c>
      <c r="D889" s="5" t="s">
        <v>40</v>
      </c>
      <c r="E889" s="5" t="s">
        <v>37</v>
      </c>
      <c r="F889" s="5" t="s">
        <v>40</v>
      </c>
      <c r="G889" s="5" t="s">
        <v>43</v>
      </c>
      <c r="H889" s="6">
        <v>45201</v>
      </c>
      <c r="I889" s="5">
        <v>2.2999999999999998</v>
      </c>
      <c r="J889" s="5">
        <v>81.400000000000006</v>
      </c>
      <c r="K889" s="5">
        <v>7</v>
      </c>
      <c r="L889" s="5">
        <v>44.8</v>
      </c>
      <c r="M889" s="5">
        <v>72.900000000000006</v>
      </c>
    </row>
    <row r="890" spans="1:13" x14ac:dyDescent="0.3">
      <c r="A890" s="5">
        <v>161</v>
      </c>
      <c r="B890" s="5" t="s">
        <v>35</v>
      </c>
      <c r="C890" s="5"/>
      <c r="D890" s="5" t="s">
        <v>37</v>
      </c>
      <c r="E890" s="5" t="s">
        <v>40</v>
      </c>
      <c r="F890" s="5" t="s">
        <v>37</v>
      </c>
      <c r="G890" s="5" t="s">
        <v>47</v>
      </c>
      <c r="H890" s="6">
        <v>45383</v>
      </c>
      <c r="I890" s="5">
        <v>1.8</v>
      </c>
      <c r="J890" s="5">
        <v>84.9</v>
      </c>
      <c r="K890" s="5">
        <v>8.6</v>
      </c>
      <c r="L890" s="5">
        <v>83</v>
      </c>
      <c r="M890" s="5">
        <v>89</v>
      </c>
    </row>
    <row r="891" spans="1:13" x14ac:dyDescent="0.3">
      <c r="A891" s="5">
        <v>199</v>
      </c>
      <c r="B891" s="5" t="s">
        <v>35</v>
      </c>
      <c r="C891" s="5" t="s">
        <v>39</v>
      </c>
      <c r="D891" s="5" t="s">
        <v>37</v>
      </c>
      <c r="E891" s="5" t="s">
        <v>40</v>
      </c>
      <c r="F891" s="5" t="s">
        <v>37</v>
      </c>
      <c r="G891" s="5" t="s">
        <v>46</v>
      </c>
      <c r="H891" s="6">
        <v>45485</v>
      </c>
      <c r="I891" s="5">
        <v>2.6</v>
      </c>
      <c r="J891" s="5">
        <v>89</v>
      </c>
      <c r="K891" s="5">
        <v>8.3000000000000007</v>
      </c>
      <c r="L891" s="5">
        <v>48</v>
      </c>
      <c r="M891" s="5">
        <v>62.7</v>
      </c>
    </row>
    <row r="892" spans="1:13" x14ac:dyDescent="0.3">
      <c r="A892" s="5">
        <v>618</v>
      </c>
      <c r="B892" s="5" t="s">
        <v>35</v>
      </c>
      <c r="C892" s="5" t="s">
        <v>45</v>
      </c>
      <c r="D892" s="5" t="s">
        <v>40</v>
      </c>
      <c r="E892" s="5" t="s">
        <v>37</v>
      </c>
      <c r="F892" s="5" t="s">
        <v>37</v>
      </c>
      <c r="G892" s="5" t="s">
        <v>46</v>
      </c>
      <c r="H892" s="6">
        <v>45035</v>
      </c>
      <c r="I892" s="5">
        <v>4.8</v>
      </c>
      <c r="J892" s="5">
        <v>70.5</v>
      </c>
      <c r="K892" s="5">
        <v>6.5</v>
      </c>
      <c r="L892" s="5">
        <v>65.099999999999994</v>
      </c>
      <c r="M892" s="5">
        <v>64</v>
      </c>
    </row>
    <row r="893" spans="1:13" x14ac:dyDescent="0.3">
      <c r="A893" s="5">
        <v>317</v>
      </c>
      <c r="B893" s="5" t="s">
        <v>35</v>
      </c>
      <c r="C893" s="5"/>
      <c r="D893" s="5"/>
      <c r="E893" s="5" t="s">
        <v>37</v>
      </c>
      <c r="F893" s="5" t="s">
        <v>37</v>
      </c>
      <c r="G893" s="5" t="s">
        <v>43</v>
      </c>
      <c r="H893" s="6">
        <v>45521</v>
      </c>
      <c r="I893" s="5">
        <v>5.5</v>
      </c>
      <c r="J893" s="5">
        <v>78.2</v>
      </c>
      <c r="K893" s="5">
        <v>5.9</v>
      </c>
      <c r="L893" s="5">
        <v>80.5</v>
      </c>
      <c r="M893" s="5">
        <v>79.599999999999994</v>
      </c>
    </row>
    <row r="894" spans="1:13" x14ac:dyDescent="0.3">
      <c r="A894" s="5">
        <v>755</v>
      </c>
      <c r="B894" s="5" t="s">
        <v>35</v>
      </c>
      <c r="C894" s="5" t="s">
        <v>45</v>
      </c>
      <c r="D894" s="5" t="s">
        <v>40</v>
      </c>
      <c r="E894" s="5" t="s">
        <v>40</v>
      </c>
      <c r="F894" s="5" t="s">
        <v>40</v>
      </c>
      <c r="G894" s="5" t="s">
        <v>43</v>
      </c>
      <c r="H894" s="6">
        <v>45236</v>
      </c>
      <c r="I894" s="5">
        <v>6.3</v>
      </c>
      <c r="J894" s="5">
        <v>92</v>
      </c>
      <c r="K894" s="5">
        <v>6.6</v>
      </c>
      <c r="L894" s="5">
        <v>45.1</v>
      </c>
      <c r="M894" s="5">
        <v>73</v>
      </c>
    </row>
    <row r="895" spans="1:13" x14ac:dyDescent="0.3">
      <c r="A895" s="5">
        <v>699</v>
      </c>
      <c r="B895" s="5" t="s">
        <v>44</v>
      </c>
      <c r="C895" s="5" t="s">
        <v>39</v>
      </c>
      <c r="D895" s="5" t="s">
        <v>37</v>
      </c>
      <c r="E895" s="5" t="s">
        <v>37</v>
      </c>
      <c r="F895" s="5" t="s">
        <v>37</v>
      </c>
      <c r="G895" s="5" t="s">
        <v>43</v>
      </c>
      <c r="H895" s="6">
        <v>45454</v>
      </c>
      <c r="I895" s="5">
        <v>1.8</v>
      </c>
      <c r="J895" s="5">
        <v>82.5</v>
      </c>
      <c r="K895" s="5">
        <v>6.6</v>
      </c>
      <c r="L895" s="5">
        <v>76.599999999999994</v>
      </c>
      <c r="M895" s="5">
        <v>79.3</v>
      </c>
    </row>
    <row r="896" spans="1:13" x14ac:dyDescent="0.3">
      <c r="A896" s="5">
        <v>204</v>
      </c>
      <c r="B896" s="5" t="s">
        <v>35</v>
      </c>
      <c r="C896" s="5" t="s">
        <v>42</v>
      </c>
      <c r="D896" s="5" t="s">
        <v>37</v>
      </c>
      <c r="E896" s="5" t="s">
        <v>37</v>
      </c>
      <c r="F896" s="5" t="s">
        <v>37</v>
      </c>
      <c r="G896" s="5" t="s">
        <v>47</v>
      </c>
      <c r="H896" s="6">
        <v>44996</v>
      </c>
      <c r="I896" s="5">
        <v>6.8</v>
      </c>
      <c r="J896" s="5">
        <v>80.8</v>
      </c>
      <c r="K896" s="5">
        <v>4.9000000000000004</v>
      </c>
      <c r="L896" s="5">
        <v>60.9</v>
      </c>
      <c r="M896" s="5">
        <v>80.099999999999994</v>
      </c>
    </row>
    <row r="897" spans="1:13" x14ac:dyDescent="0.3">
      <c r="A897" s="5">
        <v>289</v>
      </c>
      <c r="B897" s="5" t="s">
        <v>35</v>
      </c>
      <c r="C897" s="5" t="s">
        <v>39</v>
      </c>
      <c r="D897" s="5" t="s">
        <v>40</v>
      </c>
      <c r="E897" s="5" t="s">
        <v>37</v>
      </c>
      <c r="F897" s="5" t="s">
        <v>40</v>
      </c>
      <c r="G897" s="5" t="s">
        <v>46</v>
      </c>
      <c r="H897" s="6">
        <v>45227</v>
      </c>
      <c r="I897" s="5">
        <v>1.1000000000000001</v>
      </c>
      <c r="J897" s="5">
        <v>79.2</v>
      </c>
      <c r="K897" s="5">
        <v>8.6999999999999993</v>
      </c>
      <c r="L897" s="5">
        <v>62.4</v>
      </c>
      <c r="M897" s="5">
        <v>63.7</v>
      </c>
    </row>
    <row r="898" spans="1:13" x14ac:dyDescent="0.3">
      <c r="A898" s="5">
        <v>540</v>
      </c>
      <c r="B898" s="5" t="s">
        <v>44</v>
      </c>
      <c r="C898" s="5" t="s">
        <v>45</v>
      </c>
      <c r="D898" s="5" t="s">
        <v>37</v>
      </c>
      <c r="E898" s="5" t="s">
        <v>37</v>
      </c>
      <c r="F898" s="5" t="s">
        <v>40</v>
      </c>
      <c r="G898" s="5" t="s">
        <v>47</v>
      </c>
      <c r="H898" s="6">
        <v>45100</v>
      </c>
      <c r="I898" s="5">
        <v>5.5</v>
      </c>
      <c r="J898" s="5">
        <v>88.2</v>
      </c>
      <c r="K898" s="5">
        <v>4.5999999999999996</v>
      </c>
      <c r="L898" s="5">
        <v>73.099999999999994</v>
      </c>
      <c r="M898" s="5">
        <v>84.6</v>
      </c>
    </row>
    <row r="899" spans="1:13" x14ac:dyDescent="0.3">
      <c r="A899" s="5">
        <v>616</v>
      </c>
      <c r="B899" s="5" t="s">
        <v>35</v>
      </c>
      <c r="C899" s="5" t="s">
        <v>36</v>
      </c>
      <c r="D899" s="5" t="s">
        <v>37</v>
      </c>
      <c r="E899" s="5" t="s">
        <v>37</v>
      </c>
      <c r="F899" s="5" t="s">
        <v>37</v>
      </c>
      <c r="G899" s="5" t="s">
        <v>43</v>
      </c>
      <c r="H899" s="6">
        <v>45182</v>
      </c>
      <c r="I899" s="5">
        <v>4.9000000000000004</v>
      </c>
      <c r="J899" s="5">
        <v>80.900000000000006</v>
      </c>
      <c r="K899" s="5">
        <v>5.4</v>
      </c>
      <c r="L899" s="5">
        <v>74.7</v>
      </c>
      <c r="M899" s="5">
        <v>79</v>
      </c>
    </row>
    <row r="900" spans="1:13" x14ac:dyDescent="0.3">
      <c r="A900" s="5">
        <v>279</v>
      </c>
      <c r="B900" s="5" t="s">
        <v>35</v>
      </c>
      <c r="C900" s="5" t="s">
        <v>42</v>
      </c>
      <c r="D900" s="5" t="s">
        <v>37</v>
      </c>
      <c r="E900" s="5" t="s">
        <v>40</v>
      </c>
      <c r="F900" s="5" t="s">
        <v>40</v>
      </c>
      <c r="G900" s="5" t="s">
        <v>43</v>
      </c>
      <c r="H900" s="6">
        <v>45264</v>
      </c>
      <c r="I900" s="5">
        <v>6.6</v>
      </c>
      <c r="J900" s="5">
        <v>82.2</v>
      </c>
      <c r="K900" s="5">
        <v>6.7</v>
      </c>
      <c r="L900" s="5">
        <v>42.2</v>
      </c>
      <c r="M900" s="5">
        <v>70.8</v>
      </c>
    </row>
    <row r="901" spans="1:13" x14ac:dyDescent="0.3">
      <c r="A901" s="5">
        <v>99</v>
      </c>
      <c r="B901" s="5" t="s">
        <v>44</v>
      </c>
      <c r="C901" s="5" t="s">
        <v>45</v>
      </c>
      <c r="D901" s="5" t="s">
        <v>37</v>
      </c>
      <c r="E901" s="5" t="s">
        <v>37</v>
      </c>
      <c r="F901" s="5" t="s">
        <v>40</v>
      </c>
      <c r="G901" s="5" t="s">
        <v>41</v>
      </c>
      <c r="H901" s="6">
        <v>45174</v>
      </c>
      <c r="I901" s="5">
        <v>3.1</v>
      </c>
      <c r="J901" s="5">
        <v>69.599999999999994</v>
      </c>
      <c r="K901" s="5">
        <v>4.8</v>
      </c>
      <c r="L901" s="5">
        <v>49.6</v>
      </c>
      <c r="M901" s="5">
        <v>74.099999999999994</v>
      </c>
    </row>
    <row r="902" spans="1:13" x14ac:dyDescent="0.3">
      <c r="A902" s="5">
        <v>320</v>
      </c>
      <c r="B902" s="5" t="s">
        <v>35</v>
      </c>
      <c r="C902" s="5" t="s">
        <v>45</v>
      </c>
      <c r="D902" s="5" t="s">
        <v>37</v>
      </c>
      <c r="E902" s="5" t="s">
        <v>37</v>
      </c>
      <c r="F902" s="5" t="s">
        <v>37</v>
      </c>
      <c r="G902" s="5" t="s">
        <v>43</v>
      </c>
      <c r="H902" s="6">
        <v>45045</v>
      </c>
      <c r="I902" s="5">
        <v>2.2999999999999998</v>
      </c>
      <c r="J902" s="5">
        <v>79</v>
      </c>
      <c r="K902" s="5">
        <v>6.6</v>
      </c>
      <c r="L902" s="5">
        <v>68</v>
      </c>
      <c r="M902" s="5">
        <v>71.599999999999994</v>
      </c>
    </row>
    <row r="903" spans="1:13" x14ac:dyDescent="0.3">
      <c r="A903" s="5">
        <v>267</v>
      </c>
      <c r="B903" s="5" t="s">
        <v>44</v>
      </c>
      <c r="C903" s="5"/>
      <c r="D903" s="5" t="s">
        <v>37</v>
      </c>
      <c r="E903" s="5" t="s">
        <v>40</v>
      </c>
      <c r="F903" s="5" t="s">
        <v>40</v>
      </c>
      <c r="G903" s="5" t="s">
        <v>41</v>
      </c>
      <c r="H903" s="6">
        <v>45476</v>
      </c>
      <c r="I903" s="5">
        <v>1.3</v>
      </c>
      <c r="J903" s="5">
        <v>84.4</v>
      </c>
      <c r="K903" s="5">
        <v>7</v>
      </c>
      <c r="L903" s="5">
        <v>83.3</v>
      </c>
      <c r="M903" s="5">
        <v>44.6</v>
      </c>
    </row>
    <row r="904" spans="1:13" x14ac:dyDescent="0.3">
      <c r="A904" s="5">
        <v>234</v>
      </c>
      <c r="B904" s="5" t="s">
        <v>35</v>
      </c>
      <c r="C904" s="5" t="s">
        <v>36</v>
      </c>
      <c r="D904" s="5" t="s">
        <v>37</v>
      </c>
      <c r="E904" s="5" t="s">
        <v>37</v>
      </c>
      <c r="F904" s="5" t="s">
        <v>40</v>
      </c>
      <c r="G904" s="5" t="s">
        <v>38</v>
      </c>
      <c r="H904" s="6">
        <v>45445</v>
      </c>
      <c r="I904" s="5">
        <v>1.3</v>
      </c>
      <c r="J904" s="5">
        <v>93.2</v>
      </c>
      <c r="K904" s="5">
        <v>8.6999999999999993</v>
      </c>
      <c r="L904" s="5">
        <v>94.6</v>
      </c>
      <c r="M904" s="5">
        <v>90</v>
      </c>
    </row>
    <row r="905" spans="1:13" x14ac:dyDescent="0.3">
      <c r="A905" s="5">
        <v>368</v>
      </c>
      <c r="B905" s="5" t="s">
        <v>44</v>
      </c>
      <c r="C905" s="5"/>
      <c r="D905" s="5" t="s">
        <v>37</v>
      </c>
      <c r="E905" s="5" t="s">
        <v>37</v>
      </c>
      <c r="F905" s="5" t="s">
        <v>37</v>
      </c>
      <c r="G905" s="5" t="s">
        <v>38</v>
      </c>
      <c r="H905" s="6">
        <v>45140</v>
      </c>
      <c r="I905" s="5">
        <v>6.6</v>
      </c>
      <c r="J905" s="5">
        <v>97.8</v>
      </c>
      <c r="K905" s="5">
        <v>6.7</v>
      </c>
      <c r="L905" s="5">
        <v>79.2</v>
      </c>
      <c r="M905" s="5">
        <v>100</v>
      </c>
    </row>
    <row r="906" spans="1:13" x14ac:dyDescent="0.3">
      <c r="A906" s="5">
        <v>153</v>
      </c>
      <c r="B906" s="5" t="s">
        <v>35</v>
      </c>
      <c r="C906" s="5" t="s">
        <v>42</v>
      </c>
      <c r="D906" s="5" t="s">
        <v>37</v>
      </c>
      <c r="E906" s="5" t="s">
        <v>40</v>
      </c>
      <c r="F906" s="5" t="s">
        <v>40</v>
      </c>
      <c r="G906" s="5" t="s">
        <v>43</v>
      </c>
      <c r="H906" s="6">
        <v>45402</v>
      </c>
      <c r="I906" s="5">
        <v>3.1</v>
      </c>
      <c r="J906" s="5">
        <v>82.2</v>
      </c>
      <c r="K906" s="5">
        <v>8.9</v>
      </c>
      <c r="L906" s="5">
        <v>66.75</v>
      </c>
      <c r="M906" s="5">
        <v>75.900000000000006</v>
      </c>
    </row>
    <row r="907" spans="1:13" x14ac:dyDescent="0.3">
      <c r="A907" s="5">
        <v>506</v>
      </c>
      <c r="B907" s="5" t="s">
        <v>44</v>
      </c>
      <c r="C907" s="5" t="s">
        <v>36</v>
      </c>
      <c r="D907" s="5" t="s">
        <v>37</v>
      </c>
      <c r="E907" s="5" t="s">
        <v>40</v>
      </c>
      <c r="F907" s="5" t="s">
        <v>37</v>
      </c>
      <c r="G907" s="5" t="s">
        <v>43</v>
      </c>
      <c r="H907" s="6">
        <v>45649</v>
      </c>
      <c r="I907" s="5">
        <v>5.5</v>
      </c>
      <c r="J907" s="5">
        <v>90.3</v>
      </c>
      <c r="K907" s="5">
        <v>4.0999999999999996</v>
      </c>
      <c r="L907" s="5">
        <v>51.5</v>
      </c>
      <c r="M907" s="5">
        <v>70.099999999999994</v>
      </c>
    </row>
    <row r="908" spans="1:13" x14ac:dyDescent="0.3">
      <c r="A908" s="5">
        <v>757</v>
      </c>
      <c r="B908" s="5" t="s">
        <v>35</v>
      </c>
      <c r="C908" s="5" t="s">
        <v>39</v>
      </c>
      <c r="D908" s="5" t="s">
        <v>37</v>
      </c>
      <c r="E908" s="5" t="s">
        <v>40</v>
      </c>
      <c r="F908" s="5" t="s">
        <v>40</v>
      </c>
      <c r="G908" s="5" t="s">
        <v>47</v>
      </c>
      <c r="H908" s="6">
        <v>44937</v>
      </c>
      <c r="I908" s="5">
        <v>3.7</v>
      </c>
      <c r="J908" s="5">
        <v>66.2</v>
      </c>
      <c r="K908" s="5">
        <v>6.9</v>
      </c>
      <c r="L908" s="5">
        <v>72.2</v>
      </c>
      <c r="M908" s="5">
        <v>84.1</v>
      </c>
    </row>
    <row r="909" spans="1:13" x14ac:dyDescent="0.3">
      <c r="A909" s="5">
        <v>913</v>
      </c>
      <c r="B909" s="5" t="s">
        <v>35</v>
      </c>
      <c r="C909" s="5" t="s">
        <v>36</v>
      </c>
      <c r="D909" s="5" t="s">
        <v>37</v>
      </c>
      <c r="E909" s="5" t="s">
        <v>40</v>
      </c>
      <c r="F909" s="5" t="s">
        <v>40</v>
      </c>
      <c r="G909" s="5" t="s">
        <v>43</v>
      </c>
      <c r="H909" s="6">
        <v>45079</v>
      </c>
      <c r="I909" s="5">
        <v>1.6</v>
      </c>
      <c r="J909" s="5">
        <v>98.2</v>
      </c>
      <c r="K909" s="5">
        <v>7.3</v>
      </c>
      <c r="L909" s="5">
        <v>71.5</v>
      </c>
      <c r="M909" s="5">
        <v>73</v>
      </c>
    </row>
    <row r="910" spans="1:13" x14ac:dyDescent="0.3">
      <c r="A910" s="5">
        <v>567</v>
      </c>
      <c r="B910" s="5" t="s">
        <v>44</v>
      </c>
      <c r="C910" s="5" t="s">
        <v>42</v>
      </c>
      <c r="D910" s="5" t="s">
        <v>37</v>
      </c>
      <c r="E910" s="5" t="s">
        <v>37</v>
      </c>
      <c r="F910" s="5" t="s">
        <v>40</v>
      </c>
      <c r="G910" s="5" t="s">
        <v>46</v>
      </c>
      <c r="H910" s="6">
        <v>45052</v>
      </c>
      <c r="I910" s="5">
        <v>1.6</v>
      </c>
      <c r="J910" s="5">
        <v>75.099999999999994</v>
      </c>
      <c r="K910" s="5">
        <v>6.7</v>
      </c>
      <c r="L910" s="5">
        <v>80.2</v>
      </c>
      <c r="M910" s="5">
        <v>63.7</v>
      </c>
    </row>
    <row r="911" spans="1:13" x14ac:dyDescent="0.3">
      <c r="A911" s="5">
        <v>43</v>
      </c>
      <c r="B911" s="5" t="s">
        <v>44</v>
      </c>
      <c r="C911" s="5" t="s">
        <v>42</v>
      </c>
      <c r="D911" s="5" t="s">
        <v>37</v>
      </c>
      <c r="E911" s="5" t="s">
        <v>40</v>
      </c>
      <c r="F911" s="5" t="s">
        <v>40</v>
      </c>
      <c r="G911" s="5" t="s">
        <v>38</v>
      </c>
      <c r="H911" s="6">
        <v>45647</v>
      </c>
      <c r="I911" s="5">
        <v>6.6</v>
      </c>
      <c r="J911" s="5">
        <v>92.3</v>
      </c>
      <c r="K911" s="5">
        <v>6.4</v>
      </c>
      <c r="L911" s="5">
        <v>92.1</v>
      </c>
      <c r="M911" s="5">
        <v>100</v>
      </c>
    </row>
    <row r="912" spans="1:13" x14ac:dyDescent="0.3">
      <c r="A912" s="5">
        <v>832</v>
      </c>
      <c r="B912" s="5" t="s">
        <v>35</v>
      </c>
      <c r="C912" s="5" t="s">
        <v>42</v>
      </c>
      <c r="D912" s="5"/>
      <c r="E912" s="5" t="s">
        <v>40</v>
      </c>
      <c r="F912" s="5" t="s">
        <v>40</v>
      </c>
      <c r="G912" s="5" t="s">
        <v>41</v>
      </c>
      <c r="H912" s="6">
        <v>45064</v>
      </c>
      <c r="I912" s="5">
        <v>4.8</v>
      </c>
      <c r="J912" s="5">
        <v>65.8</v>
      </c>
      <c r="K912" s="5">
        <v>6.5</v>
      </c>
      <c r="L912" s="5">
        <v>67</v>
      </c>
      <c r="M912" s="5">
        <v>59.1</v>
      </c>
    </row>
    <row r="913" spans="1:13" x14ac:dyDescent="0.3">
      <c r="A913" s="5">
        <v>766</v>
      </c>
      <c r="B913" s="5" t="s">
        <v>35</v>
      </c>
      <c r="C913" s="5" t="s">
        <v>36</v>
      </c>
      <c r="D913" s="5" t="s">
        <v>37</v>
      </c>
      <c r="E913" s="5" t="s">
        <v>40</v>
      </c>
      <c r="F913" s="5" t="s">
        <v>40</v>
      </c>
      <c r="G913" s="5" t="s">
        <v>46</v>
      </c>
      <c r="H913" s="6">
        <v>45517</v>
      </c>
      <c r="I913" s="5">
        <v>2.6</v>
      </c>
      <c r="J913" s="5">
        <v>81.7</v>
      </c>
      <c r="K913" s="5">
        <v>8.1</v>
      </c>
      <c r="L913" s="5">
        <v>57.2</v>
      </c>
      <c r="M913" s="5">
        <v>60.1</v>
      </c>
    </row>
    <row r="914" spans="1:13" x14ac:dyDescent="0.3">
      <c r="A914" s="5">
        <v>716</v>
      </c>
      <c r="B914" s="5" t="s">
        <v>35</v>
      </c>
      <c r="C914" s="5" t="s">
        <v>42</v>
      </c>
      <c r="D914" s="5" t="s">
        <v>37</v>
      </c>
      <c r="E914" s="5" t="s">
        <v>37</v>
      </c>
      <c r="F914" s="5" t="s">
        <v>40</v>
      </c>
      <c r="G914" s="5" t="s">
        <v>43</v>
      </c>
      <c r="H914" s="6">
        <v>45632</v>
      </c>
      <c r="I914" s="5">
        <v>2.2999999999999998</v>
      </c>
      <c r="J914" s="5">
        <v>88.4</v>
      </c>
      <c r="K914" s="5">
        <v>7.7</v>
      </c>
      <c r="L914" s="5">
        <v>77.8</v>
      </c>
      <c r="M914" s="5">
        <v>71.7</v>
      </c>
    </row>
    <row r="915" spans="1:13" x14ac:dyDescent="0.3">
      <c r="A915" s="5">
        <v>892</v>
      </c>
      <c r="B915" s="5" t="s">
        <v>44</v>
      </c>
      <c r="C915" s="5" t="s">
        <v>42</v>
      </c>
      <c r="D915" s="5" t="s">
        <v>37</v>
      </c>
      <c r="E915" s="5" t="s">
        <v>40</v>
      </c>
      <c r="F915" s="5" t="s">
        <v>40</v>
      </c>
      <c r="G915" s="5" t="s">
        <v>43</v>
      </c>
      <c r="H915" s="6">
        <v>45540</v>
      </c>
      <c r="I915" s="5">
        <v>1</v>
      </c>
      <c r="J915" s="5">
        <v>83.5</v>
      </c>
      <c r="K915" s="5">
        <v>4.9000000000000004</v>
      </c>
      <c r="L915" s="5">
        <v>90.9</v>
      </c>
      <c r="M915" s="5">
        <v>77.2</v>
      </c>
    </row>
    <row r="916" spans="1:13" x14ac:dyDescent="0.3">
      <c r="A916" s="5">
        <v>78</v>
      </c>
      <c r="B916" s="5" t="s">
        <v>44</v>
      </c>
      <c r="C916" s="5" t="s">
        <v>42</v>
      </c>
      <c r="D916" s="5" t="s">
        <v>37</v>
      </c>
      <c r="E916" s="5" t="s">
        <v>40</v>
      </c>
      <c r="F916" s="5" t="s">
        <v>37</v>
      </c>
      <c r="G916" s="5" t="s">
        <v>47</v>
      </c>
      <c r="H916" s="6">
        <v>45103</v>
      </c>
      <c r="I916" s="5">
        <v>5.3</v>
      </c>
      <c r="J916" s="5">
        <v>85.7</v>
      </c>
      <c r="K916" s="5">
        <v>7.3</v>
      </c>
      <c r="L916" s="5">
        <v>44.3</v>
      </c>
      <c r="M916" s="5">
        <v>89.7</v>
      </c>
    </row>
    <row r="917" spans="1:13" x14ac:dyDescent="0.3">
      <c r="A917" s="5">
        <v>50</v>
      </c>
      <c r="B917" s="5" t="s">
        <v>44</v>
      </c>
      <c r="C917" s="5"/>
      <c r="D917" s="5" t="s">
        <v>37</v>
      </c>
      <c r="E917" s="5" t="s">
        <v>40</v>
      </c>
      <c r="F917" s="5" t="s">
        <v>40</v>
      </c>
      <c r="G917" s="5" t="s">
        <v>46</v>
      </c>
      <c r="H917" s="6">
        <v>44966</v>
      </c>
      <c r="I917" s="5">
        <v>2.2999999999999998</v>
      </c>
      <c r="J917" s="5">
        <v>83.5</v>
      </c>
      <c r="K917" s="5">
        <v>8.9</v>
      </c>
      <c r="L917" s="5">
        <v>37.5</v>
      </c>
      <c r="M917" s="5">
        <v>62.9</v>
      </c>
    </row>
    <row r="918" spans="1:13" x14ac:dyDescent="0.3">
      <c r="A918" s="5">
        <v>649</v>
      </c>
      <c r="B918" s="5" t="s">
        <v>35</v>
      </c>
      <c r="C918" s="5" t="s">
        <v>39</v>
      </c>
      <c r="D918" s="5" t="s">
        <v>40</v>
      </c>
      <c r="E918" s="5" t="s">
        <v>40</v>
      </c>
      <c r="F918" s="5" t="s">
        <v>37</v>
      </c>
      <c r="G918" s="5" t="s">
        <v>41</v>
      </c>
      <c r="H918" s="6"/>
      <c r="I918" s="5">
        <v>1.9</v>
      </c>
      <c r="J918" s="5">
        <v>68.5</v>
      </c>
      <c r="K918" s="5">
        <v>6.5</v>
      </c>
      <c r="L918" s="5">
        <v>50.1</v>
      </c>
      <c r="M918" s="5">
        <v>56.2</v>
      </c>
    </row>
    <row r="919" spans="1:13" x14ac:dyDescent="0.3">
      <c r="A919" s="5">
        <v>233</v>
      </c>
      <c r="B919" s="5" t="s">
        <v>44</v>
      </c>
      <c r="C919" s="5" t="s">
        <v>39</v>
      </c>
      <c r="D919" s="5" t="s">
        <v>37</v>
      </c>
      <c r="E919" s="5" t="s">
        <v>40</v>
      </c>
      <c r="F919" s="5" t="s">
        <v>40</v>
      </c>
      <c r="G919" s="5" t="s">
        <v>47</v>
      </c>
      <c r="H919" s="6">
        <v>44955</v>
      </c>
      <c r="I919" s="5">
        <v>4.2</v>
      </c>
      <c r="J919" s="5">
        <v>72.5</v>
      </c>
      <c r="K919" s="5">
        <v>8.5</v>
      </c>
      <c r="L919" s="5">
        <v>42.4</v>
      </c>
      <c r="M919" s="5">
        <v>86</v>
      </c>
    </row>
    <row r="920" spans="1:13" x14ac:dyDescent="0.3">
      <c r="A920" s="5">
        <v>524</v>
      </c>
      <c r="B920" s="5" t="s">
        <v>44</v>
      </c>
      <c r="C920" s="5" t="s">
        <v>42</v>
      </c>
      <c r="D920" s="5" t="s">
        <v>37</v>
      </c>
      <c r="E920" s="5" t="s">
        <v>40</v>
      </c>
      <c r="F920" s="5" t="s">
        <v>37</v>
      </c>
      <c r="G920" s="5" t="s">
        <v>41</v>
      </c>
      <c r="H920" s="6">
        <v>45374</v>
      </c>
      <c r="I920" s="5">
        <v>1.5</v>
      </c>
      <c r="J920" s="5">
        <v>80.599999999999994</v>
      </c>
      <c r="K920" s="5">
        <v>6.7</v>
      </c>
      <c r="L920" s="5">
        <v>55.2</v>
      </c>
      <c r="M920" s="5">
        <v>57</v>
      </c>
    </row>
    <row r="921" spans="1:13" x14ac:dyDescent="0.3">
      <c r="A921" s="5">
        <v>555</v>
      </c>
      <c r="B921" s="5" t="s">
        <v>35</v>
      </c>
      <c r="C921" s="5" t="s">
        <v>42</v>
      </c>
      <c r="D921" s="5" t="s">
        <v>37</v>
      </c>
      <c r="E921" s="5" t="s">
        <v>37</v>
      </c>
      <c r="F921" s="5" t="s">
        <v>37</v>
      </c>
      <c r="G921" s="5" t="s">
        <v>46</v>
      </c>
      <c r="H921" s="6">
        <v>45486</v>
      </c>
      <c r="I921" s="5">
        <v>2.8</v>
      </c>
      <c r="J921" s="5">
        <v>86.5</v>
      </c>
      <c r="K921" s="5">
        <v>5.0999999999999996</v>
      </c>
      <c r="L921" s="5">
        <v>37.6</v>
      </c>
      <c r="M921" s="5">
        <v>60.2</v>
      </c>
    </row>
    <row r="922" spans="1:13" x14ac:dyDescent="0.3">
      <c r="A922" s="5">
        <v>877</v>
      </c>
      <c r="B922" s="5" t="s">
        <v>35</v>
      </c>
      <c r="C922" s="5" t="s">
        <v>39</v>
      </c>
      <c r="D922" s="5" t="s">
        <v>37</v>
      </c>
      <c r="E922" s="5" t="s">
        <v>40</v>
      </c>
      <c r="F922" s="5" t="s">
        <v>40</v>
      </c>
      <c r="G922" s="5" t="s">
        <v>46</v>
      </c>
      <c r="H922" s="6">
        <v>45532</v>
      </c>
      <c r="I922" s="5">
        <v>4.8</v>
      </c>
      <c r="J922" s="5">
        <v>98.4</v>
      </c>
      <c r="K922" s="5">
        <v>4.9000000000000004</v>
      </c>
      <c r="L922" s="5">
        <v>56.7</v>
      </c>
      <c r="M922" s="5">
        <v>68</v>
      </c>
    </row>
    <row r="923" spans="1:13" x14ac:dyDescent="0.3">
      <c r="A923" s="5">
        <v>519</v>
      </c>
      <c r="B923" s="5" t="s">
        <v>35</v>
      </c>
      <c r="C923" s="5" t="s">
        <v>45</v>
      </c>
      <c r="D923" s="5" t="s">
        <v>37</v>
      </c>
      <c r="E923" s="5" t="s">
        <v>40</v>
      </c>
      <c r="F923" s="5" t="s">
        <v>40</v>
      </c>
      <c r="G923" s="5" t="s">
        <v>47</v>
      </c>
      <c r="H923" s="6">
        <v>44983</v>
      </c>
      <c r="I923" s="5">
        <v>4.8</v>
      </c>
      <c r="J923" s="5">
        <v>82.2</v>
      </c>
      <c r="K923" s="5">
        <v>4.5999999999999996</v>
      </c>
      <c r="L923" s="5">
        <v>91.6</v>
      </c>
      <c r="M923" s="5">
        <v>83</v>
      </c>
    </row>
    <row r="924" spans="1:13" x14ac:dyDescent="0.3">
      <c r="A924" s="5">
        <v>402</v>
      </c>
      <c r="B924" s="5" t="s">
        <v>44</v>
      </c>
      <c r="C924" s="5" t="s">
        <v>45</v>
      </c>
      <c r="D924" s="5" t="s">
        <v>37</v>
      </c>
      <c r="E924" s="5" t="s">
        <v>40</v>
      </c>
      <c r="F924" s="5" t="s">
        <v>40</v>
      </c>
      <c r="G924" s="5" t="s">
        <v>43</v>
      </c>
      <c r="H924" s="6">
        <v>45256</v>
      </c>
      <c r="I924" s="5">
        <v>2.6</v>
      </c>
      <c r="J924" s="5">
        <v>98.7</v>
      </c>
      <c r="K924" s="5">
        <v>6.7</v>
      </c>
      <c r="L924" s="5">
        <v>75.099999999999994</v>
      </c>
      <c r="M924" s="5">
        <v>79</v>
      </c>
    </row>
    <row r="925" spans="1:13" x14ac:dyDescent="0.3">
      <c r="A925" s="5">
        <v>208</v>
      </c>
      <c r="B925" s="5" t="s">
        <v>44</v>
      </c>
      <c r="C925" s="5" t="s">
        <v>39</v>
      </c>
      <c r="D925" s="5" t="s">
        <v>37</v>
      </c>
      <c r="E925" s="5" t="s">
        <v>40</v>
      </c>
      <c r="F925" s="5" t="s">
        <v>40</v>
      </c>
      <c r="G925" s="5" t="s">
        <v>43</v>
      </c>
      <c r="H925" s="6">
        <v>45248</v>
      </c>
      <c r="I925" s="5">
        <v>1.8</v>
      </c>
      <c r="J925" s="5">
        <v>83.5</v>
      </c>
      <c r="K925" s="5">
        <v>8.1999999999999993</v>
      </c>
      <c r="L925" s="5">
        <v>94.1</v>
      </c>
      <c r="M925" s="5">
        <v>77</v>
      </c>
    </row>
    <row r="926" spans="1:13" x14ac:dyDescent="0.3">
      <c r="A926" s="5">
        <v>190</v>
      </c>
      <c r="B926" s="5" t="s">
        <v>35</v>
      </c>
      <c r="C926" s="5" t="s">
        <v>42</v>
      </c>
      <c r="D926" s="5" t="s">
        <v>40</v>
      </c>
      <c r="E926" s="5" t="s">
        <v>37</v>
      </c>
      <c r="F926" s="5" t="s">
        <v>40</v>
      </c>
      <c r="G926" s="5" t="s">
        <v>43</v>
      </c>
      <c r="H926" s="6">
        <v>45134</v>
      </c>
      <c r="I926" s="5">
        <v>6.9</v>
      </c>
      <c r="J926" s="5">
        <v>68.3</v>
      </c>
      <c r="K926" s="5">
        <v>6.1</v>
      </c>
      <c r="L926" s="5">
        <v>58</v>
      </c>
      <c r="M926" s="5">
        <v>71</v>
      </c>
    </row>
    <row r="927" spans="1:13" x14ac:dyDescent="0.3">
      <c r="A927" s="5">
        <v>698</v>
      </c>
      <c r="B927" s="5" t="s">
        <v>35</v>
      </c>
      <c r="C927" s="5" t="s">
        <v>36</v>
      </c>
      <c r="D927" s="5" t="s">
        <v>37</v>
      </c>
      <c r="E927" s="5" t="s">
        <v>37</v>
      </c>
      <c r="F927" s="5" t="s">
        <v>40</v>
      </c>
      <c r="G927" s="5" t="s">
        <v>38</v>
      </c>
      <c r="H927" s="6">
        <v>45508</v>
      </c>
      <c r="I927" s="5">
        <v>6.5</v>
      </c>
      <c r="J927" s="5">
        <v>96.8</v>
      </c>
      <c r="K927" s="5">
        <v>6.5</v>
      </c>
      <c r="L927" s="5">
        <v>73.7</v>
      </c>
      <c r="M927" s="5">
        <v>93.2</v>
      </c>
    </row>
    <row r="928" spans="1:13" x14ac:dyDescent="0.3">
      <c r="A928" s="5">
        <v>421</v>
      </c>
      <c r="B928" s="5" t="s">
        <v>35</v>
      </c>
      <c r="C928" s="5" t="s">
        <v>45</v>
      </c>
      <c r="D928" s="5" t="s">
        <v>37</v>
      </c>
      <c r="E928" s="5" t="s">
        <v>40</v>
      </c>
      <c r="F928" s="5" t="s">
        <v>40</v>
      </c>
      <c r="G928" s="5" t="s">
        <v>43</v>
      </c>
      <c r="H928" s="6">
        <v>45039</v>
      </c>
      <c r="I928" s="5">
        <v>5</v>
      </c>
      <c r="J928" s="5">
        <v>72.8</v>
      </c>
      <c r="K928" s="5">
        <v>5.6</v>
      </c>
      <c r="L928" s="5">
        <v>74.2</v>
      </c>
      <c r="M928" s="5">
        <v>76.2</v>
      </c>
    </row>
    <row r="929" spans="1:13" x14ac:dyDescent="0.3">
      <c r="A929" s="5">
        <v>599</v>
      </c>
      <c r="B929" s="5" t="s">
        <v>44</v>
      </c>
      <c r="C929" s="5" t="s">
        <v>42</v>
      </c>
      <c r="D929" s="5" t="s">
        <v>37</v>
      </c>
      <c r="E929" s="5" t="s">
        <v>37</v>
      </c>
      <c r="F929" s="5" t="s">
        <v>40</v>
      </c>
      <c r="G929" s="5" t="s">
        <v>46</v>
      </c>
      <c r="H929" s="6">
        <v>44956</v>
      </c>
      <c r="I929" s="5">
        <v>3.2</v>
      </c>
      <c r="J929" s="5">
        <v>75.900000000000006</v>
      </c>
      <c r="K929" s="5">
        <v>5.6</v>
      </c>
      <c r="L929" s="5">
        <v>47.1</v>
      </c>
      <c r="M929" s="5">
        <v>61.8</v>
      </c>
    </row>
    <row r="930" spans="1:13" x14ac:dyDescent="0.3">
      <c r="A930" s="5">
        <v>800</v>
      </c>
      <c r="B930" s="5" t="s">
        <v>44</v>
      </c>
      <c r="C930" s="5" t="s">
        <v>45</v>
      </c>
      <c r="D930" s="5" t="s">
        <v>37</v>
      </c>
      <c r="E930" s="5" t="s">
        <v>40</v>
      </c>
      <c r="F930" s="5" t="s">
        <v>37</v>
      </c>
      <c r="G930" s="5" t="s">
        <v>43</v>
      </c>
      <c r="H930" s="6">
        <v>45522</v>
      </c>
      <c r="I930" s="5">
        <v>3.8</v>
      </c>
      <c r="J930" s="5">
        <v>92.5</v>
      </c>
      <c r="K930" s="5">
        <v>7.3</v>
      </c>
      <c r="L930" s="5">
        <v>76.5</v>
      </c>
      <c r="M930" s="5">
        <v>73.8</v>
      </c>
    </row>
    <row r="931" spans="1:13" x14ac:dyDescent="0.3">
      <c r="A931" s="5">
        <v>37</v>
      </c>
      <c r="B931" s="5" t="s">
        <v>44</v>
      </c>
      <c r="C931" s="5" t="s">
        <v>36</v>
      </c>
      <c r="D931" s="5" t="s">
        <v>37</v>
      </c>
      <c r="E931" s="5" t="s">
        <v>37</v>
      </c>
      <c r="F931" s="5" t="s">
        <v>37</v>
      </c>
      <c r="G931" s="5" t="s">
        <v>47</v>
      </c>
      <c r="H931" s="6">
        <v>45463</v>
      </c>
      <c r="I931" s="5">
        <v>5.7</v>
      </c>
      <c r="J931" s="5">
        <v>83.6</v>
      </c>
      <c r="K931" s="5">
        <v>7.2</v>
      </c>
      <c r="L931" s="5">
        <v>76.7</v>
      </c>
      <c r="M931" s="5">
        <v>86.7</v>
      </c>
    </row>
    <row r="932" spans="1:13" x14ac:dyDescent="0.3">
      <c r="A932" s="5">
        <v>271</v>
      </c>
      <c r="B932" s="5" t="s">
        <v>44</v>
      </c>
      <c r="C932" s="5" t="s">
        <v>45</v>
      </c>
      <c r="D932" s="5" t="s">
        <v>37</v>
      </c>
      <c r="E932" s="5" t="s">
        <v>37</v>
      </c>
      <c r="F932" s="5" t="s">
        <v>40</v>
      </c>
      <c r="G932" s="5" t="s">
        <v>38</v>
      </c>
      <c r="H932" s="6">
        <v>45246</v>
      </c>
      <c r="I932" s="5">
        <v>5</v>
      </c>
      <c r="J932" s="5">
        <v>98.5</v>
      </c>
      <c r="K932" s="5">
        <v>6.9</v>
      </c>
      <c r="L932" s="5">
        <v>94.9</v>
      </c>
      <c r="M932" s="5">
        <v>98.4</v>
      </c>
    </row>
    <row r="933" spans="1:13" x14ac:dyDescent="0.3">
      <c r="A933" s="5">
        <v>159</v>
      </c>
      <c r="B933" s="5" t="s">
        <v>44</v>
      </c>
      <c r="C933" s="5" t="s">
        <v>45</v>
      </c>
      <c r="D933" s="5" t="s">
        <v>37</v>
      </c>
      <c r="E933" s="5" t="s">
        <v>37</v>
      </c>
      <c r="F933" s="5" t="s">
        <v>40</v>
      </c>
      <c r="G933" s="5" t="s">
        <v>41</v>
      </c>
      <c r="H933" s="6">
        <v>45606</v>
      </c>
      <c r="I933" s="5">
        <v>1.1000000000000001</v>
      </c>
      <c r="J933" s="5">
        <v>67.7</v>
      </c>
      <c r="K933" s="5">
        <v>7.9</v>
      </c>
      <c r="L933" s="5">
        <v>37.1</v>
      </c>
      <c r="M933" s="5">
        <v>53.4</v>
      </c>
    </row>
    <row r="934" spans="1:13" x14ac:dyDescent="0.3">
      <c r="A934" s="5">
        <v>639</v>
      </c>
      <c r="B934" s="5" t="s">
        <v>44</v>
      </c>
      <c r="C934" s="5"/>
      <c r="D934" s="5" t="s">
        <v>37</v>
      </c>
      <c r="E934" s="5" t="s">
        <v>37</v>
      </c>
      <c r="F934" s="5" t="s">
        <v>37</v>
      </c>
      <c r="G934" s="5" t="s">
        <v>41</v>
      </c>
      <c r="H934" s="6">
        <v>44965</v>
      </c>
      <c r="I934" s="5">
        <v>4.5</v>
      </c>
      <c r="J934" s="5">
        <v>83.5</v>
      </c>
      <c r="K934" s="5">
        <v>6.5</v>
      </c>
      <c r="L934" s="5">
        <v>89.7</v>
      </c>
      <c r="M934" s="5">
        <v>55.8</v>
      </c>
    </row>
    <row r="935" spans="1:13" x14ac:dyDescent="0.3">
      <c r="A935" s="5">
        <v>111</v>
      </c>
      <c r="B935" s="5" t="s">
        <v>35</v>
      </c>
      <c r="C935" s="5" t="s">
        <v>45</v>
      </c>
      <c r="D935" s="5" t="s">
        <v>37</v>
      </c>
      <c r="E935" s="5" t="s">
        <v>40</v>
      </c>
      <c r="F935" s="5" t="s">
        <v>37</v>
      </c>
      <c r="G935" s="5" t="s">
        <v>47</v>
      </c>
      <c r="H935" s="6">
        <v>45652</v>
      </c>
      <c r="I935" s="5">
        <v>6.5</v>
      </c>
      <c r="J935" s="5">
        <v>80.3</v>
      </c>
      <c r="K935" s="5">
        <v>7.2</v>
      </c>
      <c r="L935" s="5">
        <v>38.700000000000003</v>
      </c>
      <c r="M935" s="5">
        <v>82.8</v>
      </c>
    </row>
    <row r="936" spans="1:13" x14ac:dyDescent="0.3">
      <c r="A936" s="5">
        <v>197</v>
      </c>
      <c r="B936" s="5" t="s">
        <v>44</v>
      </c>
      <c r="C936" s="5" t="s">
        <v>45</v>
      </c>
      <c r="D936" s="5"/>
      <c r="E936" s="5" t="s">
        <v>37</v>
      </c>
      <c r="F936" s="5" t="s">
        <v>40</v>
      </c>
      <c r="G936" s="5" t="s">
        <v>46</v>
      </c>
      <c r="H936" s="6">
        <v>45387</v>
      </c>
      <c r="I936" s="5">
        <v>1.4</v>
      </c>
      <c r="J936" s="5">
        <v>94</v>
      </c>
      <c r="K936" s="5">
        <v>6.9</v>
      </c>
      <c r="L936" s="5">
        <v>73.3</v>
      </c>
      <c r="M936" s="5">
        <v>68</v>
      </c>
    </row>
    <row r="937" spans="1:13" x14ac:dyDescent="0.3">
      <c r="A937" s="5">
        <v>487</v>
      </c>
      <c r="B937" s="5" t="s">
        <v>44</v>
      </c>
      <c r="C937" s="5" t="s">
        <v>39</v>
      </c>
      <c r="D937" s="5" t="s">
        <v>37</v>
      </c>
      <c r="E937" s="5" t="s">
        <v>37</v>
      </c>
      <c r="F937" s="5" t="s">
        <v>37</v>
      </c>
      <c r="G937" s="5" t="s">
        <v>47</v>
      </c>
      <c r="H937" s="6">
        <v>45351</v>
      </c>
      <c r="I937" s="5">
        <v>6.4</v>
      </c>
      <c r="J937" s="5">
        <v>75.599999999999994</v>
      </c>
      <c r="K937" s="5">
        <v>4.8</v>
      </c>
      <c r="L937" s="5">
        <v>80.599999999999994</v>
      </c>
      <c r="M937" s="5">
        <v>88</v>
      </c>
    </row>
    <row r="938" spans="1:13" x14ac:dyDescent="0.3">
      <c r="A938" s="5">
        <v>18</v>
      </c>
      <c r="B938" s="5" t="s">
        <v>44</v>
      </c>
      <c r="C938" s="5" t="s">
        <v>42</v>
      </c>
      <c r="D938" s="5" t="s">
        <v>37</v>
      </c>
      <c r="E938" s="5" t="s">
        <v>40</v>
      </c>
      <c r="F938" s="5" t="s">
        <v>40</v>
      </c>
      <c r="G938" s="5" t="s">
        <v>41</v>
      </c>
      <c r="H938" s="6">
        <v>45457</v>
      </c>
      <c r="I938" s="5">
        <v>1.2</v>
      </c>
      <c r="J938" s="5">
        <v>88.5</v>
      </c>
      <c r="K938" s="5">
        <v>5.4</v>
      </c>
      <c r="L938" s="5">
        <v>67</v>
      </c>
      <c r="M938" s="5">
        <v>49.9</v>
      </c>
    </row>
    <row r="939" spans="1:13" x14ac:dyDescent="0.3">
      <c r="A939" s="5">
        <v>269</v>
      </c>
      <c r="B939" s="5" t="s">
        <v>44</v>
      </c>
      <c r="C939" s="5"/>
      <c r="D939" s="5" t="s">
        <v>40</v>
      </c>
      <c r="E939" s="5" t="s">
        <v>40</v>
      </c>
      <c r="F939" s="5" t="s">
        <v>37</v>
      </c>
      <c r="G939" s="5" t="s">
        <v>43</v>
      </c>
      <c r="H939" s="6">
        <v>45017</v>
      </c>
      <c r="I939" s="5">
        <v>2</v>
      </c>
      <c r="J939" s="5">
        <v>83.5</v>
      </c>
      <c r="K939" s="5">
        <v>4.3</v>
      </c>
      <c r="L939" s="5">
        <v>80.900000000000006</v>
      </c>
      <c r="M939" s="5">
        <v>76.3</v>
      </c>
    </row>
    <row r="940" spans="1:13" x14ac:dyDescent="0.3">
      <c r="A940" s="5">
        <v>25</v>
      </c>
      <c r="B940" s="5" t="s">
        <v>44</v>
      </c>
      <c r="C940" s="5"/>
      <c r="D940" s="5" t="s">
        <v>37</v>
      </c>
      <c r="E940" s="5" t="s">
        <v>40</v>
      </c>
      <c r="F940" s="5" t="s">
        <v>40</v>
      </c>
      <c r="G940" s="5" t="s">
        <v>43</v>
      </c>
      <c r="H940" s="6">
        <v>45410</v>
      </c>
      <c r="I940" s="5">
        <v>6.5</v>
      </c>
      <c r="J940" s="5">
        <v>78.900000000000006</v>
      </c>
      <c r="K940" s="5">
        <v>5.5</v>
      </c>
      <c r="L940" s="5">
        <v>52.2</v>
      </c>
      <c r="M940" s="5">
        <v>74.099999999999994</v>
      </c>
    </row>
    <row r="941" spans="1:13" x14ac:dyDescent="0.3">
      <c r="A941" s="5">
        <v>381</v>
      </c>
      <c r="B941" s="5" t="s">
        <v>35</v>
      </c>
      <c r="C941" s="5"/>
      <c r="D941" s="5" t="s">
        <v>37</v>
      </c>
      <c r="E941" s="5" t="s">
        <v>37</v>
      </c>
      <c r="F941" s="5" t="s">
        <v>40</v>
      </c>
      <c r="G941" s="5" t="s">
        <v>38</v>
      </c>
      <c r="H941" s="6">
        <v>45334</v>
      </c>
      <c r="I941" s="5">
        <v>6.2</v>
      </c>
      <c r="J941" s="5">
        <v>97.4</v>
      </c>
      <c r="K941" s="5">
        <v>8.1</v>
      </c>
      <c r="L941" s="5">
        <v>49.9</v>
      </c>
      <c r="M941" s="5">
        <v>93.5</v>
      </c>
    </row>
    <row r="942" spans="1:13" x14ac:dyDescent="0.3">
      <c r="A942" s="5">
        <v>931</v>
      </c>
      <c r="B942" s="5" t="s">
        <v>35</v>
      </c>
      <c r="C942" s="5" t="s">
        <v>42</v>
      </c>
      <c r="D942" s="5" t="s">
        <v>37</v>
      </c>
      <c r="E942" s="5" t="s">
        <v>37</v>
      </c>
      <c r="F942" s="5" t="s">
        <v>37</v>
      </c>
      <c r="G942" s="5" t="s">
        <v>43</v>
      </c>
      <c r="H942" s="6">
        <v>45439</v>
      </c>
      <c r="I942" s="5">
        <v>4.2</v>
      </c>
      <c r="J942" s="5">
        <v>88.4</v>
      </c>
      <c r="K942" s="5">
        <v>6.5</v>
      </c>
      <c r="L942" s="5">
        <v>67.400000000000006</v>
      </c>
      <c r="M942" s="5">
        <v>73.2</v>
      </c>
    </row>
    <row r="943" spans="1:13" x14ac:dyDescent="0.3">
      <c r="A943" s="5">
        <v>909</v>
      </c>
      <c r="B943" s="5" t="s">
        <v>44</v>
      </c>
      <c r="C943" s="5" t="s">
        <v>36</v>
      </c>
      <c r="D943" s="5" t="s">
        <v>40</v>
      </c>
      <c r="E943" s="5" t="s">
        <v>37</v>
      </c>
      <c r="F943" s="5" t="s">
        <v>40</v>
      </c>
      <c r="G943" s="5" t="s">
        <v>47</v>
      </c>
      <c r="H943" s="6">
        <v>45305</v>
      </c>
      <c r="I943" s="5">
        <v>6</v>
      </c>
      <c r="J943" s="5">
        <v>69</v>
      </c>
      <c r="K943" s="5">
        <v>8.6</v>
      </c>
      <c r="L943" s="5">
        <v>47.8</v>
      </c>
      <c r="M943" s="5">
        <v>85.5</v>
      </c>
    </row>
    <row r="944" spans="1:13" x14ac:dyDescent="0.3">
      <c r="A944" s="5">
        <v>182</v>
      </c>
      <c r="B944" s="5" t="s">
        <v>35</v>
      </c>
      <c r="C944" s="5" t="s">
        <v>36</v>
      </c>
      <c r="D944" s="5" t="s">
        <v>37</v>
      </c>
      <c r="E944" s="5" t="s">
        <v>37</v>
      </c>
      <c r="F944" s="5" t="s">
        <v>37</v>
      </c>
      <c r="G944" s="5" t="s">
        <v>47</v>
      </c>
      <c r="H944" s="6">
        <v>45601</v>
      </c>
      <c r="I944" s="5">
        <v>5</v>
      </c>
      <c r="J944" s="5">
        <v>99.4</v>
      </c>
      <c r="K944" s="5">
        <v>6.1</v>
      </c>
      <c r="L944" s="5">
        <v>78.8</v>
      </c>
      <c r="M944" s="5">
        <v>86.8</v>
      </c>
    </row>
    <row r="945" spans="1:13" x14ac:dyDescent="0.3">
      <c r="A945" s="5">
        <v>265</v>
      </c>
      <c r="B945" s="5" t="s">
        <v>44</v>
      </c>
      <c r="C945" s="5" t="s">
        <v>36</v>
      </c>
      <c r="D945" s="5" t="s">
        <v>37</v>
      </c>
      <c r="E945" s="5" t="s">
        <v>37</v>
      </c>
      <c r="F945" s="5" t="s">
        <v>40</v>
      </c>
      <c r="G945" s="5" t="s">
        <v>38</v>
      </c>
      <c r="H945" s="6">
        <v>45018</v>
      </c>
      <c r="I945" s="5">
        <v>6</v>
      </c>
      <c r="J945" s="5">
        <v>73.3</v>
      </c>
      <c r="K945" s="5">
        <v>4.8</v>
      </c>
      <c r="L945" s="5">
        <v>94.2</v>
      </c>
      <c r="M945" s="5">
        <v>92.9</v>
      </c>
    </row>
    <row r="946" spans="1:13" x14ac:dyDescent="0.3">
      <c r="A946" s="5">
        <v>815</v>
      </c>
      <c r="B946" s="5" t="s">
        <v>44</v>
      </c>
      <c r="C946" s="5" t="s">
        <v>45</v>
      </c>
      <c r="D946" s="5" t="s">
        <v>37</v>
      </c>
      <c r="E946" s="5" t="s">
        <v>37</v>
      </c>
      <c r="F946" s="5" t="s">
        <v>37</v>
      </c>
      <c r="G946" s="5" t="s">
        <v>43</v>
      </c>
      <c r="H946" s="6">
        <v>45050</v>
      </c>
      <c r="I946" s="5">
        <v>4</v>
      </c>
      <c r="J946" s="5">
        <v>76.900000000000006</v>
      </c>
      <c r="K946" s="5">
        <v>6.4</v>
      </c>
      <c r="L946" s="5">
        <v>44.5</v>
      </c>
      <c r="M946" s="5">
        <v>74.900000000000006</v>
      </c>
    </row>
    <row r="947" spans="1:13" x14ac:dyDescent="0.3">
      <c r="A947" s="5">
        <v>457</v>
      </c>
      <c r="B947" s="5" t="s">
        <v>35</v>
      </c>
      <c r="C947" s="5" t="s">
        <v>42</v>
      </c>
      <c r="D947" s="5" t="s">
        <v>40</v>
      </c>
      <c r="E947" s="5" t="s">
        <v>40</v>
      </c>
      <c r="F947" s="5" t="s">
        <v>40</v>
      </c>
      <c r="G947" s="5" t="s">
        <v>38</v>
      </c>
      <c r="H947" s="6">
        <v>45159</v>
      </c>
      <c r="I947" s="5">
        <v>5.5</v>
      </c>
      <c r="J947" s="5">
        <v>74.400000000000006</v>
      </c>
      <c r="K947" s="5">
        <v>6.9</v>
      </c>
      <c r="L947" s="5">
        <v>92.1</v>
      </c>
      <c r="M947" s="5">
        <v>93.2</v>
      </c>
    </row>
    <row r="948" spans="1:13" x14ac:dyDescent="0.3">
      <c r="A948" s="5">
        <v>570</v>
      </c>
      <c r="B948" s="5" t="s">
        <v>35</v>
      </c>
      <c r="C948" s="5" t="s">
        <v>45</v>
      </c>
      <c r="D948" s="5" t="s">
        <v>37</v>
      </c>
      <c r="E948" s="5" t="s">
        <v>37</v>
      </c>
      <c r="F948" s="5" t="s">
        <v>37</v>
      </c>
      <c r="G948" s="5" t="s">
        <v>43</v>
      </c>
      <c r="H948" s="6">
        <v>44956</v>
      </c>
      <c r="I948" s="5">
        <v>3.6</v>
      </c>
      <c r="J948" s="5">
        <v>95.6</v>
      </c>
      <c r="K948" s="5">
        <v>6.5</v>
      </c>
      <c r="L948" s="5">
        <v>85.6</v>
      </c>
      <c r="M948" s="5">
        <v>75.900000000000006</v>
      </c>
    </row>
    <row r="949" spans="1:13" x14ac:dyDescent="0.3">
      <c r="A949" s="5">
        <v>310</v>
      </c>
      <c r="B949" s="5" t="s">
        <v>44</v>
      </c>
      <c r="C949" s="5" t="s">
        <v>45</v>
      </c>
      <c r="D949" s="5"/>
      <c r="E949" s="5" t="s">
        <v>37</v>
      </c>
      <c r="F949" s="5" t="s">
        <v>40</v>
      </c>
      <c r="G949" s="5" t="s">
        <v>46</v>
      </c>
      <c r="H949" s="6">
        <v>45208</v>
      </c>
      <c r="I949" s="5">
        <v>5</v>
      </c>
      <c r="J949" s="5">
        <v>89</v>
      </c>
      <c r="K949" s="5">
        <v>6.7</v>
      </c>
      <c r="L949" s="5">
        <v>39.5</v>
      </c>
      <c r="M949" s="5">
        <v>65</v>
      </c>
    </row>
    <row r="950" spans="1:13" x14ac:dyDescent="0.3">
      <c r="A950" s="5">
        <v>399</v>
      </c>
      <c r="B950" s="5" t="s">
        <v>35</v>
      </c>
      <c r="C950" s="5" t="s">
        <v>36</v>
      </c>
      <c r="D950" s="5" t="s">
        <v>37</v>
      </c>
      <c r="E950" s="5" t="s">
        <v>37</v>
      </c>
      <c r="F950" s="5" t="s">
        <v>37</v>
      </c>
      <c r="G950" s="5" t="s">
        <v>47</v>
      </c>
      <c r="H950" s="6"/>
      <c r="I950" s="5">
        <v>2.4</v>
      </c>
      <c r="J950" s="5">
        <v>93.1</v>
      </c>
      <c r="K950" s="5">
        <v>5.6</v>
      </c>
      <c r="L950" s="5">
        <v>94.9</v>
      </c>
      <c r="M950" s="5">
        <v>80.599999999999994</v>
      </c>
    </row>
    <row r="951" spans="1:13" x14ac:dyDescent="0.3">
      <c r="A951" s="5">
        <v>578</v>
      </c>
      <c r="B951" s="5" t="s">
        <v>44</v>
      </c>
      <c r="C951" s="5"/>
      <c r="D951" s="5" t="s">
        <v>37</v>
      </c>
      <c r="E951" s="5" t="s">
        <v>40</v>
      </c>
      <c r="F951" s="5" t="s">
        <v>40</v>
      </c>
      <c r="G951" s="5" t="s">
        <v>46</v>
      </c>
      <c r="H951" s="6">
        <v>44980</v>
      </c>
      <c r="I951" s="5">
        <v>0.6</v>
      </c>
      <c r="J951" s="5">
        <v>66.8</v>
      </c>
      <c r="K951" s="5">
        <v>8.6</v>
      </c>
      <c r="L951" s="5">
        <v>49.7</v>
      </c>
      <c r="M951" s="5">
        <v>66.2</v>
      </c>
    </row>
    <row r="952" spans="1:13" x14ac:dyDescent="0.3">
      <c r="A952" s="5">
        <v>633</v>
      </c>
      <c r="B952" s="5" t="s">
        <v>44</v>
      </c>
      <c r="C952" s="5" t="s">
        <v>39</v>
      </c>
      <c r="D952" s="5" t="s">
        <v>37</v>
      </c>
      <c r="E952" s="5" t="s">
        <v>37</v>
      </c>
      <c r="F952" s="5" t="s">
        <v>40</v>
      </c>
      <c r="G952" s="5" t="s">
        <v>43</v>
      </c>
      <c r="H952" s="6">
        <v>45229</v>
      </c>
      <c r="I952" s="5">
        <v>1.1000000000000001</v>
      </c>
      <c r="J952" s="5">
        <v>67.2</v>
      </c>
      <c r="K952" s="5">
        <v>7.8</v>
      </c>
      <c r="L952" s="5">
        <v>85.4</v>
      </c>
      <c r="M952" s="5">
        <v>71</v>
      </c>
    </row>
    <row r="953" spans="1:13" x14ac:dyDescent="0.3">
      <c r="A953" s="5">
        <v>378</v>
      </c>
      <c r="B953" s="5" t="s">
        <v>44</v>
      </c>
      <c r="C953" s="5" t="s">
        <v>36</v>
      </c>
      <c r="D953" s="5"/>
      <c r="E953" s="5" t="s">
        <v>37</v>
      </c>
      <c r="F953" s="5" t="s">
        <v>40</v>
      </c>
      <c r="G953" s="5" t="s">
        <v>46</v>
      </c>
      <c r="H953" s="6">
        <v>45567</v>
      </c>
      <c r="I953" s="5">
        <v>0.9</v>
      </c>
      <c r="J953" s="5">
        <v>94.2</v>
      </c>
      <c r="K953" s="5">
        <v>6.6</v>
      </c>
      <c r="L953" s="5">
        <v>66</v>
      </c>
      <c r="M953" s="5">
        <v>64</v>
      </c>
    </row>
    <row r="954" spans="1:13" x14ac:dyDescent="0.3">
      <c r="A954" s="5">
        <v>581</v>
      </c>
      <c r="B954" s="5" t="s">
        <v>44</v>
      </c>
      <c r="C954" s="5" t="s">
        <v>39</v>
      </c>
      <c r="D954" s="5" t="s">
        <v>37</v>
      </c>
      <c r="E954" s="5" t="s">
        <v>40</v>
      </c>
      <c r="F954" s="5" t="s">
        <v>37</v>
      </c>
      <c r="G954" s="5" t="s">
        <v>43</v>
      </c>
      <c r="H954" s="6">
        <v>45061</v>
      </c>
      <c r="I954" s="5">
        <v>3.1</v>
      </c>
      <c r="J954" s="5">
        <v>79.2</v>
      </c>
      <c r="K954" s="5">
        <v>7.6</v>
      </c>
      <c r="L954" s="5">
        <v>61.3</v>
      </c>
      <c r="M954" s="5">
        <v>75.2</v>
      </c>
    </row>
    <row r="955" spans="1:13" x14ac:dyDescent="0.3">
      <c r="A955" s="5">
        <v>164</v>
      </c>
      <c r="B955" s="5" t="s">
        <v>35</v>
      </c>
      <c r="C955" s="5" t="s">
        <v>39</v>
      </c>
      <c r="D955" s="5" t="s">
        <v>37</v>
      </c>
      <c r="E955" s="5" t="s">
        <v>37</v>
      </c>
      <c r="F955" s="5" t="s">
        <v>40</v>
      </c>
      <c r="G955" s="5" t="s">
        <v>46</v>
      </c>
      <c r="H955" s="6">
        <v>45297</v>
      </c>
      <c r="I955" s="5">
        <v>1.7</v>
      </c>
      <c r="J955" s="5">
        <v>68.8</v>
      </c>
      <c r="K955" s="5">
        <v>6.5</v>
      </c>
      <c r="L955" s="5">
        <v>94.7</v>
      </c>
      <c r="M955" s="5">
        <v>63.5</v>
      </c>
    </row>
    <row r="956" spans="1:13" x14ac:dyDescent="0.3">
      <c r="A956" s="5">
        <v>726</v>
      </c>
      <c r="B956" s="5" t="s">
        <v>44</v>
      </c>
      <c r="C956" s="5" t="s">
        <v>39</v>
      </c>
      <c r="D956" s="5" t="s">
        <v>37</v>
      </c>
      <c r="E956" s="5" t="s">
        <v>37</v>
      </c>
      <c r="F956" s="5" t="s">
        <v>40</v>
      </c>
      <c r="G956" s="5" t="s">
        <v>47</v>
      </c>
      <c r="H956" s="6">
        <v>45335</v>
      </c>
      <c r="I956" s="5">
        <v>3.9</v>
      </c>
      <c r="J956" s="5">
        <v>74.099999999999994</v>
      </c>
      <c r="K956" s="5">
        <v>8.1999999999999993</v>
      </c>
      <c r="L956" s="5">
        <v>51.8</v>
      </c>
      <c r="M956" s="5">
        <v>83.1</v>
      </c>
    </row>
    <row r="957" spans="1:13" x14ac:dyDescent="0.3">
      <c r="A957" s="5">
        <v>608</v>
      </c>
      <c r="B957" s="5" t="s">
        <v>44</v>
      </c>
      <c r="C957" s="5"/>
      <c r="D957" s="5" t="s">
        <v>40</v>
      </c>
      <c r="E957" s="5" t="s">
        <v>40</v>
      </c>
      <c r="F957" s="5" t="s">
        <v>37</v>
      </c>
      <c r="G957" s="5" t="s">
        <v>41</v>
      </c>
      <c r="H957" s="6">
        <v>44945</v>
      </c>
      <c r="I957" s="5">
        <v>1.9</v>
      </c>
      <c r="J957" s="5">
        <v>80.8</v>
      </c>
      <c r="K957" s="5">
        <v>6.9</v>
      </c>
      <c r="L957" s="5">
        <v>56</v>
      </c>
      <c r="M957" s="5">
        <v>50.5</v>
      </c>
    </row>
    <row r="958" spans="1:13" x14ac:dyDescent="0.3">
      <c r="A958" s="5">
        <v>545</v>
      </c>
      <c r="B958" s="5" t="s">
        <v>35</v>
      </c>
      <c r="C958" s="5"/>
      <c r="D958" s="5" t="s">
        <v>37</v>
      </c>
      <c r="E958" s="5" t="s">
        <v>37</v>
      </c>
      <c r="F958" s="5" t="s">
        <v>40</v>
      </c>
      <c r="G958" s="5" t="s">
        <v>43</v>
      </c>
      <c r="H958" s="6">
        <v>45209</v>
      </c>
      <c r="I958" s="5">
        <v>4.9000000000000004</v>
      </c>
      <c r="J958" s="5">
        <v>82.2</v>
      </c>
      <c r="K958" s="5">
        <v>4.5999999999999996</v>
      </c>
      <c r="L958" s="5">
        <v>54.4</v>
      </c>
      <c r="M958" s="5">
        <v>70.5</v>
      </c>
    </row>
    <row r="959" spans="1:13" x14ac:dyDescent="0.3">
      <c r="A959" s="5">
        <v>893</v>
      </c>
      <c r="B959" s="5" t="s">
        <v>35</v>
      </c>
      <c r="C959" s="5" t="s">
        <v>42</v>
      </c>
      <c r="D959" s="5" t="s">
        <v>37</v>
      </c>
      <c r="E959" s="5" t="s">
        <v>37</v>
      </c>
      <c r="F959" s="5" t="s">
        <v>40</v>
      </c>
      <c r="G959" s="5" t="s">
        <v>47</v>
      </c>
      <c r="H959" s="6">
        <v>45475</v>
      </c>
      <c r="I959" s="5">
        <v>6.9</v>
      </c>
      <c r="J959" s="5">
        <v>84.2</v>
      </c>
      <c r="K959" s="5">
        <v>7.5</v>
      </c>
      <c r="L959" s="5">
        <v>77.2</v>
      </c>
      <c r="M959" s="5">
        <v>87.5</v>
      </c>
    </row>
    <row r="960" spans="1:13" x14ac:dyDescent="0.3">
      <c r="A960" s="5">
        <v>644</v>
      </c>
      <c r="B960" s="5" t="s">
        <v>35</v>
      </c>
      <c r="C960" s="5" t="s">
        <v>42</v>
      </c>
      <c r="D960" s="5" t="s">
        <v>37</v>
      </c>
      <c r="E960" s="5" t="s">
        <v>40</v>
      </c>
      <c r="F960" s="5" t="s">
        <v>40</v>
      </c>
      <c r="G960" s="5" t="s">
        <v>43</v>
      </c>
      <c r="H960" s="6">
        <v>45441</v>
      </c>
      <c r="I960" s="5">
        <v>5.4</v>
      </c>
      <c r="J960" s="5">
        <v>84.8</v>
      </c>
      <c r="K960" s="5">
        <v>6.5</v>
      </c>
      <c r="L960" s="5">
        <v>38.799999999999997</v>
      </c>
      <c r="M960" s="5">
        <v>72.2</v>
      </c>
    </row>
    <row r="961" spans="1:13" x14ac:dyDescent="0.3">
      <c r="A961" s="5">
        <v>415</v>
      </c>
      <c r="B961" s="5" t="s">
        <v>35</v>
      </c>
      <c r="C961" s="5"/>
      <c r="D961" s="5" t="s">
        <v>37</v>
      </c>
      <c r="E961" s="5" t="s">
        <v>40</v>
      </c>
      <c r="F961" s="5" t="s">
        <v>37</v>
      </c>
      <c r="G961" s="5" t="s">
        <v>47</v>
      </c>
      <c r="H961" s="6">
        <v>45249</v>
      </c>
      <c r="I961" s="5">
        <v>6.8</v>
      </c>
      <c r="J961" s="5">
        <v>73.900000000000006</v>
      </c>
      <c r="K961" s="5">
        <v>6.5</v>
      </c>
      <c r="L961" s="5">
        <v>46.3</v>
      </c>
      <c r="M961" s="5">
        <v>82.6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61"/>
  <sheetViews>
    <sheetView zoomScaleNormal="100" workbookViewId="0"/>
  </sheetViews>
  <sheetFormatPr baseColWidth="10" defaultColWidth="8.6640625" defaultRowHeight="14.4" x14ac:dyDescent="0.3"/>
  <cols>
    <col min="1" max="1" width="11" customWidth="1"/>
    <col min="2" max="2" width="9" customWidth="1"/>
    <col min="3" max="3" width="18" customWidth="1"/>
    <col min="4" max="4" width="11" customWidth="1"/>
    <col min="5" max="5" width="15" customWidth="1"/>
    <col min="6" max="6" width="17" customWidth="1"/>
    <col min="7" max="7" width="15" customWidth="1"/>
    <col min="8" max="8" width="16" customWidth="1"/>
    <col min="9" max="10" width="9" customWidth="1"/>
    <col min="11" max="11" width="10" customWidth="1"/>
    <col min="12" max="13" width="9" customWidth="1"/>
    <col min="15" max="15" width="26" customWidth="1"/>
    <col min="16" max="16" width="10" customWidth="1"/>
  </cols>
  <sheetData>
    <row r="1" spans="1:16" x14ac:dyDescent="0.3">
      <c r="A1" s="4" t="s">
        <v>22</v>
      </c>
      <c r="B1" s="4" t="s">
        <v>23</v>
      </c>
      <c r="C1" s="4" t="s">
        <v>24</v>
      </c>
      <c r="D1" s="4" t="s">
        <v>28</v>
      </c>
      <c r="E1" s="4" t="s">
        <v>30</v>
      </c>
      <c r="F1" s="4" t="s">
        <v>31</v>
      </c>
      <c r="G1" s="4" t="s">
        <v>33</v>
      </c>
      <c r="H1" s="4" t="s">
        <v>34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O1" s="3" t="s">
        <v>53</v>
      </c>
    </row>
    <row r="2" spans="1:16" x14ac:dyDescent="0.3">
      <c r="A2" s="2">
        <f>Datos!A2</f>
        <v>781</v>
      </c>
      <c r="B2" s="2" t="str">
        <f>Datos!B2</f>
        <v>Female</v>
      </c>
      <c r="C2" s="2" t="str">
        <f>Datos!C2</f>
        <v>Masters</v>
      </c>
      <c r="D2" s="2" t="str">
        <f>Datos!G2</f>
        <v>A</v>
      </c>
      <c r="E2" s="2">
        <f>Datos!I2</f>
        <v>6.3</v>
      </c>
      <c r="F2" s="2">
        <f>Datos!J2</f>
        <v>97.4</v>
      </c>
      <c r="G2" s="2">
        <f>Datos!L2</f>
        <v>92.7</v>
      </c>
      <c r="H2" s="2">
        <f>Datos!M2</f>
        <v>100</v>
      </c>
      <c r="I2" s="2" t="b">
        <f t="shared" ref="I2:I65" si="0">AND(E2&gt;=0,E2&lt;=12,F2&gt;=0,F2&lt;=100,G2&gt;=0,G2&lt;=100,H2&gt;=0,H2&lt;=100)</f>
        <v>1</v>
      </c>
      <c r="J2" s="2">
        <f t="shared" ref="J2:J65" si="1">IF(I2,H2,"")</f>
        <v>100</v>
      </c>
      <c r="K2" s="2">
        <f t="shared" ref="K2:K65" si="2">IF(I2,E2,"")</f>
        <v>6.3</v>
      </c>
      <c r="L2" s="2">
        <f t="shared" ref="L2:L65" si="3">IF(I2,G2,"")</f>
        <v>92.7</v>
      </c>
      <c r="M2" s="2">
        <f t="shared" ref="M2:M65" si="4">IF(I2,F2,"")</f>
        <v>97.4</v>
      </c>
      <c r="O2" s="2" t="s">
        <v>54</v>
      </c>
      <c r="P2" s="2">
        <f>COUNT($A$2:$A$961)</f>
        <v>960</v>
      </c>
    </row>
    <row r="3" spans="1:16" x14ac:dyDescent="0.3">
      <c r="A3" s="2">
        <f>Datos!A3</f>
        <v>543</v>
      </c>
      <c r="B3" s="2" t="str">
        <f>Datos!B3</f>
        <v>Female</v>
      </c>
      <c r="C3" s="2" t="str">
        <f>Datos!C3</f>
        <v>PhD</v>
      </c>
      <c r="D3" s="2" t="str">
        <f>Datos!G3</f>
        <v>F</v>
      </c>
      <c r="E3" s="2">
        <f>Datos!I3</f>
        <v>2</v>
      </c>
      <c r="F3" s="2">
        <f>Datos!J3</f>
        <v>74.8</v>
      </c>
      <c r="G3" s="2">
        <f>Datos!L3</f>
        <v>48.3</v>
      </c>
      <c r="H3" s="2">
        <f>Datos!M3</f>
        <v>56.6</v>
      </c>
      <c r="I3" s="2" t="b">
        <f t="shared" si="0"/>
        <v>1</v>
      </c>
      <c r="J3" s="2">
        <f t="shared" si="1"/>
        <v>56.6</v>
      </c>
      <c r="K3" s="2">
        <f t="shared" si="2"/>
        <v>2</v>
      </c>
      <c r="L3" s="2">
        <f t="shared" si="3"/>
        <v>48.3</v>
      </c>
      <c r="M3" s="2">
        <f t="shared" si="4"/>
        <v>74.8</v>
      </c>
      <c r="O3" s="2" t="s">
        <v>55</v>
      </c>
      <c r="P3" s="2">
        <f>SUMPRODUCT(--($I$2:$I$961))</f>
        <v>956</v>
      </c>
    </row>
    <row r="4" spans="1:16" x14ac:dyDescent="0.3">
      <c r="A4" s="2">
        <f>Datos!A4</f>
        <v>34</v>
      </c>
      <c r="B4" s="2" t="str">
        <f>Datos!B4</f>
        <v>Female</v>
      </c>
      <c r="C4" s="2" t="str">
        <f>Datos!C4</f>
        <v>Bachelors</v>
      </c>
      <c r="D4" s="2" t="str">
        <f>Datos!G4</f>
        <v>C</v>
      </c>
      <c r="E4" s="2">
        <f>Datos!I4</f>
        <v>4.7</v>
      </c>
      <c r="F4" s="2">
        <f>Datos!J4</f>
        <v>92.3</v>
      </c>
      <c r="G4" s="2">
        <f>Datos!L4</f>
        <v>62.8</v>
      </c>
      <c r="H4" s="2">
        <f>Datos!M4</f>
        <v>74.2</v>
      </c>
      <c r="I4" s="2" t="b">
        <f t="shared" si="0"/>
        <v>1</v>
      </c>
      <c r="J4" s="2">
        <f t="shared" si="1"/>
        <v>74.2</v>
      </c>
      <c r="K4" s="2">
        <f t="shared" si="2"/>
        <v>4.7</v>
      </c>
      <c r="L4" s="2">
        <f t="shared" si="3"/>
        <v>62.8</v>
      </c>
      <c r="M4" s="2">
        <f t="shared" si="4"/>
        <v>92.3</v>
      </c>
      <c r="O4" s="2" t="s">
        <v>56</v>
      </c>
      <c r="P4" s="2">
        <f>P2-P3</f>
        <v>4</v>
      </c>
    </row>
    <row r="5" spans="1:16" x14ac:dyDescent="0.3">
      <c r="A5" s="2">
        <f>Datos!A5</f>
        <v>459</v>
      </c>
      <c r="B5" s="2" t="str">
        <f>Datos!B5</f>
        <v>Female</v>
      </c>
      <c r="C5" s="2" t="str">
        <f>Datos!C5</f>
        <v>Masters</v>
      </c>
      <c r="D5" s="2" t="str">
        <f>Datos!G5</f>
        <v>C</v>
      </c>
      <c r="E5" s="2">
        <f>Datos!I5</f>
        <v>3.3</v>
      </c>
      <c r="F5" s="2">
        <f>Datos!J5</f>
        <v>82.9</v>
      </c>
      <c r="G5" s="2">
        <f>Datos!L5</f>
        <v>77.599999999999994</v>
      </c>
      <c r="H5" s="2">
        <f>Datos!M5</f>
        <v>74.8</v>
      </c>
      <c r="I5" s="2" t="b">
        <f t="shared" si="0"/>
        <v>1</v>
      </c>
      <c r="J5" s="2">
        <f t="shared" si="1"/>
        <v>74.8</v>
      </c>
      <c r="K5" s="2">
        <f t="shared" si="2"/>
        <v>3.3</v>
      </c>
      <c r="L5" s="2">
        <f t="shared" si="3"/>
        <v>77.599999999999994</v>
      </c>
      <c r="M5" s="2">
        <f t="shared" si="4"/>
        <v>82.9</v>
      </c>
      <c r="O5" s="2" t="s">
        <v>57</v>
      </c>
      <c r="P5" s="2">
        <f>COUNTBLANK(Datos!$C$2:$C$961)</f>
        <v>168</v>
      </c>
    </row>
    <row r="6" spans="1:16" x14ac:dyDescent="0.3">
      <c r="A6" s="2">
        <f>Datos!A6</f>
        <v>100</v>
      </c>
      <c r="B6" s="2" t="str">
        <f>Datos!B6</f>
        <v>Male</v>
      </c>
      <c r="C6" s="2" t="str">
        <f>Datos!C6</f>
        <v>Masters</v>
      </c>
      <c r="D6" s="2" t="str">
        <f>Datos!G6</f>
        <v>C</v>
      </c>
      <c r="E6" s="2">
        <f>Datos!I6</f>
        <v>6.2</v>
      </c>
      <c r="F6" s="2">
        <f>Datos!J6</f>
        <v>74.7</v>
      </c>
      <c r="G6" s="2">
        <f>Datos!L6</f>
        <v>50.6</v>
      </c>
      <c r="H6" s="2">
        <f>Datos!M6</f>
        <v>76</v>
      </c>
      <c r="I6" s="2" t="b">
        <f t="shared" si="0"/>
        <v>1</v>
      </c>
      <c r="J6" s="2">
        <f t="shared" si="1"/>
        <v>76</v>
      </c>
      <c r="K6" s="2">
        <f t="shared" si="2"/>
        <v>6.2</v>
      </c>
      <c r="L6" s="2">
        <f t="shared" si="3"/>
        <v>50.6</v>
      </c>
      <c r="M6" s="2">
        <f t="shared" si="4"/>
        <v>74.7</v>
      </c>
      <c r="O6" s="2" t="s">
        <v>58</v>
      </c>
      <c r="P6" s="2">
        <f>COUNTBLANK(Datos!$D$2:$D$961)</f>
        <v>43</v>
      </c>
    </row>
    <row r="7" spans="1:16" x14ac:dyDescent="0.3">
      <c r="A7" s="2">
        <f>Datos!A7</f>
        <v>311</v>
      </c>
      <c r="B7" s="2" t="str">
        <f>Datos!B7</f>
        <v>Male</v>
      </c>
      <c r="C7" s="2" t="str">
        <f>Datos!C7</f>
        <v>PhD</v>
      </c>
      <c r="D7" s="2" t="str">
        <f>Datos!G7</f>
        <v>A</v>
      </c>
      <c r="E7" s="2">
        <f>Datos!I7</f>
        <v>6</v>
      </c>
      <c r="F7" s="2">
        <f>Datos!J7</f>
        <v>85.3</v>
      </c>
      <c r="G7" s="2">
        <f>Datos!L7</f>
        <v>94.9</v>
      </c>
      <c r="H7" s="2">
        <f>Datos!M7</f>
        <v>100</v>
      </c>
      <c r="I7" s="2" t="b">
        <f t="shared" si="0"/>
        <v>1</v>
      </c>
      <c r="J7" s="2">
        <f t="shared" si="1"/>
        <v>100</v>
      </c>
      <c r="K7" s="2">
        <f t="shared" si="2"/>
        <v>6</v>
      </c>
      <c r="L7" s="2">
        <f t="shared" si="3"/>
        <v>94.9</v>
      </c>
      <c r="M7" s="2">
        <f t="shared" si="4"/>
        <v>85.3</v>
      </c>
      <c r="O7" s="2" t="s">
        <v>59</v>
      </c>
      <c r="P7" s="2">
        <f>COUNTBLANK(Datos!$H$2:$H$961)</f>
        <v>74</v>
      </c>
    </row>
    <row r="8" spans="1:16" x14ac:dyDescent="0.3">
      <c r="A8" s="2">
        <f>Datos!A8</f>
        <v>756</v>
      </c>
      <c r="B8" s="2" t="str">
        <f>Datos!B8</f>
        <v>Male</v>
      </c>
      <c r="C8" s="2" t="str">
        <f>Datos!C8</f>
        <v>High School</v>
      </c>
      <c r="D8" s="2" t="str">
        <f>Datos!G8</f>
        <v>D</v>
      </c>
      <c r="E8" s="2">
        <f>Datos!I8</f>
        <v>1.2</v>
      </c>
      <c r="F8" s="2">
        <f>Datos!J8</f>
        <v>82.6</v>
      </c>
      <c r="G8" s="2">
        <f>Datos!L8</f>
        <v>93.1</v>
      </c>
      <c r="H8" s="2">
        <f>Datos!M8</f>
        <v>65.8</v>
      </c>
      <c r="I8" s="2" t="b">
        <f t="shared" si="0"/>
        <v>1</v>
      </c>
      <c r="J8" s="2">
        <f t="shared" si="1"/>
        <v>65.8</v>
      </c>
      <c r="K8" s="2">
        <f t="shared" si="2"/>
        <v>1.2</v>
      </c>
      <c r="L8" s="2">
        <f t="shared" si="3"/>
        <v>93.1</v>
      </c>
      <c r="M8" s="2">
        <f t="shared" si="4"/>
        <v>82.6</v>
      </c>
    </row>
    <row r="9" spans="1:16" x14ac:dyDescent="0.3">
      <c r="A9" s="2">
        <f>Datos!A9</f>
        <v>184</v>
      </c>
      <c r="B9" s="2" t="str">
        <f>Datos!B9</f>
        <v>Female</v>
      </c>
      <c r="C9" s="2" t="str">
        <f>Datos!C9</f>
        <v>High School</v>
      </c>
      <c r="D9" s="2" t="str">
        <f>Datos!G9</f>
        <v>C</v>
      </c>
      <c r="E9" s="2">
        <f>Datos!I9</f>
        <v>2.2999999999999998</v>
      </c>
      <c r="F9" s="2">
        <f>Datos!J9</f>
        <v>73.900000000000006</v>
      </c>
      <c r="G9" s="2">
        <f>Datos!L9</f>
        <v>85.8</v>
      </c>
      <c r="H9" s="2">
        <f>Datos!M9</f>
        <v>70.2</v>
      </c>
      <c r="I9" s="2" t="b">
        <f t="shared" si="0"/>
        <v>1</v>
      </c>
      <c r="J9" s="2">
        <f t="shared" si="1"/>
        <v>70.2</v>
      </c>
      <c r="K9" s="2">
        <f t="shared" si="2"/>
        <v>2.2999999999999998</v>
      </c>
      <c r="L9" s="2">
        <f t="shared" si="3"/>
        <v>85.8</v>
      </c>
      <c r="M9" s="2">
        <f t="shared" si="4"/>
        <v>73.900000000000006</v>
      </c>
    </row>
    <row r="10" spans="1:16" x14ac:dyDescent="0.3">
      <c r="A10" s="2">
        <f>Datos!A10</f>
        <v>323</v>
      </c>
      <c r="B10" s="2" t="str">
        <f>Datos!B10</f>
        <v>Male</v>
      </c>
      <c r="C10" s="2" t="str">
        <f>Datos!C10</f>
        <v>High School</v>
      </c>
      <c r="D10" s="2" t="str">
        <f>Datos!G10</f>
        <v>B</v>
      </c>
      <c r="E10" s="2">
        <f>Datos!I10</f>
        <v>7</v>
      </c>
      <c r="F10" s="2">
        <f>Datos!J10</f>
        <v>78.3</v>
      </c>
      <c r="G10" s="2">
        <f>Datos!L10</f>
        <v>69.099999999999994</v>
      </c>
      <c r="H10" s="2">
        <f>Datos!M10</f>
        <v>83.4</v>
      </c>
      <c r="I10" s="2" t="b">
        <f t="shared" si="0"/>
        <v>1</v>
      </c>
      <c r="J10" s="2">
        <f t="shared" si="1"/>
        <v>83.4</v>
      </c>
      <c r="K10" s="2">
        <f t="shared" si="2"/>
        <v>7</v>
      </c>
      <c r="L10" s="2">
        <f t="shared" si="3"/>
        <v>69.099999999999994</v>
      </c>
      <c r="M10" s="2">
        <f t="shared" si="4"/>
        <v>78.3</v>
      </c>
      <c r="O10" s="7" t="s">
        <v>60</v>
      </c>
    </row>
    <row r="11" spans="1:16" x14ac:dyDescent="0.3">
      <c r="A11" s="2">
        <f>Datos!A11</f>
        <v>174</v>
      </c>
      <c r="B11" s="2" t="str">
        <f>Datos!B11</f>
        <v>Female</v>
      </c>
      <c r="C11" s="2" t="str">
        <f>Datos!C11</f>
        <v>PhD</v>
      </c>
      <c r="D11" s="2" t="str">
        <f>Datos!G11</f>
        <v>D</v>
      </c>
      <c r="E11" s="2">
        <f>Datos!I11</f>
        <v>4.5</v>
      </c>
      <c r="F11" s="2">
        <f>Datos!J11</f>
        <v>96.1</v>
      </c>
      <c r="G11" s="2">
        <f>Datos!L11</f>
        <v>35.9</v>
      </c>
      <c r="H11" s="2">
        <f>Datos!M11</f>
        <v>61</v>
      </c>
      <c r="I11" s="2" t="b">
        <f t="shared" si="0"/>
        <v>1</v>
      </c>
      <c r="J11" s="2">
        <f t="shared" si="1"/>
        <v>61</v>
      </c>
      <c r="K11" s="2">
        <f t="shared" si="2"/>
        <v>4.5</v>
      </c>
      <c r="L11" s="2">
        <f t="shared" si="3"/>
        <v>35.9</v>
      </c>
      <c r="M11" s="2">
        <f t="shared" si="4"/>
        <v>96.1</v>
      </c>
    </row>
    <row r="12" spans="1:16" x14ac:dyDescent="0.3">
      <c r="A12" s="2">
        <f>Datos!A12</f>
        <v>355</v>
      </c>
      <c r="B12" s="2" t="str">
        <f>Datos!B12</f>
        <v>Male</v>
      </c>
      <c r="C12" s="2" t="str">
        <f>Datos!C12</f>
        <v>Bachelors</v>
      </c>
      <c r="D12" s="2" t="str">
        <f>Datos!G12</f>
        <v>B</v>
      </c>
      <c r="E12" s="2">
        <f>Datos!I12</f>
        <v>5</v>
      </c>
      <c r="F12" s="2">
        <f>Datos!J12</f>
        <v>87.7</v>
      </c>
      <c r="G12" s="2">
        <f>Datos!L12</f>
        <v>90.9</v>
      </c>
      <c r="H12" s="2">
        <f>Datos!M12</f>
        <v>87.8</v>
      </c>
      <c r="I12" s="2" t="b">
        <f t="shared" si="0"/>
        <v>1</v>
      </c>
      <c r="J12" s="2">
        <f t="shared" si="1"/>
        <v>87.8</v>
      </c>
      <c r="K12" s="2">
        <f t="shared" si="2"/>
        <v>5</v>
      </c>
      <c r="L12" s="2">
        <f t="shared" si="3"/>
        <v>90.9</v>
      </c>
      <c r="M12" s="2">
        <f t="shared" si="4"/>
        <v>87.7</v>
      </c>
    </row>
    <row r="13" spans="1:16" x14ac:dyDescent="0.3">
      <c r="A13" s="2">
        <f>Datos!A13</f>
        <v>647</v>
      </c>
      <c r="B13" s="2" t="str">
        <f>Datos!B13</f>
        <v>Male</v>
      </c>
      <c r="C13" s="2" t="str">
        <f>Datos!C13</f>
        <v>Bachelors</v>
      </c>
      <c r="D13" s="2" t="str">
        <f>Datos!G13</f>
        <v>D</v>
      </c>
      <c r="E13" s="2">
        <f>Datos!I13</f>
        <v>5.6</v>
      </c>
      <c r="F13" s="2">
        <f>Datos!J13</f>
        <v>88.5</v>
      </c>
      <c r="G13" s="2">
        <f>Datos!L13</f>
        <v>40.799999999999997</v>
      </c>
      <c r="H13" s="2">
        <f>Datos!M13</f>
        <v>61.5</v>
      </c>
      <c r="I13" s="2" t="b">
        <f t="shared" si="0"/>
        <v>1</v>
      </c>
      <c r="J13" s="2">
        <f t="shared" si="1"/>
        <v>61.5</v>
      </c>
      <c r="K13" s="2">
        <f t="shared" si="2"/>
        <v>5.6</v>
      </c>
      <c r="L13" s="2">
        <f t="shared" si="3"/>
        <v>40.799999999999997</v>
      </c>
      <c r="M13" s="2">
        <f t="shared" si="4"/>
        <v>88.5</v>
      </c>
    </row>
    <row r="14" spans="1:16" x14ac:dyDescent="0.3">
      <c r="A14" s="2">
        <f>Datos!A14</f>
        <v>868</v>
      </c>
      <c r="B14" s="2" t="str">
        <f>Datos!B14</f>
        <v>Female</v>
      </c>
      <c r="C14" s="2" t="str">
        <f>Datos!C14</f>
        <v>Bachelors</v>
      </c>
      <c r="D14" s="2" t="str">
        <f>Datos!G14</f>
        <v>B</v>
      </c>
      <c r="E14" s="2">
        <f>Datos!I14</f>
        <v>2.6</v>
      </c>
      <c r="F14" s="2">
        <f>Datos!J14</f>
        <v>73.900000000000006</v>
      </c>
      <c r="G14" s="2">
        <f>Datos!L14</f>
        <v>83.3</v>
      </c>
      <c r="H14" s="2">
        <f>Datos!M14</f>
        <v>73</v>
      </c>
      <c r="I14" s="2" t="b">
        <f t="shared" si="0"/>
        <v>1</v>
      </c>
      <c r="J14" s="2">
        <f t="shared" si="1"/>
        <v>73</v>
      </c>
      <c r="K14" s="2">
        <f t="shared" si="2"/>
        <v>2.6</v>
      </c>
      <c r="L14" s="2">
        <f t="shared" si="3"/>
        <v>83.3</v>
      </c>
      <c r="M14" s="2">
        <f t="shared" si="4"/>
        <v>73.900000000000006</v>
      </c>
    </row>
    <row r="15" spans="1:16" x14ac:dyDescent="0.3">
      <c r="A15" s="2">
        <f>Datos!A15</f>
        <v>344</v>
      </c>
      <c r="B15" s="2" t="str">
        <f>Datos!B15</f>
        <v>Male</v>
      </c>
      <c r="C15" s="2" t="str">
        <f>Datos!C15</f>
        <v>PhD</v>
      </c>
      <c r="D15" s="2" t="str">
        <f>Datos!G15</f>
        <v>D</v>
      </c>
      <c r="E15" s="2">
        <f>Datos!I15</f>
        <v>3.5</v>
      </c>
      <c r="F15" s="2">
        <f>Datos!J15</f>
        <v>66.7</v>
      </c>
      <c r="G15" s="2">
        <f>Datos!L15</f>
        <v>92.2</v>
      </c>
      <c r="H15" s="2">
        <f>Datos!M15</f>
        <v>74.099999999999994</v>
      </c>
      <c r="I15" s="2" t="b">
        <f t="shared" si="0"/>
        <v>1</v>
      </c>
      <c r="J15" s="2">
        <f t="shared" si="1"/>
        <v>74.099999999999994</v>
      </c>
      <c r="K15" s="2">
        <f t="shared" si="2"/>
        <v>3.5</v>
      </c>
      <c r="L15" s="2">
        <f t="shared" si="3"/>
        <v>92.2</v>
      </c>
      <c r="M15" s="2">
        <f t="shared" si="4"/>
        <v>66.7</v>
      </c>
    </row>
    <row r="16" spans="1:16" x14ac:dyDescent="0.3">
      <c r="A16" s="2">
        <f>Datos!A16</f>
        <v>125</v>
      </c>
      <c r="B16" s="2" t="str">
        <f>Datos!B16</f>
        <v>Male</v>
      </c>
      <c r="C16" s="2" t="str">
        <f>Datos!C16</f>
        <v>PhD</v>
      </c>
      <c r="D16" s="2" t="str">
        <f>Datos!G16</f>
        <v>B</v>
      </c>
      <c r="E16" s="2">
        <f>Datos!I16</f>
        <v>4.8</v>
      </c>
      <c r="F16" s="2">
        <f>Datos!J16</f>
        <v>68.900000000000006</v>
      </c>
      <c r="G16" s="2">
        <f>Datos!L16</f>
        <v>65</v>
      </c>
      <c r="H16" s="2">
        <f>Datos!M16</f>
        <v>82.7</v>
      </c>
      <c r="I16" s="2" t="b">
        <f t="shared" si="0"/>
        <v>1</v>
      </c>
      <c r="J16" s="2">
        <f t="shared" si="1"/>
        <v>82.7</v>
      </c>
      <c r="K16" s="2">
        <f t="shared" si="2"/>
        <v>4.8</v>
      </c>
      <c r="L16" s="2">
        <f t="shared" si="3"/>
        <v>65</v>
      </c>
      <c r="M16" s="2">
        <f t="shared" si="4"/>
        <v>68.900000000000006</v>
      </c>
    </row>
    <row r="17" spans="1:13" x14ac:dyDescent="0.3">
      <c r="A17" s="2">
        <f>Datos!A17</f>
        <v>673</v>
      </c>
      <c r="B17" s="2" t="str">
        <f>Datos!B17</f>
        <v>Female</v>
      </c>
      <c r="C17" s="2" t="str">
        <f>Datos!C17</f>
        <v>High School</v>
      </c>
      <c r="D17" s="2" t="str">
        <f>Datos!G17</f>
        <v>C</v>
      </c>
      <c r="E17" s="2">
        <f>Datos!I17</f>
        <v>6.2</v>
      </c>
      <c r="F17" s="2">
        <f>Datos!J17</f>
        <v>82</v>
      </c>
      <c r="G17" s="2">
        <f>Datos!L17</f>
        <v>38</v>
      </c>
      <c r="H17" s="2">
        <f>Datos!M17</f>
        <v>72.900000000000006</v>
      </c>
      <c r="I17" s="2" t="b">
        <f t="shared" si="0"/>
        <v>1</v>
      </c>
      <c r="J17" s="2">
        <f t="shared" si="1"/>
        <v>72.900000000000006</v>
      </c>
      <c r="K17" s="2">
        <f t="shared" si="2"/>
        <v>6.2</v>
      </c>
      <c r="L17" s="2">
        <f t="shared" si="3"/>
        <v>38</v>
      </c>
      <c r="M17" s="2">
        <f t="shared" si="4"/>
        <v>82</v>
      </c>
    </row>
    <row r="18" spans="1:13" x14ac:dyDescent="0.3">
      <c r="A18" s="2">
        <f>Datos!A18</f>
        <v>610</v>
      </c>
      <c r="B18" s="2" t="str">
        <f>Datos!B18</f>
        <v>Female</v>
      </c>
      <c r="C18" s="2">
        <f>Datos!C18</f>
        <v>0</v>
      </c>
      <c r="D18" s="2" t="str">
        <f>Datos!G18</f>
        <v>C</v>
      </c>
      <c r="E18" s="2">
        <f>Datos!I18</f>
        <v>6.1</v>
      </c>
      <c r="F18" s="2">
        <f>Datos!J18</f>
        <v>73.8</v>
      </c>
      <c r="G18" s="2">
        <f>Datos!L18</f>
        <v>45.3</v>
      </c>
      <c r="H18" s="2">
        <f>Datos!M18</f>
        <v>79.8</v>
      </c>
      <c r="I18" s="2" t="b">
        <f t="shared" si="0"/>
        <v>1</v>
      </c>
      <c r="J18" s="2">
        <f t="shared" si="1"/>
        <v>79.8</v>
      </c>
      <c r="K18" s="2">
        <f t="shared" si="2"/>
        <v>6.1</v>
      </c>
      <c r="L18" s="2">
        <f t="shared" si="3"/>
        <v>45.3</v>
      </c>
      <c r="M18" s="2">
        <f t="shared" si="4"/>
        <v>73.8</v>
      </c>
    </row>
    <row r="19" spans="1:13" x14ac:dyDescent="0.3">
      <c r="A19" s="2">
        <f>Datos!A19</f>
        <v>812</v>
      </c>
      <c r="B19" s="2" t="str">
        <f>Datos!B19</f>
        <v>Male</v>
      </c>
      <c r="C19" s="2" t="str">
        <f>Datos!C19</f>
        <v>PhD</v>
      </c>
      <c r="D19" s="2" t="str">
        <f>Datos!G19</f>
        <v>C</v>
      </c>
      <c r="E19" s="2">
        <f>Datos!I19</f>
        <v>3.5</v>
      </c>
      <c r="F19" s="2">
        <f>Datos!J19</f>
        <v>76.400000000000006</v>
      </c>
      <c r="G19" s="2">
        <f>Datos!L19</f>
        <v>78.8</v>
      </c>
      <c r="H19" s="2">
        <f>Datos!M19</f>
        <v>74.2</v>
      </c>
      <c r="I19" s="2" t="b">
        <f t="shared" si="0"/>
        <v>1</v>
      </c>
      <c r="J19" s="2">
        <f t="shared" si="1"/>
        <v>74.2</v>
      </c>
      <c r="K19" s="2">
        <f t="shared" si="2"/>
        <v>3.5</v>
      </c>
      <c r="L19" s="2">
        <f t="shared" si="3"/>
        <v>78.8</v>
      </c>
      <c r="M19" s="2">
        <f t="shared" si="4"/>
        <v>76.400000000000006</v>
      </c>
    </row>
    <row r="20" spans="1:13" x14ac:dyDescent="0.3">
      <c r="A20" s="2">
        <f>Datos!A20</f>
        <v>574</v>
      </c>
      <c r="B20" s="2" t="str">
        <f>Datos!B20</f>
        <v>Male</v>
      </c>
      <c r="C20" s="2">
        <f>Datos!C20</f>
        <v>0</v>
      </c>
      <c r="D20" s="2" t="str">
        <f>Datos!G20</f>
        <v>F</v>
      </c>
      <c r="E20" s="2">
        <f>Datos!I20</f>
        <v>2.7</v>
      </c>
      <c r="F20" s="2">
        <f>Datos!J20</f>
        <v>90.1</v>
      </c>
      <c r="G20" s="2">
        <f>Datos!L20</f>
        <v>37.9</v>
      </c>
      <c r="H20" s="2">
        <f>Datos!M20</f>
        <v>57.8</v>
      </c>
      <c r="I20" s="2" t="b">
        <f t="shared" si="0"/>
        <v>1</v>
      </c>
      <c r="J20" s="2">
        <f t="shared" si="1"/>
        <v>57.8</v>
      </c>
      <c r="K20" s="2">
        <f t="shared" si="2"/>
        <v>2.7</v>
      </c>
      <c r="L20" s="2">
        <f t="shared" si="3"/>
        <v>37.9</v>
      </c>
      <c r="M20" s="2">
        <f t="shared" si="4"/>
        <v>90.1</v>
      </c>
    </row>
    <row r="21" spans="1:13" x14ac:dyDescent="0.3">
      <c r="A21" s="2">
        <f>Datos!A21</f>
        <v>547</v>
      </c>
      <c r="B21" s="2" t="str">
        <f>Datos!B21</f>
        <v>Male</v>
      </c>
      <c r="C21" s="2" t="str">
        <f>Datos!C21</f>
        <v>High School</v>
      </c>
      <c r="D21" s="2" t="str">
        <f>Datos!G21</f>
        <v>C</v>
      </c>
      <c r="E21" s="2">
        <f>Datos!I21</f>
        <v>1.9</v>
      </c>
      <c r="F21" s="2">
        <f>Datos!J21</f>
        <v>82</v>
      </c>
      <c r="G21" s="2">
        <f>Datos!L21</f>
        <v>82.3</v>
      </c>
      <c r="H21" s="2">
        <f>Datos!M21</f>
        <v>74.099999999999994</v>
      </c>
      <c r="I21" s="2" t="b">
        <f t="shared" si="0"/>
        <v>1</v>
      </c>
      <c r="J21" s="2">
        <f t="shared" si="1"/>
        <v>74.099999999999994</v>
      </c>
      <c r="K21" s="2">
        <f t="shared" si="2"/>
        <v>1.9</v>
      </c>
      <c r="L21" s="2">
        <f t="shared" si="3"/>
        <v>82.3</v>
      </c>
      <c r="M21" s="2">
        <f t="shared" si="4"/>
        <v>82</v>
      </c>
    </row>
    <row r="22" spans="1:13" x14ac:dyDescent="0.3">
      <c r="A22" s="2">
        <f>Datos!A22</f>
        <v>942</v>
      </c>
      <c r="B22" s="2" t="str">
        <f>Datos!B22</f>
        <v>Female</v>
      </c>
      <c r="C22" s="2">
        <f>Datos!C22</f>
        <v>0</v>
      </c>
      <c r="D22" s="2" t="str">
        <f>Datos!G22</f>
        <v>B</v>
      </c>
      <c r="E22" s="2">
        <f>Datos!I22</f>
        <v>5.7</v>
      </c>
      <c r="F22" s="2">
        <f>Datos!J22</f>
        <v>89.8</v>
      </c>
      <c r="G22" s="2">
        <f>Datos!L22</f>
        <v>71.3</v>
      </c>
      <c r="H22" s="2">
        <f>Datos!M22</f>
        <v>80.5</v>
      </c>
      <c r="I22" s="2" t="b">
        <f t="shared" si="0"/>
        <v>1</v>
      </c>
      <c r="J22" s="2">
        <f t="shared" si="1"/>
        <v>80.5</v>
      </c>
      <c r="K22" s="2">
        <f t="shared" si="2"/>
        <v>5.7</v>
      </c>
      <c r="L22" s="2">
        <f t="shared" si="3"/>
        <v>71.3</v>
      </c>
      <c r="M22" s="2">
        <f t="shared" si="4"/>
        <v>89.8</v>
      </c>
    </row>
    <row r="23" spans="1:13" x14ac:dyDescent="0.3">
      <c r="A23" s="2">
        <f>Datos!A23</f>
        <v>725</v>
      </c>
      <c r="B23" s="2" t="str">
        <f>Datos!B23</f>
        <v>Female</v>
      </c>
      <c r="C23" s="2" t="str">
        <f>Datos!C23</f>
        <v>Bachelors</v>
      </c>
      <c r="D23" s="2" t="str">
        <f>Datos!G23</f>
        <v>D</v>
      </c>
      <c r="E23" s="2">
        <f>Datos!I23</f>
        <v>3.4</v>
      </c>
      <c r="F23" s="2">
        <f>Datos!J23</f>
        <v>71</v>
      </c>
      <c r="G23" s="2">
        <f>Datos!L23</f>
        <v>88.5</v>
      </c>
      <c r="H23" s="2">
        <f>Datos!M23</f>
        <v>62.6</v>
      </c>
      <c r="I23" s="2" t="b">
        <f t="shared" si="0"/>
        <v>1</v>
      </c>
      <c r="J23" s="2">
        <f t="shared" si="1"/>
        <v>62.6</v>
      </c>
      <c r="K23" s="2">
        <f t="shared" si="2"/>
        <v>3.4</v>
      </c>
      <c r="L23" s="2">
        <f t="shared" si="3"/>
        <v>88.5</v>
      </c>
      <c r="M23" s="2">
        <f t="shared" si="4"/>
        <v>71</v>
      </c>
    </row>
    <row r="24" spans="1:13" x14ac:dyDescent="0.3">
      <c r="A24" s="2">
        <f>Datos!A24</f>
        <v>198</v>
      </c>
      <c r="B24" s="2" t="str">
        <f>Datos!B24</f>
        <v>Female</v>
      </c>
      <c r="C24" s="2" t="str">
        <f>Datos!C24</f>
        <v>Masters</v>
      </c>
      <c r="D24" s="2" t="str">
        <f>Datos!G24</f>
        <v>C</v>
      </c>
      <c r="E24" s="2">
        <f>Datos!I24</f>
        <v>3.4</v>
      </c>
      <c r="F24" s="2">
        <f>Datos!J24</f>
        <v>77.099999999999994</v>
      </c>
      <c r="G24" s="2">
        <f>Datos!L24</f>
        <v>44.2</v>
      </c>
      <c r="H24" s="2">
        <f>Datos!M24</f>
        <v>71.5</v>
      </c>
      <c r="I24" s="2" t="b">
        <f t="shared" si="0"/>
        <v>1</v>
      </c>
      <c r="J24" s="2">
        <f t="shared" si="1"/>
        <v>71.5</v>
      </c>
      <c r="K24" s="2">
        <f t="shared" si="2"/>
        <v>3.4</v>
      </c>
      <c r="L24" s="2">
        <f t="shared" si="3"/>
        <v>44.2</v>
      </c>
      <c r="M24" s="2">
        <f t="shared" si="4"/>
        <v>77.099999999999994</v>
      </c>
    </row>
    <row r="25" spans="1:13" x14ac:dyDescent="0.3">
      <c r="A25" s="2">
        <f>Datos!A25</f>
        <v>645</v>
      </c>
      <c r="B25" s="2" t="str">
        <f>Datos!B25</f>
        <v>Female</v>
      </c>
      <c r="C25" s="2" t="str">
        <f>Datos!C25</f>
        <v>Bachelors</v>
      </c>
      <c r="D25" s="2" t="str">
        <f>Datos!G25</f>
        <v>D</v>
      </c>
      <c r="E25" s="2">
        <f>Datos!I25</f>
        <v>1</v>
      </c>
      <c r="F25" s="2">
        <f>Datos!J25</f>
        <v>88.8</v>
      </c>
      <c r="G25" s="2">
        <f>Datos!L25</f>
        <v>47.1</v>
      </c>
      <c r="H25" s="2">
        <f>Datos!M25</f>
        <v>69.8</v>
      </c>
      <c r="I25" s="2" t="b">
        <f t="shared" si="0"/>
        <v>1</v>
      </c>
      <c r="J25" s="2">
        <f t="shared" si="1"/>
        <v>69.8</v>
      </c>
      <c r="K25" s="2">
        <f t="shared" si="2"/>
        <v>1</v>
      </c>
      <c r="L25" s="2">
        <f t="shared" si="3"/>
        <v>47.1</v>
      </c>
      <c r="M25" s="2">
        <f t="shared" si="4"/>
        <v>88.8</v>
      </c>
    </row>
    <row r="26" spans="1:13" x14ac:dyDescent="0.3">
      <c r="A26" s="2">
        <f>Datos!A26</f>
        <v>583</v>
      </c>
      <c r="B26" s="2" t="str">
        <f>Datos!B26</f>
        <v>Female</v>
      </c>
      <c r="C26" s="2" t="str">
        <f>Datos!C26</f>
        <v>PhD</v>
      </c>
      <c r="D26" s="2" t="str">
        <f>Datos!G26</f>
        <v>D</v>
      </c>
      <c r="E26" s="2">
        <f>Datos!I26</f>
        <v>3.6</v>
      </c>
      <c r="F26" s="2">
        <f>Datos!J26</f>
        <v>67.2</v>
      </c>
      <c r="G26" s="2">
        <f>Datos!L26</f>
        <v>71.099999999999994</v>
      </c>
      <c r="H26" s="2">
        <f>Datos!M26</f>
        <v>65.2</v>
      </c>
      <c r="I26" s="2" t="b">
        <f t="shared" si="0"/>
        <v>1</v>
      </c>
      <c r="J26" s="2">
        <f t="shared" si="1"/>
        <v>65.2</v>
      </c>
      <c r="K26" s="2">
        <f t="shared" si="2"/>
        <v>3.6</v>
      </c>
      <c r="L26" s="2">
        <f t="shared" si="3"/>
        <v>71.099999999999994</v>
      </c>
      <c r="M26" s="2">
        <f t="shared" si="4"/>
        <v>67.2</v>
      </c>
    </row>
    <row r="27" spans="1:13" x14ac:dyDescent="0.3">
      <c r="A27" s="2">
        <f>Datos!A27</f>
        <v>384</v>
      </c>
      <c r="B27" s="2" t="str">
        <f>Datos!B27</f>
        <v>Male</v>
      </c>
      <c r="C27" s="2">
        <f>Datos!C27</f>
        <v>0</v>
      </c>
      <c r="D27" s="2" t="str">
        <f>Datos!G27</f>
        <v>B</v>
      </c>
      <c r="E27" s="2">
        <f>Datos!I27</f>
        <v>6.9</v>
      </c>
      <c r="F27" s="2">
        <f>Datos!J27</f>
        <v>92.4</v>
      </c>
      <c r="G27" s="2">
        <f>Datos!L27</f>
        <v>62.1</v>
      </c>
      <c r="H27" s="2">
        <f>Datos!M27</f>
        <v>74.099999999999994</v>
      </c>
      <c r="I27" s="2" t="b">
        <f t="shared" si="0"/>
        <v>1</v>
      </c>
      <c r="J27" s="2">
        <f t="shared" si="1"/>
        <v>74.099999999999994</v>
      </c>
      <c r="K27" s="2">
        <f t="shared" si="2"/>
        <v>6.9</v>
      </c>
      <c r="L27" s="2">
        <f t="shared" si="3"/>
        <v>62.1</v>
      </c>
      <c r="M27" s="2">
        <f t="shared" si="4"/>
        <v>92.4</v>
      </c>
    </row>
    <row r="28" spans="1:13" x14ac:dyDescent="0.3">
      <c r="A28" s="2">
        <f>Datos!A28</f>
        <v>546</v>
      </c>
      <c r="B28" s="2" t="str">
        <f>Datos!B28</f>
        <v>Male</v>
      </c>
      <c r="C28" s="2" t="str">
        <f>Datos!C28</f>
        <v>Masters</v>
      </c>
      <c r="D28" s="2" t="str">
        <f>Datos!G28</f>
        <v>A</v>
      </c>
      <c r="E28" s="2">
        <f>Datos!I28</f>
        <v>4.8</v>
      </c>
      <c r="F28" s="2">
        <f>Datos!J28</f>
        <v>97.2</v>
      </c>
      <c r="G28" s="2">
        <f>Datos!L28</f>
        <v>87.8</v>
      </c>
      <c r="H28" s="2">
        <f>Datos!M28</f>
        <v>94.5</v>
      </c>
      <c r="I28" s="2" t="b">
        <f t="shared" si="0"/>
        <v>1</v>
      </c>
      <c r="J28" s="2">
        <f t="shared" si="1"/>
        <v>94.5</v>
      </c>
      <c r="K28" s="2">
        <f t="shared" si="2"/>
        <v>4.8</v>
      </c>
      <c r="L28" s="2">
        <f t="shared" si="3"/>
        <v>87.8</v>
      </c>
      <c r="M28" s="2">
        <f t="shared" si="4"/>
        <v>97.2</v>
      </c>
    </row>
    <row r="29" spans="1:13" x14ac:dyDescent="0.3">
      <c r="A29" s="2">
        <f>Datos!A29</f>
        <v>662</v>
      </c>
      <c r="B29" s="2" t="str">
        <f>Datos!B29</f>
        <v>Male</v>
      </c>
      <c r="C29" s="2" t="str">
        <f>Datos!C29</f>
        <v>High School</v>
      </c>
      <c r="D29" s="2" t="str">
        <f>Datos!G29</f>
        <v>C</v>
      </c>
      <c r="E29" s="2">
        <f>Datos!I29</f>
        <v>5</v>
      </c>
      <c r="F29" s="2">
        <f>Datos!J29</f>
        <v>73.400000000000006</v>
      </c>
      <c r="G29" s="2">
        <f>Datos!L29</f>
        <v>58.1</v>
      </c>
      <c r="H29" s="2">
        <f>Datos!M29</f>
        <v>72.099999999999994</v>
      </c>
      <c r="I29" s="2" t="b">
        <f t="shared" si="0"/>
        <v>1</v>
      </c>
      <c r="J29" s="2">
        <f t="shared" si="1"/>
        <v>72.099999999999994</v>
      </c>
      <c r="K29" s="2">
        <f t="shared" si="2"/>
        <v>5</v>
      </c>
      <c r="L29" s="2">
        <f t="shared" si="3"/>
        <v>58.1</v>
      </c>
      <c r="M29" s="2">
        <f t="shared" si="4"/>
        <v>73.400000000000006</v>
      </c>
    </row>
    <row r="30" spans="1:13" x14ac:dyDescent="0.3">
      <c r="A30" s="2">
        <f>Datos!A30</f>
        <v>418</v>
      </c>
      <c r="B30" s="2" t="str">
        <f>Datos!B30</f>
        <v>Male</v>
      </c>
      <c r="C30" s="2" t="str">
        <f>Datos!C30</f>
        <v>High School</v>
      </c>
      <c r="D30" s="2" t="str">
        <f>Datos!G30</f>
        <v>F</v>
      </c>
      <c r="E30" s="2">
        <f>Datos!I30</f>
        <v>1.1000000000000001</v>
      </c>
      <c r="F30" s="2">
        <f>Datos!J30</f>
        <v>73.7</v>
      </c>
      <c r="G30" s="2">
        <f>Datos!L30</f>
        <v>74.7</v>
      </c>
      <c r="H30" s="2">
        <f>Datos!M30</f>
        <v>58.9</v>
      </c>
      <c r="I30" s="2" t="b">
        <f t="shared" si="0"/>
        <v>1</v>
      </c>
      <c r="J30" s="2">
        <f t="shared" si="1"/>
        <v>58.9</v>
      </c>
      <c r="K30" s="2">
        <f t="shared" si="2"/>
        <v>1.1000000000000001</v>
      </c>
      <c r="L30" s="2">
        <f t="shared" si="3"/>
        <v>74.7</v>
      </c>
      <c r="M30" s="2">
        <f t="shared" si="4"/>
        <v>73.7</v>
      </c>
    </row>
    <row r="31" spans="1:13" x14ac:dyDescent="0.3">
      <c r="A31" s="2">
        <f>Datos!A31</f>
        <v>463</v>
      </c>
      <c r="B31" s="2" t="str">
        <f>Datos!B31</f>
        <v>Female</v>
      </c>
      <c r="C31" s="2" t="str">
        <f>Datos!C31</f>
        <v>Bachelors</v>
      </c>
      <c r="D31" s="2" t="str">
        <f>Datos!G31</f>
        <v>B</v>
      </c>
      <c r="E31" s="2">
        <f>Datos!I31</f>
        <v>4</v>
      </c>
      <c r="F31" s="2">
        <f>Datos!J31</f>
        <v>81.099999999999994</v>
      </c>
      <c r="G31" s="2">
        <f>Datos!L31</f>
        <v>82.3</v>
      </c>
      <c r="H31" s="2">
        <f>Datos!M31</f>
        <v>81.599999999999994</v>
      </c>
      <c r="I31" s="2" t="b">
        <f t="shared" si="0"/>
        <v>1</v>
      </c>
      <c r="J31" s="2">
        <f t="shared" si="1"/>
        <v>81.599999999999994</v>
      </c>
      <c r="K31" s="2">
        <f t="shared" si="2"/>
        <v>4</v>
      </c>
      <c r="L31" s="2">
        <f t="shared" si="3"/>
        <v>82.3</v>
      </c>
      <c r="M31" s="2">
        <f t="shared" si="4"/>
        <v>81.099999999999994</v>
      </c>
    </row>
    <row r="32" spans="1:13" x14ac:dyDescent="0.3">
      <c r="A32" s="2">
        <f>Datos!A32</f>
        <v>222</v>
      </c>
      <c r="B32" s="2" t="str">
        <f>Datos!B32</f>
        <v>Female</v>
      </c>
      <c r="C32" s="2" t="str">
        <f>Datos!C32</f>
        <v>High School</v>
      </c>
      <c r="D32" s="2" t="str">
        <f>Datos!G32</f>
        <v>F</v>
      </c>
      <c r="E32" s="2">
        <f>Datos!I32</f>
        <v>1</v>
      </c>
      <c r="F32" s="2">
        <f>Datos!J32</f>
        <v>81.599999999999994</v>
      </c>
      <c r="G32" s="2">
        <f>Datos!L32</f>
        <v>66.2</v>
      </c>
      <c r="H32" s="2">
        <f>Datos!M32</f>
        <v>57.5</v>
      </c>
      <c r="I32" s="2" t="b">
        <f t="shared" si="0"/>
        <v>1</v>
      </c>
      <c r="J32" s="2">
        <f t="shared" si="1"/>
        <v>57.5</v>
      </c>
      <c r="K32" s="2">
        <f t="shared" si="2"/>
        <v>1</v>
      </c>
      <c r="L32" s="2">
        <f t="shared" si="3"/>
        <v>66.2</v>
      </c>
      <c r="M32" s="2">
        <f t="shared" si="4"/>
        <v>81.599999999999994</v>
      </c>
    </row>
    <row r="33" spans="1:13" x14ac:dyDescent="0.3">
      <c r="A33" s="2">
        <f>Datos!A33</f>
        <v>172</v>
      </c>
      <c r="B33" s="2" t="str">
        <f>Datos!B33</f>
        <v>Male</v>
      </c>
      <c r="C33" s="2" t="str">
        <f>Datos!C33</f>
        <v>High School</v>
      </c>
      <c r="D33" s="2" t="str">
        <f>Datos!G33</f>
        <v>F</v>
      </c>
      <c r="E33" s="2">
        <f>Datos!I33</f>
        <v>1.6</v>
      </c>
      <c r="F33" s="2">
        <f>Datos!J33</f>
        <v>81.400000000000006</v>
      </c>
      <c r="G33" s="2">
        <f>Datos!L33</f>
        <v>51.4</v>
      </c>
      <c r="H33" s="2">
        <f>Datos!M33</f>
        <v>57.9</v>
      </c>
      <c r="I33" s="2" t="b">
        <f t="shared" si="0"/>
        <v>1</v>
      </c>
      <c r="J33" s="2">
        <f t="shared" si="1"/>
        <v>57.9</v>
      </c>
      <c r="K33" s="2">
        <f t="shared" si="2"/>
        <v>1.6</v>
      </c>
      <c r="L33" s="2">
        <f t="shared" si="3"/>
        <v>51.4</v>
      </c>
      <c r="M33" s="2">
        <f t="shared" si="4"/>
        <v>81.400000000000006</v>
      </c>
    </row>
    <row r="34" spans="1:13" x14ac:dyDescent="0.3">
      <c r="A34" s="2">
        <f>Datos!A34</f>
        <v>813</v>
      </c>
      <c r="B34" s="2" t="str">
        <f>Datos!B34</f>
        <v>Male</v>
      </c>
      <c r="C34" s="2" t="str">
        <f>Datos!C34</f>
        <v>PhD</v>
      </c>
      <c r="D34" s="2" t="str">
        <f>Datos!G34</f>
        <v>C</v>
      </c>
      <c r="E34" s="2">
        <f>Datos!I34</f>
        <v>3.3</v>
      </c>
      <c r="F34" s="2">
        <f>Datos!J34</f>
        <v>74.7</v>
      </c>
      <c r="G34" s="2">
        <f>Datos!L34</f>
        <v>74.5</v>
      </c>
      <c r="H34" s="2">
        <f>Datos!M34</f>
        <v>73.099999999999994</v>
      </c>
      <c r="I34" s="2" t="b">
        <f t="shared" si="0"/>
        <v>1</v>
      </c>
      <c r="J34" s="2">
        <f t="shared" si="1"/>
        <v>73.099999999999994</v>
      </c>
      <c r="K34" s="2">
        <f t="shared" si="2"/>
        <v>3.3</v>
      </c>
      <c r="L34" s="2">
        <f t="shared" si="3"/>
        <v>74.5</v>
      </c>
      <c r="M34" s="2">
        <f t="shared" si="4"/>
        <v>74.7</v>
      </c>
    </row>
    <row r="35" spans="1:13" x14ac:dyDescent="0.3">
      <c r="A35" s="2">
        <f>Datos!A35</f>
        <v>423</v>
      </c>
      <c r="B35" s="2" t="str">
        <f>Datos!B35</f>
        <v>Male</v>
      </c>
      <c r="C35" s="2" t="str">
        <f>Datos!C35</f>
        <v>Masters</v>
      </c>
      <c r="D35" s="2" t="str">
        <f>Datos!G35</f>
        <v>C</v>
      </c>
      <c r="E35" s="2">
        <f>Datos!I35</f>
        <v>4.5999999999999996</v>
      </c>
      <c r="F35" s="2">
        <f>Datos!J35</f>
        <v>97.7</v>
      </c>
      <c r="G35" s="2">
        <f>Datos!L35</f>
        <v>67</v>
      </c>
      <c r="H35" s="2">
        <f>Datos!M35</f>
        <v>78.5</v>
      </c>
      <c r="I35" s="2" t="b">
        <f t="shared" si="0"/>
        <v>1</v>
      </c>
      <c r="J35" s="2">
        <f t="shared" si="1"/>
        <v>78.5</v>
      </c>
      <c r="K35" s="2">
        <f t="shared" si="2"/>
        <v>4.5999999999999996</v>
      </c>
      <c r="L35" s="2">
        <f t="shared" si="3"/>
        <v>67</v>
      </c>
      <c r="M35" s="2">
        <f t="shared" si="4"/>
        <v>97.7</v>
      </c>
    </row>
    <row r="36" spans="1:13" x14ac:dyDescent="0.3">
      <c r="A36" s="2">
        <f>Datos!A36</f>
        <v>291</v>
      </c>
      <c r="B36" s="2" t="str">
        <f>Datos!B36</f>
        <v>Male</v>
      </c>
      <c r="C36" s="2" t="str">
        <f>Datos!C36</f>
        <v>Masters</v>
      </c>
      <c r="D36" s="2" t="str">
        <f>Datos!G36</f>
        <v>C</v>
      </c>
      <c r="E36" s="2">
        <f>Datos!I36</f>
        <v>2.2999999999999998</v>
      </c>
      <c r="F36" s="2">
        <f>Datos!J36</f>
        <v>82.3</v>
      </c>
      <c r="G36" s="2">
        <f>Datos!L36</f>
        <v>87.6</v>
      </c>
      <c r="H36" s="2">
        <f>Datos!M36</f>
        <v>79.599999999999994</v>
      </c>
      <c r="I36" s="2" t="b">
        <f t="shared" si="0"/>
        <v>1</v>
      </c>
      <c r="J36" s="2">
        <f t="shared" si="1"/>
        <v>79.599999999999994</v>
      </c>
      <c r="K36" s="2">
        <f t="shared" si="2"/>
        <v>2.2999999999999998</v>
      </c>
      <c r="L36" s="2">
        <f t="shared" si="3"/>
        <v>87.6</v>
      </c>
      <c r="M36" s="2">
        <f t="shared" si="4"/>
        <v>82.3</v>
      </c>
    </row>
    <row r="37" spans="1:13" x14ac:dyDescent="0.3">
      <c r="A37" s="2">
        <f>Datos!A37</f>
        <v>749</v>
      </c>
      <c r="B37" s="2" t="str">
        <f>Datos!B37</f>
        <v>Male</v>
      </c>
      <c r="C37" s="2" t="str">
        <f>Datos!C37</f>
        <v>Masters</v>
      </c>
      <c r="D37" s="2" t="str">
        <f>Datos!G37</f>
        <v>D</v>
      </c>
      <c r="E37" s="2">
        <f>Datos!I37</f>
        <v>0.6</v>
      </c>
      <c r="F37" s="2">
        <f>Datos!J37</f>
        <v>74.5</v>
      </c>
      <c r="G37" s="2">
        <f>Datos!L37</f>
        <v>82.9</v>
      </c>
      <c r="H37" s="2">
        <f>Datos!M37</f>
        <v>66.400000000000006</v>
      </c>
      <c r="I37" s="2" t="b">
        <f t="shared" si="0"/>
        <v>1</v>
      </c>
      <c r="J37" s="2">
        <f t="shared" si="1"/>
        <v>66.400000000000006</v>
      </c>
      <c r="K37" s="2">
        <f t="shared" si="2"/>
        <v>0.6</v>
      </c>
      <c r="L37" s="2">
        <f t="shared" si="3"/>
        <v>82.9</v>
      </c>
      <c r="M37" s="2">
        <f t="shared" si="4"/>
        <v>74.5</v>
      </c>
    </row>
    <row r="38" spans="1:13" x14ac:dyDescent="0.3">
      <c r="A38" s="2">
        <f>Datos!A38</f>
        <v>249</v>
      </c>
      <c r="B38" s="2" t="str">
        <f>Datos!B38</f>
        <v>Male</v>
      </c>
      <c r="C38" s="2" t="str">
        <f>Datos!C38</f>
        <v>PhD</v>
      </c>
      <c r="D38" s="2" t="str">
        <f>Datos!G38</f>
        <v>F</v>
      </c>
      <c r="E38" s="2">
        <f>Datos!I38</f>
        <v>1.4</v>
      </c>
      <c r="F38" s="2">
        <f>Datos!J38</f>
        <v>76.2</v>
      </c>
      <c r="G38" s="2">
        <f>Datos!L38</f>
        <v>67</v>
      </c>
      <c r="H38" s="2">
        <f>Datos!M38</f>
        <v>57.2</v>
      </c>
      <c r="I38" s="2" t="b">
        <f t="shared" si="0"/>
        <v>1</v>
      </c>
      <c r="J38" s="2">
        <f t="shared" si="1"/>
        <v>57.2</v>
      </c>
      <c r="K38" s="2">
        <f t="shared" si="2"/>
        <v>1.4</v>
      </c>
      <c r="L38" s="2">
        <f t="shared" si="3"/>
        <v>67</v>
      </c>
      <c r="M38" s="2">
        <f t="shared" si="4"/>
        <v>76.2</v>
      </c>
    </row>
    <row r="39" spans="1:13" x14ac:dyDescent="0.3">
      <c r="A39" s="2">
        <f>Datos!A39</f>
        <v>638</v>
      </c>
      <c r="B39" s="2" t="str">
        <f>Datos!B39</f>
        <v>Female</v>
      </c>
      <c r="C39" s="2">
        <f>Datos!C39</f>
        <v>0</v>
      </c>
      <c r="D39" s="2" t="str">
        <f>Datos!G39</f>
        <v>C</v>
      </c>
      <c r="E39" s="2">
        <f>Datos!I39</f>
        <v>1.7</v>
      </c>
      <c r="F39" s="2">
        <f>Datos!J39</f>
        <v>82.2</v>
      </c>
      <c r="G39" s="2">
        <f>Datos!L39</f>
        <v>80.599999999999994</v>
      </c>
      <c r="H39" s="2">
        <f>Datos!M39</f>
        <v>78.2</v>
      </c>
      <c r="I39" s="2" t="b">
        <f t="shared" si="0"/>
        <v>1</v>
      </c>
      <c r="J39" s="2">
        <f t="shared" si="1"/>
        <v>78.2</v>
      </c>
      <c r="K39" s="2">
        <f t="shared" si="2"/>
        <v>1.7</v>
      </c>
      <c r="L39" s="2">
        <f t="shared" si="3"/>
        <v>80.599999999999994</v>
      </c>
      <c r="M39" s="2">
        <f t="shared" si="4"/>
        <v>82.2</v>
      </c>
    </row>
    <row r="40" spans="1:13" x14ac:dyDescent="0.3">
      <c r="A40" s="2">
        <f>Datos!A40</f>
        <v>784</v>
      </c>
      <c r="B40" s="2" t="str">
        <f>Datos!B40</f>
        <v>Male</v>
      </c>
      <c r="C40" s="2" t="str">
        <f>Datos!C40</f>
        <v>High School</v>
      </c>
      <c r="D40" s="2" t="str">
        <f>Datos!G40</f>
        <v>B</v>
      </c>
      <c r="E40" s="2">
        <f>Datos!I40</f>
        <v>5.8</v>
      </c>
      <c r="F40" s="2">
        <f>Datos!J40</f>
        <v>90.2</v>
      </c>
      <c r="G40" s="2">
        <f>Datos!L40</f>
        <v>48</v>
      </c>
      <c r="H40" s="2">
        <f>Datos!M40</f>
        <v>83.4</v>
      </c>
      <c r="I40" s="2" t="b">
        <f t="shared" si="0"/>
        <v>1</v>
      </c>
      <c r="J40" s="2">
        <f t="shared" si="1"/>
        <v>83.4</v>
      </c>
      <c r="K40" s="2">
        <f t="shared" si="2"/>
        <v>5.8</v>
      </c>
      <c r="L40" s="2">
        <f t="shared" si="3"/>
        <v>48</v>
      </c>
      <c r="M40" s="2">
        <f t="shared" si="4"/>
        <v>90.2</v>
      </c>
    </row>
    <row r="41" spans="1:13" x14ac:dyDescent="0.3">
      <c r="A41" s="2">
        <f>Datos!A41</f>
        <v>477</v>
      </c>
      <c r="B41" s="2" t="str">
        <f>Datos!B41</f>
        <v>Female</v>
      </c>
      <c r="C41" s="2" t="str">
        <f>Datos!C41</f>
        <v>Bachelors</v>
      </c>
      <c r="D41" s="2" t="str">
        <f>Datos!G41</f>
        <v>B</v>
      </c>
      <c r="E41" s="2">
        <f>Datos!I41</f>
        <v>5.8</v>
      </c>
      <c r="F41" s="2">
        <f>Datos!J41</f>
        <v>79.099999999999994</v>
      </c>
      <c r="G41" s="2">
        <f>Datos!L41</f>
        <v>66.75</v>
      </c>
      <c r="H41" s="2">
        <f>Datos!M41</f>
        <v>83.7</v>
      </c>
      <c r="I41" s="2" t="b">
        <f t="shared" si="0"/>
        <v>1</v>
      </c>
      <c r="J41" s="2">
        <f t="shared" si="1"/>
        <v>83.7</v>
      </c>
      <c r="K41" s="2">
        <f t="shared" si="2"/>
        <v>5.8</v>
      </c>
      <c r="L41" s="2">
        <f t="shared" si="3"/>
        <v>66.75</v>
      </c>
      <c r="M41" s="2">
        <f t="shared" si="4"/>
        <v>79.099999999999994</v>
      </c>
    </row>
    <row r="42" spans="1:13" x14ac:dyDescent="0.3">
      <c r="A42" s="2">
        <f>Datos!A42</f>
        <v>802</v>
      </c>
      <c r="B42" s="2" t="str">
        <f>Datos!B42</f>
        <v>Male</v>
      </c>
      <c r="C42" s="2" t="str">
        <f>Datos!C42</f>
        <v>High School</v>
      </c>
      <c r="D42" s="2" t="str">
        <f>Datos!G42</f>
        <v>D</v>
      </c>
      <c r="E42" s="2">
        <f>Datos!I42</f>
        <v>1.7</v>
      </c>
      <c r="F42" s="2">
        <f>Datos!J42</f>
        <v>99.6</v>
      </c>
      <c r="G42" s="2">
        <f>Datos!L42</f>
        <v>71.400000000000006</v>
      </c>
      <c r="H42" s="2">
        <f>Datos!M42</f>
        <v>65.099999999999994</v>
      </c>
      <c r="I42" s="2" t="b">
        <f t="shared" si="0"/>
        <v>1</v>
      </c>
      <c r="J42" s="2">
        <f t="shared" si="1"/>
        <v>65.099999999999994</v>
      </c>
      <c r="K42" s="2">
        <f t="shared" si="2"/>
        <v>1.7</v>
      </c>
      <c r="L42" s="2">
        <f t="shared" si="3"/>
        <v>71.400000000000006</v>
      </c>
      <c r="M42" s="2">
        <f t="shared" si="4"/>
        <v>99.6</v>
      </c>
    </row>
    <row r="43" spans="1:13" x14ac:dyDescent="0.3">
      <c r="A43" s="2">
        <f>Datos!A43</f>
        <v>397</v>
      </c>
      <c r="B43" s="2" t="str">
        <f>Datos!B43</f>
        <v>Male</v>
      </c>
      <c r="C43" s="2" t="str">
        <f>Datos!C43</f>
        <v>Masters</v>
      </c>
      <c r="D43" s="2" t="str">
        <f>Datos!G43</f>
        <v>D</v>
      </c>
      <c r="E43" s="2">
        <f>Datos!I43</f>
        <v>1.4</v>
      </c>
      <c r="F43" s="2">
        <f>Datos!J43</f>
        <v>75.7</v>
      </c>
      <c r="G43" s="2">
        <f>Datos!L43</f>
        <v>50.4</v>
      </c>
      <c r="H43" s="2">
        <f>Datos!M43</f>
        <v>61.3</v>
      </c>
      <c r="I43" s="2" t="b">
        <f t="shared" si="0"/>
        <v>1</v>
      </c>
      <c r="J43" s="2">
        <f t="shared" si="1"/>
        <v>61.3</v>
      </c>
      <c r="K43" s="2">
        <f t="shared" si="2"/>
        <v>1.4</v>
      </c>
      <c r="L43" s="2">
        <f t="shared" si="3"/>
        <v>50.4</v>
      </c>
      <c r="M43" s="2">
        <f t="shared" si="4"/>
        <v>75.7</v>
      </c>
    </row>
    <row r="44" spans="1:13" x14ac:dyDescent="0.3">
      <c r="A44" s="2">
        <f>Datos!A44</f>
        <v>774</v>
      </c>
      <c r="B44" s="2" t="str">
        <f>Datos!B44</f>
        <v>Male</v>
      </c>
      <c r="C44" s="2" t="str">
        <f>Datos!C44</f>
        <v>Bachelors</v>
      </c>
      <c r="D44" s="2" t="str">
        <f>Datos!G44</f>
        <v>D</v>
      </c>
      <c r="E44" s="2">
        <f>Datos!I44</f>
        <v>0.7</v>
      </c>
      <c r="F44" s="2">
        <f>Datos!J44</f>
        <v>83.5</v>
      </c>
      <c r="G44" s="2">
        <f>Datos!L44</f>
        <v>92.9</v>
      </c>
      <c r="H44" s="2">
        <f>Datos!M44</f>
        <v>66.7</v>
      </c>
      <c r="I44" s="2" t="b">
        <f t="shared" si="0"/>
        <v>1</v>
      </c>
      <c r="J44" s="2">
        <f t="shared" si="1"/>
        <v>66.7</v>
      </c>
      <c r="K44" s="2">
        <f t="shared" si="2"/>
        <v>0.7</v>
      </c>
      <c r="L44" s="2">
        <f t="shared" si="3"/>
        <v>92.9</v>
      </c>
      <c r="M44" s="2">
        <f t="shared" si="4"/>
        <v>83.5</v>
      </c>
    </row>
    <row r="45" spans="1:13" x14ac:dyDescent="0.3">
      <c r="A45" s="2">
        <f>Datos!A45</f>
        <v>338</v>
      </c>
      <c r="B45" s="2" t="str">
        <f>Datos!B45</f>
        <v>Female</v>
      </c>
      <c r="C45" s="2">
        <f>Datos!C45</f>
        <v>0</v>
      </c>
      <c r="D45" s="2" t="str">
        <f>Datos!G45</f>
        <v>D</v>
      </c>
      <c r="E45" s="2">
        <f>Datos!I45</f>
        <v>1.7</v>
      </c>
      <c r="F45" s="2">
        <f>Datos!J45</f>
        <v>87.2</v>
      </c>
      <c r="G45" s="2">
        <f>Datos!L45</f>
        <v>80</v>
      </c>
      <c r="H45" s="2">
        <f>Datos!M45</f>
        <v>61.2</v>
      </c>
      <c r="I45" s="2" t="b">
        <f t="shared" si="0"/>
        <v>1</v>
      </c>
      <c r="J45" s="2">
        <f t="shared" si="1"/>
        <v>61.2</v>
      </c>
      <c r="K45" s="2">
        <f t="shared" si="2"/>
        <v>1.7</v>
      </c>
      <c r="L45" s="2">
        <f t="shared" si="3"/>
        <v>80</v>
      </c>
      <c r="M45" s="2">
        <f t="shared" si="4"/>
        <v>87.2</v>
      </c>
    </row>
    <row r="46" spans="1:13" x14ac:dyDescent="0.3">
      <c r="A46" s="2">
        <f>Datos!A46</f>
        <v>224</v>
      </c>
      <c r="B46" s="2" t="str">
        <f>Datos!B46</f>
        <v>Male</v>
      </c>
      <c r="C46" s="2">
        <f>Datos!C46</f>
        <v>0</v>
      </c>
      <c r="D46" s="2" t="str">
        <f>Datos!G46</f>
        <v>D</v>
      </c>
      <c r="E46" s="2">
        <f>Datos!I46</f>
        <v>2.4</v>
      </c>
      <c r="F46" s="2">
        <f>Datos!J46</f>
        <v>69.900000000000006</v>
      </c>
      <c r="G46" s="2">
        <f>Datos!L46</f>
        <v>67</v>
      </c>
      <c r="H46" s="2">
        <f>Datos!M46</f>
        <v>63.8</v>
      </c>
      <c r="I46" s="2" t="b">
        <f t="shared" si="0"/>
        <v>1</v>
      </c>
      <c r="J46" s="2">
        <f t="shared" si="1"/>
        <v>63.8</v>
      </c>
      <c r="K46" s="2">
        <f t="shared" si="2"/>
        <v>2.4</v>
      </c>
      <c r="L46" s="2">
        <f t="shared" si="3"/>
        <v>67</v>
      </c>
      <c r="M46" s="2">
        <f t="shared" si="4"/>
        <v>69.900000000000006</v>
      </c>
    </row>
    <row r="47" spans="1:13" x14ac:dyDescent="0.3">
      <c r="A47" s="2">
        <f>Datos!A47</f>
        <v>771</v>
      </c>
      <c r="B47" s="2" t="str">
        <f>Datos!B47</f>
        <v>Female</v>
      </c>
      <c r="C47" s="2" t="str">
        <f>Datos!C47</f>
        <v>Masters</v>
      </c>
      <c r="D47" s="2" t="str">
        <f>Datos!G47</f>
        <v>A</v>
      </c>
      <c r="E47" s="2">
        <f>Datos!I47</f>
        <v>5.0999999999999996</v>
      </c>
      <c r="F47" s="2">
        <f>Datos!J47</f>
        <v>96.2</v>
      </c>
      <c r="G47" s="2">
        <f>Datos!L47</f>
        <v>78</v>
      </c>
      <c r="H47" s="2">
        <f>Datos!M47</f>
        <v>97.5</v>
      </c>
      <c r="I47" s="2" t="b">
        <f t="shared" si="0"/>
        <v>1</v>
      </c>
      <c r="J47" s="2">
        <f t="shared" si="1"/>
        <v>97.5</v>
      </c>
      <c r="K47" s="2">
        <f t="shared" si="2"/>
        <v>5.0999999999999996</v>
      </c>
      <c r="L47" s="2">
        <f t="shared" si="3"/>
        <v>78</v>
      </c>
      <c r="M47" s="2">
        <f t="shared" si="4"/>
        <v>96.2</v>
      </c>
    </row>
    <row r="48" spans="1:13" x14ac:dyDescent="0.3">
      <c r="A48" s="2">
        <f>Datos!A48</f>
        <v>128</v>
      </c>
      <c r="B48" s="2" t="str">
        <f>Datos!B48</f>
        <v>Male</v>
      </c>
      <c r="C48" s="2" t="str">
        <f>Datos!C48</f>
        <v>Masters</v>
      </c>
      <c r="D48" s="2" t="str">
        <f>Datos!G48</f>
        <v>B</v>
      </c>
      <c r="E48" s="2">
        <f>Datos!I48</f>
        <v>5.7</v>
      </c>
      <c r="F48" s="2">
        <f>Datos!J48</f>
        <v>82.2</v>
      </c>
      <c r="G48" s="2">
        <f>Datos!L48</f>
        <v>44.2</v>
      </c>
      <c r="H48" s="2">
        <f>Datos!M48</f>
        <v>80.8</v>
      </c>
      <c r="I48" s="2" t="b">
        <f t="shared" si="0"/>
        <v>1</v>
      </c>
      <c r="J48" s="2">
        <f t="shared" si="1"/>
        <v>80.8</v>
      </c>
      <c r="K48" s="2">
        <f t="shared" si="2"/>
        <v>5.7</v>
      </c>
      <c r="L48" s="2">
        <f t="shared" si="3"/>
        <v>44.2</v>
      </c>
      <c r="M48" s="2">
        <f t="shared" si="4"/>
        <v>82.2</v>
      </c>
    </row>
    <row r="49" spans="1:13" x14ac:dyDescent="0.3">
      <c r="A49" s="2">
        <f>Datos!A49</f>
        <v>53</v>
      </c>
      <c r="B49" s="2" t="str">
        <f>Datos!B49</f>
        <v>Female</v>
      </c>
      <c r="C49" s="2" t="str">
        <f>Datos!C49</f>
        <v>Bachelors</v>
      </c>
      <c r="D49" s="2" t="str">
        <f>Datos!G49</f>
        <v>D</v>
      </c>
      <c r="E49" s="2">
        <f>Datos!I49</f>
        <v>3.6</v>
      </c>
      <c r="F49" s="2">
        <f>Datos!J49</f>
        <v>69.2</v>
      </c>
      <c r="G49" s="2">
        <f>Datos!L49</f>
        <v>66.75</v>
      </c>
      <c r="H49" s="2">
        <f>Datos!M49</f>
        <v>67.8</v>
      </c>
      <c r="I49" s="2" t="b">
        <f t="shared" si="0"/>
        <v>1</v>
      </c>
      <c r="J49" s="2">
        <f t="shared" si="1"/>
        <v>67.8</v>
      </c>
      <c r="K49" s="2">
        <f t="shared" si="2"/>
        <v>3.6</v>
      </c>
      <c r="L49" s="2">
        <f t="shared" si="3"/>
        <v>66.75</v>
      </c>
      <c r="M49" s="2">
        <f t="shared" si="4"/>
        <v>69.2</v>
      </c>
    </row>
    <row r="50" spans="1:13" x14ac:dyDescent="0.3">
      <c r="A50" s="2">
        <f>Datos!A50</f>
        <v>592</v>
      </c>
      <c r="B50" s="2" t="str">
        <f>Datos!B50</f>
        <v>Male</v>
      </c>
      <c r="C50" s="2" t="str">
        <f>Datos!C50</f>
        <v>Masters</v>
      </c>
      <c r="D50" s="2" t="str">
        <f>Datos!G50</f>
        <v>C</v>
      </c>
      <c r="E50" s="2">
        <f>Datos!I50</f>
        <v>2.1</v>
      </c>
      <c r="F50" s="2">
        <f>Datos!J50</f>
        <v>70.599999999999994</v>
      </c>
      <c r="G50" s="2">
        <f>Datos!L50</f>
        <v>84.8</v>
      </c>
      <c r="H50" s="2">
        <f>Datos!M50</f>
        <v>71.599999999999994</v>
      </c>
      <c r="I50" s="2" t="b">
        <f t="shared" si="0"/>
        <v>1</v>
      </c>
      <c r="J50" s="2">
        <f t="shared" si="1"/>
        <v>71.599999999999994</v>
      </c>
      <c r="K50" s="2">
        <f t="shared" si="2"/>
        <v>2.1</v>
      </c>
      <c r="L50" s="2">
        <f t="shared" si="3"/>
        <v>84.8</v>
      </c>
      <c r="M50" s="2">
        <f t="shared" si="4"/>
        <v>70.599999999999994</v>
      </c>
    </row>
    <row r="51" spans="1:13" x14ac:dyDescent="0.3">
      <c r="A51" s="2">
        <f>Datos!A51</f>
        <v>351</v>
      </c>
      <c r="B51" s="2" t="str">
        <f>Datos!B51</f>
        <v>Male</v>
      </c>
      <c r="C51" s="2">
        <f>Datos!C51</f>
        <v>0</v>
      </c>
      <c r="D51" s="2" t="str">
        <f>Datos!G51</f>
        <v>C</v>
      </c>
      <c r="E51" s="2">
        <f>Datos!I51</f>
        <v>0.9</v>
      </c>
      <c r="F51" s="2">
        <f>Datos!J51</f>
        <v>97.1</v>
      </c>
      <c r="G51" s="2">
        <f>Datos!L51</f>
        <v>77.900000000000006</v>
      </c>
      <c r="H51" s="2">
        <f>Datos!M51</f>
        <v>74.2</v>
      </c>
      <c r="I51" s="2" t="b">
        <f t="shared" si="0"/>
        <v>1</v>
      </c>
      <c r="J51" s="2">
        <f t="shared" si="1"/>
        <v>74.2</v>
      </c>
      <c r="K51" s="2">
        <f t="shared" si="2"/>
        <v>0.9</v>
      </c>
      <c r="L51" s="2">
        <f t="shared" si="3"/>
        <v>77.900000000000006</v>
      </c>
      <c r="M51" s="2">
        <f t="shared" si="4"/>
        <v>97.1</v>
      </c>
    </row>
    <row r="52" spans="1:13" x14ac:dyDescent="0.3">
      <c r="A52" s="2">
        <f>Datos!A52</f>
        <v>745</v>
      </c>
      <c r="B52" s="2" t="str">
        <f>Datos!B52</f>
        <v>Male</v>
      </c>
      <c r="C52" s="2" t="str">
        <f>Datos!C52</f>
        <v>Masters</v>
      </c>
      <c r="D52" s="2" t="str">
        <f>Datos!G52</f>
        <v>C</v>
      </c>
      <c r="E52" s="2">
        <f>Datos!I52</f>
        <v>4.5999999999999996</v>
      </c>
      <c r="F52" s="2">
        <f>Datos!J52</f>
        <v>94.4</v>
      </c>
      <c r="G52" s="2">
        <f>Datos!L52</f>
        <v>58.6</v>
      </c>
      <c r="H52" s="2">
        <f>Datos!M52</f>
        <v>79.5</v>
      </c>
      <c r="I52" s="2" t="b">
        <f t="shared" si="0"/>
        <v>1</v>
      </c>
      <c r="J52" s="2">
        <f t="shared" si="1"/>
        <v>79.5</v>
      </c>
      <c r="K52" s="2">
        <f t="shared" si="2"/>
        <v>4.5999999999999996</v>
      </c>
      <c r="L52" s="2">
        <f t="shared" si="3"/>
        <v>58.6</v>
      </c>
      <c r="M52" s="2">
        <f t="shared" si="4"/>
        <v>94.4</v>
      </c>
    </row>
    <row r="53" spans="1:13" x14ac:dyDescent="0.3">
      <c r="A53" s="2">
        <f>Datos!A53</f>
        <v>623</v>
      </c>
      <c r="B53" s="2" t="str">
        <f>Datos!B53</f>
        <v>Female</v>
      </c>
      <c r="C53" s="2">
        <f>Datos!C53</f>
        <v>0</v>
      </c>
      <c r="D53" s="2" t="str">
        <f>Datos!G53</f>
        <v>A</v>
      </c>
      <c r="E53" s="2">
        <f>Datos!I53</f>
        <v>5.0999999999999996</v>
      </c>
      <c r="F53" s="2">
        <f>Datos!J53</f>
        <v>75</v>
      </c>
      <c r="G53" s="2">
        <f>Datos!L53</f>
        <v>85.1</v>
      </c>
      <c r="H53" s="2">
        <f>Datos!M53</f>
        <v>97.5</v>
      </c>
      <c r="I53" s="2" t="b">
        <f t="shared" si="0"/>
        <v>1</v>
      </c>
      <c r="J53" s="2">
        <f t="shared" si="1"/>
        <v>97.5</v>
      </c>
      <c r="K53" s="2">
        <f t="shared" si="2"/>
        <v>5.0999999999999996</v>
      </c>
      <c r="L53" s="2">
        <f t="shared" si="3"/>
        <v>85.1</v>
      </c>
      <c r="M53" s="2">
        <f t="shared" si="4"/>
        <v>75</v>
      </c>
    </row>
    <row r="54" spans="1:13" x14ac:dyDescent="0.3">
      <c r="A54" s="2">
        <f>Datos!A54</f>
        <v>76</v>
      </c>
      <c r="B54" s="2" t="str">
        <f>Datos!B54</f>
        <v>Male</v>
      </c>
      <c r="C54" s="2" t="str">
        <f>Datos!C54</f>
        <v>Bachelors</v>
      </c>
      <c r="D54" s="2" t="str">
        <f>Datos!G54</f>
        <v>D</v>
      </c>
      <c r="E54" s="2">
        <f>Datos!I54</f>
        <v>1.4</v>
      </c>
      <c r="F54" s="2">
        <f>Datos!J54</f>
        <v>77.8</v>
      </c>
      <c r="G54" s="2">
        <f>Datos!L54</f>
        <v>73.099999999999994</v>
      </c>
      <c r="H54" s="2">
        <f>Datos!M54</f>
        <v>67.2</v>
      </c>
      <c r="I54" s="2" t="b">
        <f t="shared" si="0"/>
        <v>1</v>
      </c>
      <c r="J54" s="2">
        <f t="shared" si="1"/>
        <v>67.2</v>
      </c>
      <c r="K54" s="2">
        <f t="shared" si="2"/>
        <v>1.4</v>
      </c>
      <c r="L54" s="2">
        <f t="shared" si="3"/>
        <v>73.099999999999994</v>
      </c>
      <c r="M54" s="2">
        <f t="shared" si="4"/>
        <v>77.8</v>
      </c>
    </row>
    <row r="55" spans="1:13" x14ac:dyDescent="0.3">
      <c r="A55" s="2">
        <f>Datos!A55</f>
        <v>609</v>
      </c>
      <c r="B55" s="2" t="str">
        <f>Datos!B55</f>
        <v>Male</v>
      </c>
      <c r="C55" s="2" t="str">
        <f>Datos!C55</f>
        <v>PhD</v>
      </c>
      <c r="D55" s="2" t="str">
        <f>Datos!G55</f>
        <v>A</v>
      </c>
      <c r="E55" s="2">
        <f>Datos!I55</f>
        <v>6.4</v>
      </c>
      <c r="F55" s="2">
        <f>Datos!J55</f>
        <v>95.8</v>
      </c>
      <c r="G55" s="2">
        <f>Datos!L55</f>
        <v>74.8</v>
      </c>
      <c r="H55" s="2">
        <f>Datos!M55</f>
        <v>100</v>
      </c>
      <c r="I55" s="2" t="b">
        <f t="shared" si="0"/>
        <v>1</v>
      </c>
      <c r="J55" s="2">
        <f t="shared" si="1"/>
        <v>100</v>
      </c>
      <c r="K55" s="2">
        <f t="shared" si="2"/>
        <v>6.4</v>
      </c>
      <c r="L55" s="2">
        <f t="shared" si="3"/>
        <v>74.8</v>
      </c>
      <c r="M55" s="2">
        <f t="shared" si="4"/>
        <v>95.8</v>
      </c>
    </row>
    <row r="56" spans="1:13" x14ac:dyDescent="0.3">
      <c r="A56" s="2">
        <f>Datos!A56</f>
        <v>721</v>
      </c>
      <c r="B56" s="2" t="str">
        <f>Datos!B56</f>
        <v>Male</v>
      </c>
      <c r="C56" s="2" t="str">
        <f>Datos!C56</f>
        <v>Bachelors</v>
      </c>
      <c r="D56" s="2" t="str">
        <f>Datos!G56</f>
        <v>C</v>
      </c>
      <c r="E56" s="2">
        <f>Datos!I56</f>
        <v>2.9</v>
      </c>
      <c r="F56" s="2">
        <f>Datos!J56</f>
        <v>85.5</v>
      </c>
      <c r="G56" s="2">
        <f>Datos!L56</f>
        <v>81.400000000000006</v>
      </c>
      <c r="H56" s="2">
        <f>Datos!M56</f>
        <v>75.099999999999994</v>
      </c>
      <c r="I56" s="2" t="b">
        <f t="shared" si="0"/>
        <v>1</v>
      </c>
      <c r="J56" s="2">
        <f t="shared" si="1"/>
        <v>75.099999999999994</v>
      </c>
      <c r="K56" s="2">
        <f t="shared" si="2"/>
        <v>2.9</v>
      </c>
      <c r="L56" s="2">
        <f t="shared" si="3"/>
        <v>81.400000000000006</v>
      </c>
      <c r="M56" s="2">
        <f t="shared" si="4"/>
        <v>85.5</v>
      </c>
    </row>
    <row r="57" spans="1:13" x14ac:dyDescent="0.3">
      <c r="A57" s="2">
        <f>Datos!A57</f>
        <v>211</v>
      </c>
      <c r="B57" s="2" t="str">
        <f>Datos!B57</f>
        <v>Male</v>
      </c>
      <c r="C57" s="2">
        <f>Datos!C57</f>
        <v>0</v>
      </c>
      <c r="D57" s="2" t="str">
        <f>Datos!G57</f>
        <v>D</v>
      </c>
      <c r="E57" s="2">
        <f>Datos!I57</f>
        <v>2.6</v>
      </c>
      <c r="F57" s="2">
        <f>Datos!J57</f>
        <v>71.2</v>
      </c>
      <c r="G57" s="2">
        <f>Datos!L57</f>
        <v>69.900000000000006</v>
      </c>
      <c r="H57" s="2">
        <f>Datos!M57</f>
        <v>67.599999999999994</v>
      </c>
      <c r="I57" s="2" t="b">
        <f t="shared" si="0"/>
        <v>1</v>
      </c>
      <c r="J57" s="2">
        <f t="shared" si="1"/>
        <v>67.599999999999994</v>
      </c>
      <c r="K57" s="2">
        <f t="shared" si="2"/>
        <v>2.6</v>
      </c>
      <c r="L57" s="2">
        <f t="shared" si="3"/>
        <v>69.900000000000006</v>
      </c>
      <c r="M57" s="2">
        <f t="shared" si="4"/>
        <v>71.2</v>
      </c>
    </row>
    <row r="58" spans="1:13" x14ac:dyDescent="0.3">
      <c r="A58" s="2">
        <f>Datos!A58</f>
        <v>210</v>
      </c>
      <c r="B58" s="2" t="str">
        <f>Datos!B58</f>
        <v>Female</v>
      </c>
      <c r="C58" s="2" t="str">
        <f>Datos!C58</f>
        <v>High School</v>
      </c>
      <c r="D58" s="2" t="str">
        <f>Datos!G58</f>
        <v>D</v>
      </c>
      <c r="E58" s="2">
        <f>Datos!I58</f>
        <v>2.6</v>
      </c>
      <c r="F58" s="2">
        <f>Datos!J58</f>
        <v>69.5</v>
      </c>
      <c r="G58" s="2">
        <f>Datos!L58</f>
        <v>66.75</v>
      </c>
      <c r="H58" s="2">
        <f>Datos!M58</f>
        <v>60.4</v>
      </c>
      <c r="I58" s="2" t="b">
        <f t="shared" si="0"/>
        <v>1</v>
      </c>
      <c r="J58" s="2">
        <f t="shared" si="1"/>
        <v>60.4</v>
      </c>
      <c r="K58" s="2">
        <f t="shared" si="2"/>
        <v>2.6</v>
      </c>
      <c r="L58" s="2">
        <f t="shared" si="3"/>
        <v>66.75</v>
      </c>
      <c r="M58" s="2">
        <f t="shared" si="4"/>
        <v>69.5</v>
      </c>
    </row>
    <row r="59" spans="1:13" x14ac:dyDescent="0.3">
      <c r="A59" s="2">
        <f>Datos!A59</f>
        <v>704</v>
      </c>
      <c r="B59" s="2" t="str">
        <f>Datos!B59</f>
        <v>Male</v>
      </c>
      <c r="C59" s="2" t="str">
        <f>Datos!C59</f>
        <v>High School</v>
      </c>
      <c r="D59" s="2" t="str">
        <f>Datos!G59</f>
        <v>A</v>
      </c>
      <c r="E59" s="2">
        <f>Datos!I59</f>
        <v>4.5999999999999996</v>
      </c>
      <c r="F59" s="2">
        <f>Datos!J59</f>
        <v>98.4</v>
      </c>
      <c r="G59" s="2">
        <f>Datos!L59</f>
        <v>90.2</v>
      </c>
      <c r="H59" s="2">
        <f>Datos!M59</f>
        <v>91.2</v>
      </c>
      <c r="I59" s="2" t="b">
        <f t="shared" si="0"/>
        <v>1</v>
      </c>
      <c r="J59" s="2">
        <f t="shared" si="1"/>
        <v>91.2</v>
      </c>
      <c r="K59" s="2">
        <f t="shared" si="2"/>
        <v>4.5999999999999996</v>
      </c>
      <c r="L59" s="2">
        <f t="shared" si="3"/>
        <v>90.2</v>
      </c>
      <c r="M59" s="2">
        <f t="shared" si="4"/>
        <v>98.4</v>
      </c>
    </row>
    <row r="60" spans="1:13" x14ac:dyDescent="0.3">
      <c r="A60" s="2">
        <f>Datos!A60</f>
        <v>134</v>
      </c>
      <c r="B60" s="2" t="str">
        <f>Datos!B60</f>
        <v>Male</v>
      </c>
      <c r="C60" s="2" t="str">
        <f>Datos!C60</f>
        <v>Bachelors</v>
      </c>
      <c r="D60" s="2" t="str">
        <f>Datos!G60</f>
        <v>C</v>
      </c>
      <c r="E60" s="2">
        <f>Datos!I60</f>
        <v>4.0999999999999996</v>
      </c>
      <c r="F60" s="2">
        <f>Datos!J60</f>
        <v>94</v>
      </c>
      <c r="G60" s="2">
        <f>Datos!L60</f>
        <v>64.2</v>
      </c>
      <c r="H60" s="2">
        <f>Datos!M60</f>
        <v>78.900000000000006</v>
      </c>
      <c r="I60" s="2" t="b">
        <f t="shared" si="0"/>
        <v>1</v>
      </c>
      <c r="J60" s="2">
        <f t="shared" si="1"/>
        <v>78.900000000000006</v>
      </c>
      <c r="K60" s="2">
        <f t="shared" si="2"/>
        <v>4.0999999999999996</v>
      </c>
      <c r="L60" s="2">
        <f t="shared" si="3"/>
        <v>64.2</v>
      </c>
      <c r="M60" s="2">
        <f t="shared" si="4"/>
        <v>94</v>
      </c>
    </row>
    <row r="61" spans="1:13" x14ac:dyDescent="0.3">
      <c r="A61" s="2">
        <f>Datos!A61</f>
        <v>727</v>
      </c>
      <c r="B61" s="2" t="str">
        <f>Datos!B61</f>
        <v>Male</v>
      </c>
      <c r="C61" s="2" t="str">
        <f>Datos!C61</f>
        <v>High School</v>
      </c>
      <c r="D61" s="2" t="str">
        <f>Datos!G61</f>
        <v>A</v>
      </c>
      <c r="E61" s="2">
        <f>Datos!I61</f>
        <v>6</v>
      </c>
      <c r="F61" s="2">
        <f>Datos!J61</f>
        <v>67.7</v>
      </c>
      <c r="G61" s="2">
        <f>Datos!L61</f>
        <v>87.5</v>
      </c>
      <c r="H61" s="2">
        <f>Datos!M61</f>
        <v>95.6</v>
      </c>
      <c r="I61" s="2" t="b">
        <f t="shared" si="0"/>
        <v>1</v>
      </c>
      <c r="J61" s="2">
        <f t="shared" si="1"/>
        <v>95.6</v>
      </c>
      <c r="K61" s="2">
        <f t="shared" si="2"/>
        <v>6</v>
      </c>
      <c r="L61" s="2">
        <f t="shared" si="3"/>
        <v>87.5</v>
      </c>
      <c r="M61" s="2">
        <f t="shared" si="4"/>
        <v>67.7</v>
      </c>
    </row>
    <row r="62" spans="1:13" x14ac:dyDescent="0.3">
      <c r="A62" s="2">
        <f>Datos!A62</f>
        <v>864</v>
      </c>
      <c r="B62" s="2" t="str">
        <f>Datos!B62</f>
        <v>Female</v>
      </c>
      <c r="C62" s="2" t="str">
        <f>Datos!C62</f>
        <v>PhD</v>
      </c>
      <c r="D62" s="2" t="str">
        <f>Datos!G62</f>
        <v>B</v>
      </c>
      <c r="E62" s="2">
        <f>Datos!I62</f>
        <v>5</v>
      </c>
      <c r="F62" s="2">
        <f>Datos!J62</f>
        <v>94.6</v>
      </c>
      <c r="G62" s="2">
        <f>Datos!L62</f>
        <v>45.6</v>
      </c>
      <c r="H62" s="2">
        <f>Datos!M62</f>
        <v>80</v>
      </c>
      <c r="I62" s="2" t="b">
        <f t="shared" si="0"/>
        <v>1</v>
      </c>
      <c r="J62" s="2">
        <f t="shared" si="1"/>
        <v>80</v>
      </c>
      <c r="K62" s="2">
        <f t="shared" si="2"/>
        <v>5</v>
      </c>
      <c r="L62" s="2">
        <f t="shared" si="3"/>
        <v>45.6</v>
      </c>
      <c r="M62" s="2">
        <f t="shared" si="4"/>
        <v>94.6</v>
      </c>
    </row>
    <row r="63" spans="1:13" x14ac:dyDescent="0.3">
      <c r="A63" s="2">
        <f>Datos!A63</f>
        <v>1</v>
      </c>
      <c r="B63" s="2" t="str">
        <f>Datos!B63</f>
        <v>Male</v>
      </c>
      <c r="C63" s="2" t="str">
        <f>Datos!C63</f>
        <v>Masters</v>
      </c>
      <c r="D63" s="2" t="str">
        <f>Datos!G63</f>
        <v>B</v>
      </c>
      <c r="E63" s="2">
        <f>Datos!I63</f>
        <v>3.4</v>
      </c>
      <c r="F63" s="2">
        <f>Datos!J63</f>
        <v>95.1</v>
      </c>
      <c r="G63" s="2">
        <f>Datos!L63</f>
        <v>82.2</v>
      </c>
      <c r="H63" s="2">
        <f>Datos!M63</f>
        <v>82.7</v>
      </c>
      <c r="I63" s="2" t="b">
        <f t="shared" si="0"/>
        <v>1</v>
      </c>
      <c r="J63" s="2">
        <f t="shared" si="1"/>
        <v>82.7</v>
      </c>
      <c r="K63" s="2">
        <f t="shared" si="2"/>
        <v>3.4</v>
      </c>
      <c r="L63" s="2">
        <f t="shared" si="3"/>
        <v>82.2</v>
      </c>
      <c r="M63" s="2">
        <f t="shared" si="4"/>
        <v>95.1</v>
      </c>
    </row>
    <row r="64" spans="1:13" x14ac:dyDescent="0.3">
      <c r="A64" s="2">
        <f>Datos!A64</f>
        <v>215</v>
      </c>
      <c r="B64" s="2" t="str">
        <f>Datos!B64</f>
        <v>Male</v>
      </c>
      <c r="C64" s="2" t="str">
        <f>Datos!C64</f>
        <v>Bachelors</v>
      </c>
      <c r="D64" s="2" t="str">
        <f>Datos!G64</f>
        <v>C</v>
      </c>
      <c r="E64" s="2">
        <f>Datos!I64</f>
        <v>4.7</v>
      </c>
      <c r="F64" s="2">
        <f>Datos!J64</f>
        <v>86.4</v>
      </c>
      <c r="G64" s="2">
        <f>Datos!L64</f>
        <v>63.5</v>
      </c>
      <c r="H64" s="2">
        <f>Datos!M64</f>
        <v>74</v>
      </c>
      <c r="I64" s="2" t="b">
        <f t="shared" si="0"/>
        <v>1</v>
      </c>
      <c r="J64" s="2">
        <f t="shared" si="1"/>
        <v>74</v>
      </c>
      <c r="K64" s="2">
        <f t="shared" si="2"/>
        <v>4.7</v>
      </c>
      <c r="L64" s="2">
        <f t="shared" si="3"/>
        <v>63.5</v>
      </c>
      <c r="M64" s="2">
        <f t="shared" si="4"/>
        <v>86.4</v>
      </c>
    </row>
    <row r="65" spans="1:13" x14ac:dyDescent="0.3">
      <c r="A65" s="2">
        <f>Datos!A65</f>
        <v>730</v>
      </c>
      <c r="B65" s="2" t="str">
        <f>Datos!B65</f>
        <v>Male</v>
      </c>
      <c r="C65" s="2" t="str">
        <f>Datos!C65</f>
        <v>PhD</v>
      </c>
      <c r="D65" s="2" t="str">
        <f>Datos!G65</f>
        <v>B</v>
      </c>
      <c r="E65" s="2">
        <f>Datos!I65</f>
        <v>6.7</v>
      </c>
      <c r="F65" s="2">
        <f>Datos!J65</f>
        <v>93.7</v>
      </c>
      <c r="G65" s="2">
        <f>Datos!L65</f>
        <v>50.4</v>
      </c>
      <c r="H65" s="2">
        <f>Datos!M65</f>
        <v>85</v>
      </c>
      <c r="I65" s="2" t="b">
        <f t="shared" si="0"/>
        <v>1</v>
      </c>
      <c r="J65" s="2">
        <f t="shared" si="1"/>
        <v>85</v>
      </c>
      <c r="K65" s="2">
        <f t="shared" si="2"/>
        <v>6.7</v>
      </c>
      <c r="L65" s="2">
        <f t="shared" si="3"/>
        <v>50.4</v>
      </c>
      <c r="M65" s="2">
        <f t="shared" si="4"/>
        <v>93.7</v>
      </c>
    </row>
    <row r="66" spans="1:13" x14ac:dyDescent="0.3">
      <c r="A66" s="2">
        <f>Datos!A66</f>
        <v>282</v>
      </c>
      <c r="B66" s="2" t="str">
        <f>Datos!B66</f>
        <v>Female</v>
      </c>
      <c r="C66" s="2" t="str">
        <f>Datos!C66</f>
        <v>Masters</v>
      </c>
      <c r="D66" s="2" t="str">
        <f>Datos!G66</f>
        <v>D</v>
      </c>
      <c r="E66" s="2">
        <f>Datos!I66</f>
        <v>0.6</v>
      </c>
      <c r="F66" s="2">
        <f>Datos!J66</f>
        <v>98.5</v>
      </c>
      <c r="G66" s="2">
        <f>Datos!L66</f>
        <v>65.599999999999994</v>
      </c>
      <c r="H66" s="2">
        <f>Datos!M66</f>
        <v>64.7</v>
      </c>
      <c r="I66" s="2" t="b">
        <f t="shared" ref="I66:I129" si="5">AND(E66&gt;=0,E66&lt;=12,F66&gt;=0,F66&lt;=100,G66&gt;=0,G66&lt;=100,H66&gt;=0,H66&lt;=100)</f>
        <v>1</v>
      </c>
      <c r="J66" s="2">
        <f t="shared" ref="J66:J129" si="6">IF(I66,H66,"")</f>
        <v>64.7</v>
      </c>
      <c r="K66" s="2">
        <f t="shared" ref="K66:K129" si="7">IF(I66,E66,"")</f>
        <v>0.6</v>
      </c>
      <c r="L66" s="2">
        <f t="shared" ref="L66:L129" si="8">IF(I66,G66,"")</f>
        <v>65.599999999999994</v>
      </c>
      <c r="M66" s="2">
        <f t="shared" ref="M66:M129" si="9">IF(I66,F66,"")</f>
        <v>98.5</v>
      </c>
    </row>
    <row r="67" spans="1:13" x14ac:dyDescent="0.3">
      <c r="A67" s="2">
        <f>Datos!A67</f>
        <v>922</v>
      </c>
      <c r="B67" s="2" t="str">
        <f>Datos!B67</f>
        <v>Male</v>
      </c>
      <c r="C67" s="2" t="str">
        <f>Datos!C67</f>
        <v>Masters</v>
      </c>
      <c r="D67" s="2" t="str">
        <f>Datos!G67</f>
        <v>D</v>
      </c>
      <c r="E67" s="2">
        <f>Datos!I67</f>
        <v>2.9</v>
      </c>
      <c r="F67" s="2">
        <f>Datos!J67</f>
        <v>99</v>
      </c>
      <c r="G67" s="2">
        <f>Datos!L67</f>
        <v>47.3</v>
      </c>
      <c r="H67" s="2">
        <f>Datos!M67</f>
        <v>68.5</v>
      </c>
      <c r="I67" s="2" t="b">
        <f t="shared" si="5"/>
        <v>1</v>
      </c>
      <c r="J67" s="2">
        <f t="shared" si="6"/>
        <v>68.5</v>
      </c>
      <c r="K67" s="2">
        <f t="shared" si="7"/>
        <v>2.9</v>
      </c>
      <c r="L67" s="2">
        <f t="shared" si="8"/>
        <v>47.3</v>
      </c>
      <c r="M67" s="2">
        <f t="shared" si="9"/>
        <v>99</v>
      </c>
    </row>
    <row r="68" spans="1:13" x14ac:dyDescent="0.3">
      <c r="A68" s="2">
        <f>Datos!A68</f>
        <v>867</v>
      </c>
      <c r="B68" s="2" t="str">
        <f>Datos!B68</f>
        <v>Female</v>
      </c>
      <c r="C68" s="2" t="str">
        <f>Datos!C68</f>
        <v>Masters</v>
      </c>
      <c r="D68" s="2" t="str">
        <f>Datos!G68</f>
        <v>D</v>
      </c>
      <c r="E68" s="2">
        <f>Datos!I68</f>
        <v>2.1</v>
      </c>
      <c r="F68" s="2">
        <f>Datos!J68</f>
        <v>84.4</v>
      </c>
      <c r="G68" s="2">
        <f>Datos!L68</f>
        <v>62.3</v>
      </c>
      <c r="H68" s="2">
        <f>Datos!M68</f>
        <v>61.3</v>
      </c>
      <c r="I68" s="2" t="b">
        <f t="shared" si="5"/>
        <v>1</v>
      </c>
      <c r="J68" s="2">
        <f t="shared" si="6"/>
        <v>61.3</v>
      </c>
      <c r="K68" s="2">
        <f t="shared" si="7"/>
        <v>2.1</v>
      </c>
      <c r="L68" s="2">
        <f t="shared" si="8"/>
        <v>62.3</v>
      </c>
      <c r="M68" s="2">
        <f t="shared" si="9"/>
        <v>84.4</v>
      </c>
    </row>
    <row r="69" spans="1:13" x14ac:dyDescent="0.3">
      <c r="A69" s="2">
        <f>Datos!A69</f>
        <v>181</v>
      </c>
      <c r="B69" s="2" t="str">
        <f>Datos!B69</f>
        <v>Female</v>
      </c>
      <c r="C69" s="2">
        <f>Datos!C69</f>
        <v>0</v>
      </c>
      <c r="D69" s="2" t="str">
        <f>Datos!G69</f>
        <v>D</v>
      </c>
      <c r="E69" s="2">
        <f>Datos!I69</f>
        <v>3.1</v>
      </c>
      <c r="F69" s="2">
        <f>Datos!J69</f>
        <v>91.1</v>
      </c>
      <c r="G69" s="2">
        <f>Datos!L69</f>
        <v>63.8</v>
      </c>
      <c r="H69" s="2">
        <f>Datos!M69</f>
        <v>62.4</v>
      </c>
      <c r="I69" s="2" t="b">
        <f t="shared" si="5"/>
        <v>1</v>
      </c>
      <c r="J69" s="2">
        <f t="shared" si="6"/>
        <v>62.4</v>
      </c>
      <c r="K69" s="2">
        <f t="shared" si="7"/>
        <v>3.1</v>
      </c>
      <c r="L69" s="2">
        <f t="shared" si="8"/>
        <v>63.8</v>
      </c>
      <c r="M69" s="2">
        <f t="shared" si="9"/>
        <v>91.1</v>
      </c>
    </row>
    <row r="70" spans="1:13" x14ac:dyDescent="0.3">
      <c r="A70" s="2">
        <f>Datos!A70</f>
        <v>226</v>
      </c>
      <c r="B70" s="2" t="str">
        <f>Datos!B70</f>
        <v>Female</v>
      </c>
      <c r="C70" s="2" t="str">
        <f>Datos!C70</f>
        <v>Bachelors</v>
      </c>
      <c r="D70" s="2" t="str">
        <f>Datos!G70</f>
        <v>B</v>
      </c>
      <c r="E70" s="2">
        <f>Datos!I70</f>
        <v>4.4000000000000004</v>
      </c>
      <c r="F70" s="2">
        <f>Datos!J70</f>
        <v>65.8</v>
      </c>
      <c r="G70" s="2">
        <f>Datos!L70</f>
        <v>82</v>
      </c>
      <c r="H70" s="2">
        <f>Datos!M70</f>
        <v>81.400000000000006</v>
      </c>
      <c r="I70" s="2" t="b">
        <f t="shared" si="5"/>
        <v>1</v>
      </c>
      <c r="J70" s="2">
        <f t="shared" si="6"/>
        <v>81.400000000000006</v>
      </c>
      <c r="K70" s="2">
        <f t="shared" si="7"/>
        <v>4.4000000000000004</v>
      </c>
      <c r="L70" s="2">
        <f t="shared" si="8"/>
        <v>82</v>
      </c>
      <c r="M70" s="2">
        <f t="shared" si="9"/>
        <v>65.8</v>
      </c>
    </row>
    <row r="71" spans="1:13" x14ac:dyDescent="0.3">
      <c r="A71" s="2">
        <f>Datos!A71</f>
        <v>737</v>
      </c>
      <c r="B71" s="2" t="str">
        <f>Datos!B71</f>
        <v>Female</v>
      </c>
      <c r="C71" s="2" t="str">
        <f>Datos!C71</f>
        <v>Bachelors</v>
      </c>
      <c r="D71" s="2" t="str">
        <f>Datos!G71</f>
        <v>D</v>
      </c>
      <c r="E71" s="2">
        <f>Datos!I71</f>
        <v>1.8</v>
      </c>
      <c r="F71" s="2">
        <f>Datos!J71</f>
        <v>76.900000000000006</v>
      </c>
      <c r="G71" s="2">
        <f>Datos!L71</f>
        <v>90</v>
      </c>
      <c r="H71" s="2">
        <f>Datos!M71</f>
        <v>69.099999999999994</v>
      </c>
      <c r="I71" s="2" t="b">
        <f t="shared" si="5"/>
        <v>1</v>
      </c>
      <c r="J71" s="2">
        <f t="shared" si="6"/>
        <v>69.099999999999994</v>
      </c>
      <c r="K71" s="2">
        <f t="shared" si="7"/>
        <v>1.8</v>
      </c>
      <c r="L71" s="2">
        <f t="shared" si="8"/>
        <v>90</v>
      </c>
      <c r="M71" s="2">
        <f t="shared" si="9"/>
        <v>76.900000000000006</v>
      </c>
    </row>
    <row r="72" spans="1:13" x14ac:dyDescent="0.3">
      <c r="A72" s="2">
        <f>Datos!A72</f>
        <v>531</v>
      </c>
      <c r="B72" s="2" t="str">
        <f>Datos!B72</f>
        <v>Female</v>
      </c>
      <c r="C72" s="2" t="str">
        <f>Datos!C72</f>
        <v>PhD</v>
      </c>
      <c r="D72" s="2" t="str">
        <f>Datos!G72</f>
        <v>B</v>
      </c>
      <c r="E72" s="2">
        <f>Datos!I72</f>
        <v>6.5</v>
      </c>
      <c r="F72" s="2">
        <f>Datos!J72</f>
        <v>82.2</v>
      </c>
      <c r="G72" s="2">
        <f>Datos!L72</f>
        <v>43.2</v>
      </c>
      <c r="H72" s="2">
        <f>Datos!M72</f>
        <v>80.7</v>
      </c>
      <c r="I72" s="2" t="b">
        <f t="shared" si="5"/>
        <v>1</v>
      </c>
      <c r="J72" s="2">
        <f t="shared" si="6"/>
        <v>80.7</v>
      </c>
      <c r="K72" s="2">
        <f t="shared" si="7"/>
        <v>6.5</v>
      </c>
      <c r="L72" s="2">
        <f t="shared" si="8"/>
        <v>43.2</v>
      </c>
      <c r="M72" s="2">
        <f t="shared" si="9"/>
        <v>82.2</v>
      </c>
    </row>
    <row r="73" spans="1:13" x14ac:dyDescent="0.3">
      <c r="A73" s="2">
        <f>Datos!A73</f>
        <v>689</v>
      </c>
      <c r="B73" s="2" t="str">
        <f>Datos!B73</f>
        <v>Male</v>
      </c>
      <c r="C73" s="2" t="str">
        <f>Datos!C73</f>
        <v>PhD</v>
      </c>
      <c r="D73" s="2" t="str">
        <f>Datos!G73</f>
        <v>D</v>
      </c>
      <c r="E73" s="2">
        <f>Datos!I73</f>
        <v>0.7</v>
      </c>
      <c r="F73" s="2">
        <f>Datos!J73</f>
        <v>91.2</v>
      </c>
      <c r="G73" s="2">
        <f>Datos!L73</f>
        <v>67</v>
      </c>
      <c r="H73" s="2">
        <f>Datos!M73</f>
        <v>65.5</v>
      </c>
      <c r="I73" s="2" t="b">
        <f t="shared" si="5"/>
        <v>1</v>
      </c>
      <c r="J73" s="2">
        <f t="shared" si="6"/>
        <v>65.5</v>
      </c>
      <c r="K73" s="2">
        <f t="shared" si="7"/>
        <v>0.7</v>
      </c>
      <c r="L73" s="2">
        <f t="shared" si="8"/>
        <v>67</v>
      </c>
      <c r="M73" s="2">
        <f t="shared" si="9"/>
        <v>91.2</v>
      </c>
    </row>
    <row r="74" spans="1:13" x14ac:dyDescent="0.3">
      <c r="A74" s="2">
        <f>Datos!A74</f>
        <v>706</v>
      </c>
      <c r="B74" s="2" t="str">
        <f>Datos!B74</f>
        <v>Female</v>
      </c>
      <c r="C74" s="2" t="str">
        <f>Datos!C74</f>
        <v>Bachelors</v>
      </c>
      <c r="D74" s="2" t="str">
        <f>Datos!G74</f>
        <v>D</v>
      </c>
      <c r="E74" s="2">
        <f>Datos!I74</f>
        <v>1.3</v>
      </c>
      <c r="F74" s="2">
        <f>Datos!J74</f>
        <v>95.4</v>
      </c>
      <c r="G74" s="2">
        <f>Datos!L74</f>
        <v>66.75</v>
      </c>
      <c r="H74" s="2">
        <f>Datos!M74</f>
        <v>67.599999999999994</v>
      </c>
      <c r="I74" s="2" t="b">
        <f t="shared" si="5"/>
        <v>1</v>
      </c>
      <c r="J74" s="2">
        <f t="shared" si="6"/>
        <v>67.599999999999994</v>
      </c>
      <c r="K74" s="2">
        <f t="shared" si="7"/>
        <v>1.3</v>
      </c>
      <c r="L74" s="2">
        <f t="shared" si="8"/>
        <v>66.75</v>
      </c>
      <c r="M74" s="2">
        <f t="shared" si="9"/>
        <v>95.4</v>
      </c>
    </row>
    <row r="75" spans="1:13" x14ac:dyDescent="0.3">
      <c r="A75" s="2">
        <f>Datos!A75</f>
        <v>424</v>
      </c>
      <c r="B75" s="2" t="str">
        <f>Datos!B75</f>
        <v>Male</v>
      </c>
      <c r="C75" s="2" t="str">
        <f>Datos!C75</f>
        <v>High School</v>
      </c>
      <c r="D75" s="2" t="str">
        <f>Datos!G75</f>
        <v>D</v>
      </c>
      <c r="E75" s="2">
        <f>Datos!I75</f>
        <v>3.3</v>
      </c>
      <c r="F75" s="2">
        <f>Datos!J75</f>
        <v>74.8</v>
      </c>
      <c r="G75" s="2">
        <f>Datos!L75</f>
        <v>67.3</v>
      </c>
      <c r="H75" s="2">
        <f>Datos!M75</f>
        <v>69</v>
      </c>
      <c r="I75" s="2" t="b">
        <f t="shared" si="5"/>
        <v>1</v>
      </c>
      <c r="J75" s="2">
        <f t="shared" si="6"/>
        <v>69</v>
      </c>
      <c r="K75" s="2">
        <f t="shared" si="7"/>
        <v>3.3</v>
      </c>
      <c r="L75" s="2">
        <f t="shared" si="8"/>
        <v>67.3</v>
      </c>
      <c r="M75" s="2">
        <f t="shared" si="9"/>
        <v>74.8</v>
      </c>
    </row>
    <row r="76" spans="1:13" x14ac:dyDescent="0.3">
      <c r="A76" s="2">
        <f>Datos!A76</f>
        <v>232</v>
      </c>
      <c r="B76" s="2" t="str">
        <f>Datos!B76</f>
        <v>Female</v>
      </c>
      <c r="C76" s="2" t="str">
        <f>Datos!C76</f>
        <v>Masters</v>
      </c>
      <c r="D76" s="2" t="str">
        <f>Datos!G76</f>
        <v>F</v>
      </c>
      <c r="E76" s="2">
        <f>Datos!I76</f>
        <v>1.7</v>
      </c>
      <c r="F76" s="2">
        <f>Datos!J76</f>
        <v>82.2</v>
      </c>
      <c r="G76" s="2">
        <f>Datos!L76</f>
        <v>63</v>
      </c>
      <c r="H76" s="2">
        <f>Datos!M76</f>
        <v>54.2</v>
      </c>
      <c r="I76" s="2" t="b">
        <f t="shared" si="5"/>
        <v>1</v>
      </c>
      <c r="J76" s="2">
        <f t="shared" si="6"/>
        <v>54.2</v>
      </c>
      <c r="K76" s="2">
        <f t="shared" si="7"/>
        <v>1.7</v>
      </c>
      <c r="L76" s="2">
        <f t="shared" si="8"/>
        <v>63</v>
      </c>
      <c r="M76" s="2">
        <f t="shared" si="9"/>
        <v>82.2</v>
      </c>
    </row>
    <row r="77" spans="1:13" x14ac:dyDescent="0.3">
      <c r="A77" s="2">
        <f>Datos!A77</f>
        <v>563</v>
      </c>
      <c r="B77" s="2" t="str">
        <f>Datos!B77</f>
        <v>Male</v>
      </c>
      <c r="C77" s="2" t="str">
        <f>Datos!C77</f>
        <v>Bachelors</v>
      </c>
      <c r="D77" s="2" t="str">
        <f>Datos!G77</f>
        <v>D</v>
      </c>
      <c r="E77" s="2">
        <f>Datos!I77</f>
        <v>2.4</v>
      </c>
      <c r="F77" s="2">
        <f>Datos!J77</f>
        <v>77</v>
      </c>
      <c r="G77" s="2">
        <f>Datos!L77</f>
        <v>64.3</v>
      </c>
      <c r="H77" s="2">
        <f>Datos!M77</f>
        <v>65.599999999999994</v>
      </c>
      <c r="I77" s="2" t="b">
        <f t="shared" si="5"/>
        <v>1</v>
      </c>
      <c r="J77" s="2">
        <f t="shared" si="6"/>
        <v>65.599999999999994</v>
      </c>
      <c r="K77" s="2">
        <f t="shared" si="7"/>
        <v>2.4</v>
      </c>
      <c r="L77" s="2">
        <f t="shared" si="8"/>
        <v>64.3</v>
      </c>
      <c r="M77" s="2">
        <f t="shared" si="9"/>
        <v>77</v>
      </c>
    </row>
    <row r="78" spans="1:13" x14ac:dyDescent="0.3">
      <c r="A78" s="2">
        <f>Datos!A78</f>
        <v>684</v>
      </c>
      <c r="B78" s="2" t="str">
        <f>Datos!B78</f>
        <v>Male</v>
      </c>
      <c r="C78" s="2" t="str">
        <f>Datos!C78</f>
        <v>PhD</v>
      </c>
      <c r="D78" s="2" t="str">
        <f>Datos!G78</f>
        <v>C</v>
      </c>
      <c r="E78" s="2">
        <f>Datos!I78</f>
        <v>4.7</v>
      </c>
      <c r="F78" s="2">
        <f>Datos!J78</f>
        <v>86.1</v>
      </c>
      <c r="G78" s="2">
        <f>Datos!L78</f>
        <v>60.5</v>
      </c>
      <c r="H78" s="2">
        <f>Datos!M78</f>
        <v>77</v>
      </c>
      <c r="I78" s="2" t="b">
        <f t="shared" si="5"/>
        <v>1</v>
      </c>
      <c r="J78" s="2">
        <f t="shared" si="6"/>
        <v>77</v>
      </c>
      <c r="K78" s="2">
        <f t="shared" si="7"/>
        <v>4.7</v>
      </c>
      <c r="L78" s="2">
        <f t="shared" si="8"/>
        <v>60.5</v>
      </c>
      <c r="M78" s="2">
        <f t="shared" si="9"/>
        <v>86.1</v>
      </c>
    </row>
    <row r="79" spans="1:13" x14ac:dyDescent="0.3">
      <c r="A79" s="2">
        <f>Datos!A79</f>
        <v>356</v>
      </c>
      <c r="B79" s="2" t="str">
        <f>Datos!B79</f>
        <v>Male</v>
      </c>
      <c r="C79" s="2" t="str">
        <f>Datos!C79</f>
        <v>PhD</v>
      </c>
      <c r="D79" s="2" t="str">
        <f>Datos!G79</f>
        <v>C</v>
      </c>
      <c r="E79" s="2">
        <f>Datos!I79</f>
        <v>6.5</v>
      </c>
      <c r="F79" s="2">
        <f>Datos!J79</f>
        <v>87.7</v>
      </c>
      <c r="G79" s="2">
        <f>Datos!L79</f>
        <v>41.6</v>
      </c>
      <c r="H79" s="2">
        <f>Datos!M79</f>
        <v>76.2</v>
      </c>
      <c r="I79" s="2" t="b">
        <f t="shared" si="5"/>
        <v>1</v>
      </c>
      <c r="J79" s="2">
        <f t="shared" si="6"/>
        <v>76.2</v>
      </c>
      <c r="K79" s="2">
        <f t="shared" si="7"/>
        <v>6.5</v>
      </c>
      <c r="L79" s="2">
        <f t="shared" si="8"/>
        <v>41.6</v>
      </c>
      <c r="M79" s="2">
        <f t="shared" si="9"/>
        <v>87.7</v>
      </c>
    </row>
    <row r="80" spans="1:13" x14ac:dyDescent="0.3">
      <c r="A80" s="2">
        <f>Datos!A80</f>
        <v>447</v>
      </c>
      <c r="B80" s="2" t="str">
        <f>Datos!B80</f>
        <v>Male</v>
      </c>
      <c r="C80" s="2" t="str">
        <f>Datos!C80</f>
        <v>High School</v>
      </c>
      <c r="D80" s="2" t="str">
        <f>Datos!G80</f>
        <v>A</v>
      </c>
      <c r="E80" s="2">
        <f>Datos!I80</f>
        <v>5.7</v>
      </c>
      <c r="F80" s="2">
        <f>Datos!J80</f>
        <v>98.1</v>
      </c>
      <c r="G80" s="2">
        <f>Datos!L80</f>
        <v>65.7</v>
      </c>
      <c r="H80" s="2">
        <f>Datos!M80</f>
        <v>96.7</v>
      </c>
      <c r="I80" s="2" t="b">
        <f t="shared" si="5"/>
        <v>1</v>
      </c>
      <c r="J80" s="2">
        <f t="shared" si="6"/>
        <v>96.7</v>
      </c>
      <c r="K80" s="2">
        <f t="shared" si="7"/>
        <v>5.7</v>
      </c>
      <c r="L80" s="2">
        <f t="shared" si="8"/>
        <v>65.7</v>
      </c>
      <c r="M80" s="2">
        <f t="shared" si="9"/>
        <v>98.1</v>
      </c>
    </row>
    <row r="81" spans="1:13" x14ac:dyDescent="0.3">
      <c r="A81" s="2">
        <f>Datos!A81</f>
        <v>650</v>
      </c>
      <c r="B81" s="2" t="str">
        <f>Datos!B81</f>
        <v>Female</v>
      </c>
      <c r="C81" s="2" t="str">
        <f>Datos!C81</f>
        <v>PhD</v>
      </c>
      <c r="D81" s="2" t="str">
        <f>Datos!G81</f>
        <v>D</v>
      </c>
      <c r="E81" s="2">
        <f>Datos!I81</f>
        <v>4.3</v>
      </c>
      <c r="F81" s="2">
        <f>Datos!J81</f>
        <v>83</v>
      </c>
      <c r="G81" s="2">
        <f>Datos!L81</f>
        <v>73.8</v>
      </c>
      <c r="H81" s="2">
        <f>Datos!M81</f>
        <v>69.3</v>
      </c>
      <c r="I81" s="2" t="b">
        <f t="shared" si="5"/>
        <v>1</v>
      </c>
      <c r="J81" s="2">
        <f t="shared" si="6"/>
        <v>69.3</v>
      </c>
      <c r="K81" s="2">
        <f t="shared" si="7"/>
        <v>4.3</v>
      </c>
      <c r="L81" s="2">
        <f t="shared" si="8"/>
        <v>73.8</v>
      </c>
      <c r="M81" s="2">
        <f t="shared" si="9"/>
        <v>83</v>
      </c>
    </row>
    <row r="82" spans="1:13" x14ac:dyDescent="0.3">
      <c r="A82" s="2">
        <f>Datos!A82</f>
        <v>298</v>
      </c>
      <c r="B82" s="2" t="str">
        <f>Datos!B82</f>
        <v>Male</v>
      </c>
      <c r="C82" s="2" t="str">
        <f>Datos!C82</f>
        <v>Bachelors</v>
      </c>
      <c r="D82" s="2" t="str">
        <f>Datos!G82</f>
        <v>B</v>
      </c>
      <c r="E82" s="2">
        <f>Datos!I82</f>
        <v>5.8</v>
      </c>
      <c r="F82" s="2">
        <f>Datos!J82</f>
        <v>91.1</v>
      </c>
      <c r="G82" s="2">
        <f>Datos!L82</f>
        <v>70</v>
      </c>
      <c r="H82" s="2">
        <f>Datos!M82</f>
        <v>83.8</v>
      </c>
      <c r="I82" s="2" t="b">
        <f t="shared" si="5"/>
        <v>1</v>
      </c>
      <c r="J82" s="2">
        <f t="shared" si="6"/>
        <v>83.8</v>
      </c>
      <c r="K82" s="2">
        <f t="shared" si="7"/>
        <v>5.8</v>
      </c>
      <c r="L82" s="2">
        <f t="shared" si="8"/>
        <v>70</v>
      </c>
      <c r="M82" s="2">
        <f t="shared" si="9"/>
        <v>91.1</v>
      </c>
    </row>
    <row r="83" spans="1:13" x14ac:dyDescent="0.3">
      <c r="A83" s="2">
        <f>Datos!A83</f>
        <v>550</v>
      </c>
      <c r="B83" s="2" t="str">
        <f>Datos!B83</f>
        <v>Female</v>
      </c>
      <c r="C83" s="2" t="str">
        <f>Datos!C83</f>
        <v>High School</v>
      </c>
      <c r="D83" s="2" t="str">
        <f>Datos!G83</f>
        <v>B</v>
      </c>
      <c r="E83" s="2">
        <f>Datos!I83</f>
        <v>6.9</v>
      </c>
      <c r="F83" s="2">
        <f>Datos!J83</f>
        <v>73</v>
      </c>
      <c r="G83" s="2">
        <f>Datos!L83</f>
        <v>77.900000000000006</v>
      </c>
      <c r="H83" s="2">
        <f>Datos!M83</f>
        <v>89.4</v>
      </c>
      <c r="I83" s="2" t="b">
        <f t="shared" si="5"/>
        <v>1</v>
      </c>
      <c r="J83" s="2">
        <f t="shared" si="6"/>
        <v>89.4</v>
      </c>
      <c r="K83" s="2">
        <f t="shared" si="7"/>
        <v>6.9</v>
      </c>
      <c r="L83" s="2">
        <f t="shared" si="8"/>
        <v>77.900000000000006</v>
      </c>
      <c r="M83" s="2">
        <f t="shared" si="9"/>
        <v>73</v>
      </c>
    </row>
    <row r="84" spans="1:13" x14ac:dyDescent="0.3">
      <c r="A84" s="2">
        <f>Datos!A84</f>
        <v>261</v>
      </c>
      <c r="B84" s="2" t="str">
        <f>Datos!B84</f>
        <v>Female</v>
      </c>
      <c r="C84" s="2" t="str">
        <f>Datos!C84</f>
        <v>High School</v>
      </c>
      <c r="D84" s="2" t="str">
        <f>Datos!G84</f>
        <v>D</v>
      </c>
      <c r="E84" s="2">
        <f>Datos!I84</f>
        <v>5.2</v>
      </c>
      <c r="F84" s="2">
        <f>Datos!J84</f>
        <v>67.3</v>
      </c>
      <c r="G84" s="2">
        <f>Datos!L84</f>
        <v>38.4</v>
      </c>
      <c r="H84" s="2">
        <f>Datos!M84</f>
        <v>64.900000000000006</v>
      </c>
      <c r="I84" s="2" t="b">
        <f t="shared" si="5"/>
        <v>1</v>
      </c>
      <c r="J84" s="2">
        <f t="shared" si="6"/>
        <v>64.900000000000006</v>
      </c>
      <c r="K84" s="2">
        <f t="shared" si="7"/>
        <v>5.2</v>
      </c>
      <c r="L84" s="2">
        <f t="shared" si="8"/>
        <v>38.4</v>
      </c>
      <c r="M84" s="2">
        <f t="shared" si="9"/>
        <v>67.3</v>
      </c>
    </row>
    <row r="85" spans="1:13" x14ac:dyDescent="0.3">
      <c r="A85" s="2">
        <f>Datos!A85</f>
        <v>385</v>
      </c>
      <c r="B85" s="2" t="str">
        <f>Datos!B85</f>
        <v>Male</v>
      </c>
      <c r="C85" s="2">
        <f>Datos!C85</f>
        <v>0</v>
      </c>
      <c r="D85" s="2" t="str">
        <f>Datos!G85</f>
        <v>C</v>
      </c>
      <c r="E85" s="2">
        <f>Datos!I85</f>
        <v>2.4</v>
      </c>
      <c r="F85" s="2">
        <f>Datos!J85</f>
        <v>91.3</v>
      </c>
      <c r="G85" s="2">
        <f>Datos!L85</f>
        <v>93</v>
      </c>
      <c r="H85" s="2">
        <f>Datos!M85</f>
        <v>77.400000000000006</v>
      </c>
      <c r="I85" s="2" t="b">
        <f t="shared" si="5"/>
        <v>1</v>
      </c>
      <c r="J85" s="2">
        <f t="shared" si="6"/>
        <v>77.400000000000006</v>
      </c>
      <c r="K85" s="2">
        <f t="shared" si="7"/>
        <v>2.4</v>
      </c>
      <c r="L85" s="2">
        <f t="shared" si="8"/>
        <v>93</v>
      </c>
      <c r="M85" s="2">
        <f t="shared" si="9"/>
        <v>91.3</v>
      </c>
    </row>
    <row r="86" spans="1:13" x14ac:dyDescent="0.3">
      <c r="A86" s="2">
        <f>Datos!A86</f>
        <v>258</v>
      </c>
      <c r="B86" s="2" t="str">
        <f>Datos!B86</f>
        <v>Male</v>
      </c>
      <c r="C86" s="2">
        <f>Datos!C86</f>
        <v>0</v>
      </c>
      <c r="D86" s="2" t="str">
        <f>Datos!G86</f>
        <v>C</v>
      </c>
      <c r="E86" s="2">
        <f>Datos!I86</f>
        <v>5.5</v>
      </c>
      <c r="F86" s="2">
        <f>Datos!J86</f>
        <v>82.4</v>
      </c>
      <c r="G86" s="2">
        <f>Datos!L86</f>
        <v>39.799999999999997</v>
      </c>
      <c r="H86" s="2">
        <f>Datos!M86</f>
        <v>77.2</v>
      </c>
      <c r="I86" s="2" t="b">
        <f t="shared" si="5"/>
        <v>1</v>
      </c>
      <c r="J86" s="2">
        <f t="shared" si="6"/>
        <v>77.2</v>
      </c>
      <c r="K86" s="2">
        <f t="shared" si="7"/>
        <v>5.5</v>
      </c>
      <c r="L86" s="2">
        <f t="shared" si="8"/>
        <v>39.799999999999997</v>
      </c>
      <c r="M86" s="2">
        <f t="shared" si="9"/>
        <v>82.4</v>
      </c>
    </row>
    <row r="87" spans="1:13" x14ac:dyDescent="0.3">
      <c r="A87" s="2">
        <f>Datos!A87</f>
        <v>499</v>
      </c>
      <c r="B87" s="2" t="str">
        <f>Datos!B87</f>
        <v>Male</v>
      </c>
      <c r="C87" s="2" t="str">
        <f>Datos!C87</f>
        <v>High School</v>
      </c>
      <c r="D87" s="2" t="str">
        <f>Datos!G87</f>
        <v>D</v>
      </c>
      <c r="E87" s="2">
        <f>Datos!I87</f>
        <v>1.2</v>
      </c>
      <c r="F87" s="2">
        <f>Datos!J87</f>
        <v>74.5</v>
      </c>
      <c r="G87" s="2">
        <f>Datos!L87</f>
        <v>81.2</v>
      </c>
      <c r="H87" s="2">
        <f>Datos!M87</f>
        <v>64.400000000000006</v>
      </c>
      <c r="I87" s="2" t="b">
        <f t="shared" si="5"/>
        <v>1</v>
      </c>
      <c r="J87" s="2">
        <f t="shared" si="6"/>
        <v>64.400000000000006</v>
      </c>
      <c r="K87" s="2">
        <f t="shared" si="7"/>
        <v>1.2</v>
      </c>
      <c r="L87" s="2">
        <f t="shared" si="8"/>
        <v>81.2</v>
      </c>
      <c r="M87" s="2">
        <f t="shared" si="9"/>
        <v>74.5</v>
      </c>
    </row>
    <row r="88" spans="1:13" x14ac:dyDescent="0.3">
      <c r="A88" s="2">
        <f>Datos!A88</f>
        <v>257</v>
      </c>
      <c r="B88" s="2" t="str">
        <f>Datos!B88</f>
        <v>Female</v>
      </c>
      <c r="C88" s="2" t="str">
        <f>Datos!C88</f>
        <v>Bachelors</v>
      </c>
      <c r="D88" s="2" t="str">
        <f>Datos!G88</f>
        <v>B</v>
      </c>
      <c r="E88" s="2">
        <f>Datos!I88</f>
        <v>4.4000000000000004</v>
      </c>
      <c r="F88" s="2">
        <f>Datos!J88</f>
        <v>96.4</v>
      </c>
      <c r="G88" s="2">
        <f>Datos!L88</f>
        <v>56.1</v>
      </c>
      <c r="H88" s="2">
        <f>Datos!M88</f>
        <v>86.3</v>
      </c>
      <c r="I88" s="2" t="b">
        <f t="shared" si="5"/>
        <v>1</v>
      </c>
      <c r="J88" s="2">
        <f t="shared" si="6"/>
        <v>86.3</v>
      </c>
      <c r="K88" s="2">
        <f t="shared" si="7"/>
        <v>4.4000000000000004</v>
      </c>
      <c r="L88" s="2">
        <f t="shared" si="8"/>
        <v>56.1</v>
      </c>
      <c r="M88" s="2">
        <f t="shared" si="9"/>
        <v>96.4</v>
      </c>
    </row>
    <row r="89" spans="1:13" x14ac:dyDescent="0.3">
      <c r="A89" s="2">
        <f>Datos!A89</f>
        <v>734</v>
      </c>
      <c r="B89" s="2" t="str">
        <f>Datos!B89</f>
        <v>Male</v>
      </c>
      <c r="C89" s="2" t="str">
        <f>Datos!C89</f>
        <v>PhD</v>
      </c>
      <c r="D89" s="2" t="str">
        <f>Datos!G89</f>
        <v>D</v>
      </c>
      <c r="E89" s="2">
        <f>Datos!I89</f>
        <v>1.3</v>
      </c>
      <c r="F89" s="2">
        <f>Datos!J89</f>
        <v>79.400000000000006</v>
      </c>
      <c r="G89" s="2">
        <f>Datos!L89</f>
        <v>51.4</v>
      </c>
      <c r="H89" s="2">
        <f>Datos!M89</f>
        <v>60.2</v>
      </c>
      <c r="I89" s="2" t="b">
        <f t="shared" si="5"/>
        <v>1</v>
      </c>
      <c r="J89" s="2">
        <f t="shared" si="6"/>
        <v>60.2</v>
      </c>
      <c r="K89" s="2">
        <f t="shared" si="7"/>
        <v>1.3</v>
      </c>
      <c r="L89" s="2">
        <f t="shared" si="8"/>
        <v>51.4</v>
      </c>
      <c r="M89" s="2">
        <f t="shared" si="9"/>
        <v>79.400000000000006</v>
      </c>
    </row>
    <row r="90" spans="1:13" x14ac:dyDescent="0.3">
      <c r="A90" s="2">
        <f>Datos!A90</f>
        <v>480</v>
      </c>
      <c r="B90" s="2" t="str">
        <f>Datos!B90</f>
        <v>Female</v>
      </c>
      <c r="C90" s="2" t="str">
        <f>Datos!C90</f>
        <v>PhD</v>
      </c>
      <c r="D90" s="2" t="str">
        <f>Datos!G90</f>
        <v>C</v>
      </c>
      <c r="E90" s="2">
        <f>Datos!I90</f>
        <v>4.0999999999999996</v>
      </c>
      <c r="F90" s="2">
        <f>Datos!J90</f>
        <v>86.6</v>
      </c>
      <c r="G90" s="2">
        <f>Datos!L90</f>
        <v>79.5</v>
      </c>
      <c r="H90" s="2">
        <f>Datos!M90</f>
        <v>73</v>
      </c>
      <c r="I90" s="2" t="b">
        <f t="shared" si="5"/>
        <v>1</v>
      </c>
      <c r="J90" s="2">
        <f t="shared" si="6"/>
        <v>73</v>
      </c>
      <c r="K90" s="2">
        <f t="shared" si="7"/>
        <v>4.0999999999999996</v>
      </c>
      <c r="L90" s="2">
        <f t="shared" si="8"/>
        <v>79.5</v>
      </c>
      <c r="M90" s="2">
        <f t="shared" si="9"/>
        <v>86.6</v>
      </c>
    </row>
    <row r="91" spans="1:13" x14ac:dyDescent="0.3">
      <c r="A91" s="2">
        <f>Datos!A91</f>
        <v>691</v>
      </c>
      <c r="B91" s="2" t="str">
        <f>Datos!B91</f>
        <v>Male</v>
      </c>
      <c r="C91" s="2" t="str">
        <f>Datos!C91</f>
        <v>High School</v>
      </c>
      <c r="D91" s="2" t="str">
        <f>Datos!G91</f>
        <v>D</v>
      </c>
      <c r="E91" s="2">
        <f>Datos!I91</f>
        <v>3.4</v>
      </c>
      <c r="F91" s="2">
        <f>Datos!J91</f>
        <v>80.2</v>
      </c>
      <c r="G91" s="2">
        <f>Datos!L91</f>
        <v>56.1</v>
      </c>
      <c r="H91" s="2">
        <f>Datos!M91</f>
        <v>63.7</v>
      </c>
      <c r="I91" s="2" t="b">
        <f t="shared" si="5"/>
        <v>1</v>
      </c>
      <c r="J91" s="2">
        <f t="shared" si="6"/>
        <v>63.7</v>
      </c>
      <c r="K91" s="2">
        <f t="shared" si="7"/>
        <v>3.4</v>
      </c>
      <c r="L91" s="2">
        <f t="shared" si="8"/>
        <v>56.1</v>
      </c>
      <c r="M91" s="2">
        <f t="shared" si="9"/>
        <v>80.2</v>
      </c>
    </row>
    <row r="92" spans="1:13" x14ac:dyDescent="0.3">
      <c r="A92" s="2">
        <f>Datos!A92</f>
        <v>247</v>
      </c>
      <c r="B92" s="2" t="str">
        <f>Datos!B92</f>
        <v>Female</v>
      </c>
      <c r="C92" s="2" t="str">
        <f>Datos!C92</f>
        <v>PhD</v>
      </c>
      <c r="D92" s="2" t="str">
        <f>Datos!G92</f>
        <v>A</v>
      </c>
      <c r="E92" s="2">
        <f>Datos!I92</f>
        <v>6.7</v>
      </c>
      <c r="F92" s="2">
        <f>Datos!J92</f>
        <v>82.2</v>
      </c>
      <c r="G92" s="2">
        <f>Datos!L92</f>
        <v>88.9</v>
      </c>
      <c r="H92" s="2">
        <f>Datos!M92</f>
        <v>92.2</v>
      </c>
      <c r="I92" s="2" t="b">
        <f t="shared" si="5"/>
        <v>1</v>
      </c>
      <c r="J92" s="2">
        <f t="shared" si="6"/>
        <v>92.2</v>
      </c>
      <c r="K92" s="2">
        <f t="shared" si="7"/>
        <v>6.7</v>
      </c>
      <c r="L92" s="2">
        <f t="shared" si="8"/>
        <v>88.9</v>
      </c>
      <c r="M92" s="2">
        <f t="shared" si="9"/>
        <v>82.2</v>
      </c>
    </row>
    <row r="93" spans="1:13" x14ac:dyDescent="0.3">
      <c r="A93" s="2">
        <f>Datos!A93</f>
        <v>760</v>
      </c>
      <c r="B93" s="2" t="str">
        <f>Datos!B93</f>
        <v>Female</v>
      </c>
      <c r="C93" s="2" t="str">
        <f>Datos!C93</f>
        <v>High School</v>
      </c>
      <c r="D93" s="2" t="str">
        <f>Datos!G93</f>
        <v>A</v>
      </c>
      <c r="E93" s="2">
        <f>Datos!I93</f>
        <v>6.7</v>
      </c>
      <c r="F93" s="2">
        <f>Datos!J93</f>
        <v>99.8</v>
      </c>
      <c r="G93" s="2">
        <f>Datos!L93</f>
        <v>55.2</v>
      </c>
      <c r="H93" s="2">
        <f>Datos!M93</f>
        <v>91.1</v>
      </c>
      <c r="I93" s="2" t="b">
        <f t="shared" si="5"/>
        <v>1</v>
      </c>
      <c r="J93" s="2">
        <f t="shared" si="6"/>
        <v>91.1</v>
      </c>
      <c r="K93" s="2">
        <f t="shared" si="7"/>
        <v>6.7</v>
      </c>
      <c r="L93" s="2">
        <f t="shared" si="8"/>
        <v>55.2</v>
      </c>
      <c r="M93" s="2">
        <f t="shared" si="9"/>
        <v>99.8</v>
      </c>
    </row>
    <row r="94" spans="1:13" x14ac:dyDescent="0.3">
      <c r="A94" s="2">
        <f>Datos!A94</f>
        <v>819</v>
      </c>
      <c r="B94" s="2" t="str">
        <f>Datos!B94</f>
        <v>Female</v>
      </c>
      <c r="C94" s="2" t="str">
        <f>Datos!C94</f>
        <v>Bachelors</v>
      </c>
      <c r="D94" s="2" t="str">
        <f>Datos!G94</f>
        <v>F</v>
      </c>
      <c r="E94" s="2">
        <f>Datos!I94</f>
        <v>3</v>
      </c>
      <c r="F94" s="2">
        <f>Datos!J94</f>
        <v>98.1</v>
      </c>
      <c r="G94" s="2">
        <f>Datos!L94</f>
        <v>66.75</v>
      </c>
      <c r="H94" s="2">
        <f>Datos!M94</f>
        <v>59.8</v>
      </c>
      <c r="I94" s="2" t="b">
        <f t="shared" si="5"/>
        <v>1</v>
      </c>
      <c r="J94" s="2">
        <f t="shared" si="6"/>
        <v>59.8</v>
      </c>
      <c r="K94" s="2">
        <f t="shared" si="7"/>
        <v>3</v>
      </c>
      <c r="L94" s="2">
        <f t="shared" si="8"/>
        <v>66.75</v>
      </c>
      <c r="M94" s="2">
        <f t="shared" si="9"/>
        <v>98.1</v>
      </c>
    </row>
    <row r="95" spans="1:13" x14ac:dyDescent="0.3">
      <c r="A95" s="2">
        <f>Datos!A95</f>
        <v>263</v>
      </c>
      <c r="B95" s="2" t="str">
        <f>Datos!B95</f>
        <v>Female</v>
      </c>
      <c r="C95" s="2">
        <f>Datos!C95</f>
        <v>0</v>
      </c>
      <c r="D95" s="2" t="str">
        <f>Datos!G95</f>
        <v>C</v>
      </c>
      <c r="E95" s="2">
        <f>Datos!I95</f>
        <v>3.6</v>
      </c>
      <c r="F95" s="2">
        <f>Datos!J95</f>
        <v>96</v>
      </c>
      <c r="G95" s="2">
        <f>Datos!L95</f>
        <v>57</v>
      </c>
      <c r="H95" s="2">
        <f>Datos!M95</f>
        <v>73.099999999999994</v>
      </c>
      <c r="I95" s="2" t="b">
        <f t="shared" si="5"/>
        <v>1</v>
      </c>
      <c r="J95" s="2">
        <f t="shared" si="6"/>
        <v>73.099999999999994</v>
      </c>
      <c r="K95" s="2">
        <f t="shared" si="7"/>
        <v>3.6</v>
      </c>
      <c r="L95" s="2">
        <f t="shared" si="8"/>
        <v>57</v>
      </c>
      <c r="M95" s="2">
        <f t="shared" si="9"/>
        <v>96</v>
      </c>
    </row>
    <row r="96" spans="1:13" x14ac:dyDescent="0.3">
      <c r="A96" s="2">
        <f>Datos!A96</f>
        <v>875</v>
      </c>
      <c r="B96" s="2" t="str">
        <f>Datos!B96</f>
        <v>Male</v>
      </c>
      <c r="C96" s="2">
        <f>Datos!C96</f>
        <v>0</v>
      </c>
      <c r="D96" s="2" t="str">
        <f>Datos!G96</f>
        <v>F</v>
      </c>
      <c r="E96" s="2">
        <f>Datos!I96</f>
        <v>2.8</v>
      </c>
      <c r="F96" s="2">
        <f>Datos!J96</f>
        <v>75.400000000000006</v>
      </c>
      <c r="G96" s="2">
        <f>Datos!L96</f>
        <v>89.6</v>
      </c>
      <c r="H96" s="2">
        <f>Datos!M96</f>
        <v>58.5</v>
      </c>
      <c r="I96" s="2" t="b">
        <f t="shared" si="5"/>
        <v>1</v>
      </c>
      <c r="J96" s="2">
        <f t="shared" si="6"/>
        <v>58.5</v>
      </c>
      <c r="K96" s="2">
        <f t="shared" si="7"/>
        <v>2.8</v>
      </c>
      <c r="L96" s="2">
        <f t="shared" si="8"/>
        <v>89.6</v>
      </c>
      <c r="M96" s="2">
        <f t="shared" si="9"/>
        <v>75.400000000000006</v>
      </c>
    </row>
    <row r="97" spans="1:13" x14ac:dyDescent="0.3">
      <c r="A97" s="2">
        <f>Datos!A97</f>
        <v>899</v>
      </c>
      <c r="B97" s="2" t="str">
        <f>Datos!B97</f>
        <v>Female</v>
      </c>
      <c r="C97" s="2">
        <f>Datos!C97</f>
        <v>0</v>
      </c>
      <c r="D97" s="2" t="str">
        <f>Datos!G97</f>
        <v>D</v>
      </c>
      <c r="E97" s="2">
        <f>Datos!I97</f>
        <v>1.7</v>
      </c>
      <c r="F97" s="2">
        <f>Datos!J97</f>
        <v>91.2</v>
      </c>
      <c r="G97" s="2">
        <f>Datos!L97</f>
        <v>85.4</v>
      </c>
      <c r="H97" s="2">
        <f>Datos!M97</f>
        <v>69</v>
      </c>
      <c r="I97" s="2" t="b">
        <f t="shared" si="5"/>
        <v>1</v>
      </c>
      <c r="J97" s="2">
        <f t="shared" si="6"/>
        <v>69</v>
      </c>
      <c r="K97" s="2">
        <f t="shared" si="7"/>
        <v>1.7</v>
      </c>
      <c r="L97" s="2">
        <f t="shared" si="8"/>
        <v>85.4</v>
      </c>
      <c r="M97" s="2">
        <f t="shared" si="9"/>
        <v>91.2</v>
      </c>
    </row>
    <row r="98" spans="1:13" x14ac:dyDescent="0.3">
      <c r="A98" s="2">
        <f>Datos!A98</f>
        <v>830</v>
      </c>
      <c r="B98" s="2" t="str">
        <f>Datos!B98</f>
        <v>Male</v>
      </c>
      <c r="C98" s="2" t="str">
        <f>Datos!C98</f>
        <v>PhD</v>
      </c>
      <c r="D98" s="2" t="str">
        <f>Datos!G98</f>
        <v>C</v>
      </c>
      <c r="E98" s="2">
        <f>Datos!I98</f>
        <v>3.8</v>
      </c>
      <c r="F98" s="2">
        <f>Datos!J98</f>
        <v>97.1</v>
      </c>
      <c r="G98" s="2">
        <f>Datos!L98</f>
        <v>50.9</v>
      </c>
      <c r="H98" s="2">
        <f>Datos!M98</f>
        <v>72.5</v>
      </c>
      <c r="I98" s="2" t="b">
        <f t="shared" si="5"/>
        <v>1</v>
      </c>
      <c r="J98" s="2">
        <f t="shared" si="6"/>
        <v>72.5</v>
      </c>
      <c r="K98" s="2">
        <f t="shared" si="7"/>
        <v>3.8</v>
      </c>
      <c r="L98" s="2">
        <f t="shared" si="8"/>
        <v>50.9</v>
      </c>
      <c r="M98" s="2">
        <f t="shared" si="9"/>
        <v>97.1</v>
      </c>
    </row>
    <row r="99" spans="1:13" x14ac:dyDescent="0.3">
      <c r="A99" s="2">
        <f>Datos!A99</f>
        <v>557</v>
      </c>
      <c r="B99" s="2" t="str">
        <f>Datos!B99</f>
        <v>Male</v>
      </c>
      <c r="C99" s="2" t="str">
        <f>Datos!C99</f>
        <v>High School</v>
      </c>
      <c r="D99" s="2" t="str">
        <f>Datos!G99</f>
        <v>B</v>
      </c>
      <c r="E99" s="2">
        <f>Datos!I99</f>
        <v>3.8</v>
      </c>
      <c r="F99" s="2">
        <f>Datos!J99</f>
        <v>82</v>
      </c>
      <c r="G99" s="2">
        <f>Datos!L99</f>
        <v>87.7</v>
      </c>
      <c r="H99" s="2">
        <f>Datos!M99</f>
        <v>82.4</v>
      </c>
      <c r="I99" s="2" t="b">
        <f t="shared" si="5"/>
        <v>1</v>
      </c>
      <c r="J99" s="2">
        <f t="shared" si="6"/>
        <v>82.4</v>
      </c>
      <c r="K99" s="2">
        <f t="shared" si="7"/>
        <v>3.8</v>
      </c>
      <c r="L99" s="2">
        <f t="shared" si="8"/>
        <v>87.7</v>
      </c>
      <c r="M99" s="2">
        <f t="shared" si="9"/>
        <v>82</v>
      </c>
    </row>
    <row r="100" spans="1:13" x14ac:dyDescent="0.3">
      <c r="A100" s="2">
        <f>Datos!A100</f>
        <v>821</v>
      </c>
      <c r="B100" s="2" t="str">
        <f>Datos!B100</f>
        <v>Female</v>
      </c>
      <c r="C100" s="2" t="str">
        <f>Datos!C100</f>
        <v>PhD</v>
      </c>
      <c r="D100" s="2" t="str">
        <f>Datos!G100</f>
        <v>D</v>
      </c>
      <c r="E100" s="2">
        <f>Datos!I100</f>
        <v>5.5</v>
      </c>
      <c r="F100" s="2">
        <f>Datos!J100</f>
        <v>83.8</v>
      </c>
      <c r="G100" s="2">
        <f>Datos!L100</f>
        <v>35.799999999999997</v>
      </c>
      <c r="H100" s="2">
        <f>Datos!M100</f>
        <v>61.3</v>
      </c>
      <c r="I100" s="2" t="b">
        <f t="shared" si="5"/>
        <v>1</v>
      </c>
      <c r="J100" s="2">
        <f t="shared" si="6"/>
        <v>61.3</v>
      </c>
      <c r="K100" s="2">
        <f t="shared" si="7"/>
        <v>5.5</v>
      </c>
      <c r="L100" s="2">
        <f t="shared" si="8"/>
        <v>35.799999999999997</v>
      </c>
      <c r="M100" s="2">
        <f t="shared" si="9"/>
        <v>83.8</v>
      </c>
    </row>
    <row r="101" spans="1:13" x14ac:dyDescent="0.3">
      <c r="A101" s="2">
        <f>Datos!A101</f>
        <v>518</v>
      </c>
      <c r="B101" s="2" t="str">
        <f>Datos!B101</f>
        <v>Male</v>
      </c>
      <c r="C101" s="2" t="str">
        <f>Datos!C101</f>
        <v>Bachelors</v>
      </c>
      <c r="D101" s="2" t="str">
        <f>Datos!G101</f>
        <v>D</v>
      </c>
      <c r="E101" s="2">
        <f>Datos!I101</f>
        <v>3.2</v>
      </c>
      <c r="F101" s="2">
        <f>Datos!J101</f>
        <v>93.4</v>
      </c>
      <c r="G101" s="2">
        <f>Datos!L101</f>
        <v>53.4</v>
      </c>
      <c r="H101" s="2">
        <f>Datos!M101</f>
        <v>69.8</v>
      </c>
      <c r="I101" s="2" t="b">
        <f t="shared" si="5"/>
        <v>1</v>
      </c>
      <c r="J101" s="2">
        <f t="shared" si="6"/>
        <v>69.8</v>
      </c>
      <c r="K101" s="2">
        <f t="shared" si="7"/>
        <v>3.2</v>
      </c>
      <c r="L101" s="2">
        <f t="shared" si="8"/>
        <v>53.4</v>
      </c>
      <c r="M101" s="2">
        <f t="shared" si="9"/>
        <v>93.4</v>
      </c>
    </row>
    <row r="102" spans="1:13" x14ac:dyDescent="0.3">
      <c r="A102" s="2">
        <f>Datos!A102</f>
        <v>907</v>
      </c>
      <c r="B102" s="2" t="str">
        <f>Datos!B102</f>
        <v>Male</v>
      </c>
      <c r="C102" s="2" t="str">
        <f>Datos!C102</f>
        <v>Bachelors</v>
      </c>
      <c r="D102" s="2" t="str">
        <f>Datos!G102</f>
        <v>C</v>
      </c>
      <c r="E102" s="2">
        <f>Datos!I102</f>
        <v>4</v>
      </c>
      <c r="F102" s="2">
        <f>Datos!J102</f>
        <v>67.599999999999994</v>
      </c>
      <c r="G102" s="2">
        <f>Datos!L102</f>
        <v>58.5</v>
      </c>
      <c r="H102" s="2">
        <f>Datos!M102</f>
        <v>71.900000000000006</v>
      </c>
      <c r="I102" s="2" t="b">
        <f t="shared" si="5"/>
        <v>1</v>
      </c>
      <c r="J102" s="2">
        <f t="shared" si="6"/>
        <v>71.900000000000006</v>
      </c>
      <c r="K102" s="2">
        <f t="shared" si="7"/>
        <v>4</v>
      </c>
      <c r="L102" s="2">
        <f t="shared" si="8"/>
        <v>58.5</v>
      </c>
      <c r="M102" s="2">
        <f t="shared" si="9"/>
        <v>67.599999999999994</v>
      </c>
    </row>
    <row r="103" spans="1:13" x14ac:dyDescent="0.3">
      <c r="A103" s="2">
        <f>Datos!A103</f>
        <v>809</v>
      </c>
      <c r="B103" s="2" t="str">
        <f>Datos!B103</f>
        <v>Male</v>
      </c>
      <c r="C103" s="2" t="str">
        <f>Datos!C103</f>
        <v>High School</v>
      </c>
      <c r="D103" s="2" t="str">
        <f>Datos!G103</f>
        <v>D</v>
      </c>
      <c r="E103" s="2">
        <f>Datos!I103</f>
        <v>2.2000000000000002</v>
      </c>
      <c r="F103" s="2">
        <f>Datos!J103</f>
        <v>94</v>
      </c>
      <c r="G103" s="2">
        <f>Datos!L103</f>
        <v>39.799999999999997</v>
      </c>
      <c r="H103" s="2">
        <f>Datos!M103</f>
        <v>60.4</v>
      </c>
      <c r="I103" s="2" t="b">
        <f t="shared" si="5"/>
        <v>1</v>
      </c>
      <c r="J103" s="2">
        <f t="shared" si="6"/>
        <v>60.4</v>
      </c>
      <c r="K103" s="2">
        <f t="shared" si="7"/>
        <v>2.2000000000000002</v>
      </c>
      <c r="L103" s="2">
        <f t="shared" si="8"/>
        <v>39.799999999999997</v>
      </c>
      <c r="M103" s="2">
        <f t="shared" si="9"/>
        <v>94</v>
      </c>
    </row>
    <row r="104" spans="1:13" x14ac:dyDescent="0.3">
      <c r="A104" s="2">
        <f>Datos!A104</f>
        <v>64</v>
      </c>
      <c r="B104" s="2" t="str">
        <f>Datos!B104</f>
        <v>Female</v>
      </c>
      <c r="C104" s="2" t="str">
        <f>Datos!C104</f>
        <v>Bachelors</v>
      </c>
      <c r="D104" s="2" t="str">
        <f>Datos!G104</f>
        <v>C</v>
      </c>
      <c r="E104" s="2">
        <f>Datos!I104</f>
        <v>2.7</v>
      </c>
      <c r="F104" s="2">
        <f>Datos!J104</f>
        <v>94.6</v>
      </c>
      <c r="G104" s="2">
        <f>Datos!L104</f>
        <v>89.6</v>
      </c>
      <c r="H104" s="2">
        <f>Datos!M104</f>
        <v>75.400000000000006</v>
      </c>
      <c r="I104" s="2" t="b">
        <f t="shared" si="5"/>
        <v>1</v>
      </c>
      <c r="J104" s="2">
        <f t="shared" si="6"/>
        <v>75.400000000000006</v>
      </c>
      <c r="K104" s="2">
        <f t="shared" si="7"/>
        <v>2.7</v>
      </c>
      <c r="L104" s="2">
        <f t="shared" si="8"/>
        <v>89.6</v>
      </c>
      <c r="M104" s="2">
        <f t="shared" si="9"/>
        <v>94.6</v>
      </c>
    </row>
    <row r="105" spans="1:13" x14ac:dyDescent="0.3">
      <c r="A105" s="2">
        <f>Datos!A105</f>
        <v>908</v>
      </c>
      <c r="B105" s="2" t="str">
        <f>Datos!B105</f>
        <v>Female</v>
      </c>
      <c r="C105" s="2" t="str">
        <f>Datos!C105</f>
        <v>Masters</v>
      </c>
      <c r="D105" s="2" t="str">
        <f>Datos!G105</f>
        <v>D</v>
      </c>
      <c r="E105" s="2">
        <f>Datos!I105</f>
        <v>3.8</v>
      </c>
      <c r="F105" s="2">
        <f>Datos!J105</f>
        <v>66.2</v>
      </c>
      <c r="G105" s="2">
        <f>Datos!L105</f>
        <v>72.400000000000006</v>
      </c>
      <c r="H105" s="2">
        <f>Datos!M105</f>
        <v>67.5</v>
      </c>
      <c r="I105" s="2" t="b">
        <f t="shared" si="5"/>
        <v>1</v>
      </c>
      <c r="J105" s="2">
        <f t="shared" si="6"/>
        <v>67.5</v>
      </c>
      <c r="K105" s="2">
        <f t="shared" si="7"/>
        <v>3.8</v>
      </c>
      <c r="L105" s="2">
        <f t="shared" si="8"/>
        <v>72.400000000000006</v>
      </c>
      <c r="M105" s="2">
        <f t="shared" si="9"/>
        <v>66.2</v>
      </c>
    </row>
    <row r="106" spans="1:13" x14ac:dyDescent="0.3">
      <c r="A106" s="2">
        <f>Datos!A106</f>
        <v>919</v>
      </c>
      <c r="B106" s="2" t="str">
        <f>Datos!B106</f>
        <v>Female</v>
      </c>
      <c r="C106" s="2" t="str">
        <f>Datos!C106</f>
        <v>Bachelors</v>
      </c>
      <c r="D106" s="2" t="str">
        <f>Datos!G106</f>
        <v>A</v>
      </c>
      <c r="E106" s="2">
        <f>Datos!I106</f>
        <v>4.4000000000000004</v>
      </c>
      <c r="F106" s="2">
        <f>Datos!J106</f>
        <v>78.8</v>
      </c>
      <c r="G106" s="2">
        <f>Datos!L106</f>
        <v>89.9</v>
      </c>
      <c r="H106" s="2">
        <f>Datos!M106</f>
        <v>91.3</v>
      </c>
      <c r="I106" s="2" t="b">
        <f t="shared" si="5"/>
        <v>1</v>
      </c>
      <c r="J106" s="2">
        <f t="shared" si="6"/>
        <v>91.3</v>
      </c>
      <c r="K106" s="2">
        <f t="shared" si="7"/>
        <v>4.4000000000000004</v>
      </c>
      <c r="L106" s="2">
        <f t="shared" si="8"/>
        <v>89.9</v>
      </c>
      <c r="M106" s="2">
        <f t="shared" si="9"/>
        <v>78.8</v>
      </c>
    </row>
    <row r="107" spans="1:13" x14ac:dyDescent="0.3">
      <c r="A107" s="2">
        <f>Datos!A107</f>
        <v>112</v>
      </c>
      <c r="B107" s="2" t="str">
        <f>Datos!B107</f>
        <v>Female</v>
      </c>
      <c r="C107" s="2">
        <f>Datos!C107</f>
        <v>0</v>
      </c>
      <c r="D107" s="2" t="str">
        <f>Datos!G107</f>
        <v>D</v>
      </c>
      <c r="E107" s="2">
        <f>Datos!I107</f>
        <v>1.5</v>
      </c>
      <c r="F107" s="2">
        <f>Datos!J107</f>
        <v>87.1</v>
      </c>
      <c r="G107" s="2">
        <f>Datos!L107</f>
        <v>62.7</v>
      </c>
      <c r="H107" s="2">
        <f>Datos!M107</f>
        <v>60</v>
      </c>
      <c r="I107" s="2" t="b">
        <f t="shared" si="5"/>
        <v>1</v>
      </c>
      <c r="J107" s="2">
        <f t="shared" si="6"/>
        <v>60</v>
      </c>
      <c r="K107" s="2">
        <f t="shared" si="7"/>
        <v>1.5</v>
      </c>
      <c r="L107" s="2">
        <f t="shared" si="8"/>
        <v>62.7</v>
      </c>
      <c r="M107" s="2">
        <f t="shared" si="9"/>
        <v>87.1</v>
      </c>
    </row>
    <row r="108" spans="1:13" x14ac:dyDescent="0.3">
      <c r="A108" s="2">
        <f>Datos!A108</f>
        <v>66</v>
      </c>
      <c r="B108" s="2" t="str">
        <f>Datos!B108</f>
        <v>Male</v>
      </c>
      <c r="C108" s="2" t="str">
        <f>Datos!C108</f>
        <v>High School</v>
      </c>
      <c r="D108" s="2" t="str">
        <f>Datos!G108</f>
        <v>F</v>
      </c>
      <c r="E108" s="2">
        <f>Datos!I108</f>
        <v>1.7</v>
      </c>
      <c r="F108" s="2">
        <f>Datos!J108</f>
        <v>65.900000000000006</v>
      </c>
      <c r="G108" s="2">
        <f>Datos!L108</f>
        <v>35.4</v>
      </c>
      <c r="H108" s="2">
        <f>Datos!M108</f>
        <v>55.3</v>
      </c>
      <c r="I108" s="2" t="b">
        <f t="shared" si="5"/>
        <v>1</v>
      </c>
      <c r="J108" s="2">
        <f t="shared" si="6"/>
        <v>55.3</v>
      </c>
      <c r="K108" s="2">
        <f t="shared" si="7"/>
        <v>1.7</v>
      </c>
      <c r="L108" s="2">
        <f t="shared" si="8"/>
        <v>35.4</v>
      </c>
      <c r="M108" s="2">
        <f t="shared" si="9"/>
        <v>65.900000000000006</v>
      </c>
    </row>
    <row r="109" spans="1:13" x14ac:dyDescent="0.3">
      <c r="A109" s="2">
        <f>Datos!A109</f>
        <v>97</v>
      </c>
      <c r="B109" s="2" t="str">
        <f>Datos!B109</f>
        <v>Female</v>
      </c>
      <c r="C109" s="2" t="str">
        <f>Datos!C109</f>
        <v>Masters</v>
      </c>
      <c r="D109" s="2" t="str">
        <f>Datos!G109</f>
        <v>D</v>
      </c>
      <c r="E109" s="2">
        <f>Datos!I109</f>
        <v>1.1000000000000001</v>
      </c>
      <c r="F109" s="2">
        <f>Datos!J109</f>
        <v>72.2</v>
      </c>
      <c r="G109" s="2">
        <f>Datos!L109</f>
        <v>78.2</v>
      </c>
      <c r="H109" s="2">
        <f>Datos!M109</f>
        <v>65.2</v>
      </c>
      <c r="I109" s="2" t="b">
        <f t="shared" si="5"/>
        <v>1</v>
      </c>
      <c r="J109" s="2">
        <f t="shared" si="6"/>
        <v>65.2</v>
      </c>
      <c r="K109" s="2">
        <f t="shared" si="7"/>
        <v>1.1000000000000001</v>
      </c>
      <c r="L109" s="2">
        <f t="shared" si="8"/>
        <v>78.2</v>
      </c>
      <c r="M109" s="2">
        <f t="shared" si="9"/>
        <v>72.2</v>
      </c>
    </row>
    <row r="110" spans="1:13" x14ac:dyDescent="0.3">
      <c r="A110" s="2">
        <f>Datos!A110</f>
        <v>379</v>
      </c>
      <c r="B110" s="2" t="str">
        <f>Datos!B110</f>
        <v>Female</v>
      </c>
      <c r="C110" s="2" t="str">
        <f>Datos!C110</f>
        <v>Bachelors</v>
      </c>
      <c r="D110" s="2" t="str">
        <f>Datos!G110</f>
        <v>F</v>
      </c>
      <c r="E110" s="2">
        <f>Datos!I110</f>
        <v>1.2</v>
      </c>
      <c r="F110" s="2">
        <f>Datos!J110</f>
        <v>88.1</v>
      </c>
      <c r="G110" s="2">
        <f>Datos!L110</f>
        <v>66.75</v>
      </c>
      <c r="H110" s="2">
        <f>Datos!M110</f>
        <v>44.2</v>
      </c>
      <c r="I110" s="2" t="b">
        <f t="shared" si="5"/>
        <v>1</v>
      </c>
      <c r="J110" s="2">
        <f t="shared" si="6"/>
        <v>44.2</v>
      </c>
      <c r="K110" s="2">
        <f t="shared" si="7"/>
        <v>1.2</v>
      </c>
      <c r="L110" s="2">
        <f t="shared" si="8"/>
        <v>66.75</v>
      </c>
      <c r="M110" s="2">
        <f t="shared" si="9"/>
        <v>88.1</v>
      </c>
    </row>
    <row r="111" spans="1:13" x14ac:dyDescent="0.3">
      <c r="A111" s="2">
        <f>Datos!A111</f>
        <v>235</v>
      </c>
      <c r="B111" s="2" t="str">
        <f>Datos!B111</f>
        <v>Female</v>
      </c>
      <c r="C111" s="2">
        <f>Datos!C111</f>
        <v>0</v>
      </c>
      <c r="D111" s="2" t="str">
        <f>Datos!G111</f>
        <v>D</v>
      </c>
      <c r="E111" s="2">
        <f>Datos!I111</f>
        <v>3.9</v>
      </c>
      <c r="F111" s="2">
        <f>Datos!J111</f>
        <v>83.7</v>
      </c>
      <c r="G111" s="2">
        <f>Datos!L111</f>
        <v>50.9</v>
      </c>
      <c r="H111" s="2">
        <f>Datos!M111</f>
        <v>64</v>
      </c>
      <c r="I111" s="2" t="b">
        <f t="shared" si="5"/>
        <v>1</v>
      </c>
      <c r="J111" s="2">
        <f t="shared" si="6"/>
        <v>64</v>
      </c>
      <c r="K111" s="2">
        <f t="shared" si="7"/>
        <v>3.9</v>
      </c>
      <c r="L111" s="2">
        <f t="shared" si="8"/>
        <v>50.9</v>
      </c>
      <c r="M111" s="2">
        <f t="shared" si="9"/>
        <v>83.7</v>
      </c>
    </row>
    <row r="112" spans="1:13" x14ac:dyDescent="0.3">
      <c r="A112" s="2">
        <f>Datos!A112</f>
        <v>873</v>
      </c>
      <c r="B112" s="2" t="str">
        <f>Datos!B112</f>
        <v>Male</v>
      </c>
      <c r="C112" s="2" t="str">
        <f>Datos!C112</f>
        <v>High School</v>
      </c>
      <c r="D112" s="2" t="str">
        <f>Datos!G112</f>
        <v>F</v>
      </c>
      <c r="E112" s="2">
        <f>Datos!I112</f>
        <v>1.7</v>
      </c>
      <c r="F112" s="2">
        <f>Datos!J112</f>
        <v>85.6</v>
      </c>
      <c r="G112" s="2">
        <f>Datos!L112</f>
        <v>40</v>
      </c>
      <c r="H112" s="2">
        <f>Datos!M112</f>
        <v>53.6</v>
      </c>
      <c r="I112" s="2" t="b">
        <f t="shared" si="5"/>
        <v>1</v>
      </c>
      <c r="J112" s="2">
        <f t="shared" si="6"/>
        <v>53.6</v>
      </c>
      <c r="K112" s="2">
        <f t="shared" si="7"/>
        <v>1.7</v>
      </c>
      <c r="L112" s="2">
        <f t="shared" si="8"/>
        <v>40</v>
      </c>
      <c r="M112" s="2">
        <f t="shared" si="9"/>
        <v>85.6</v>
      </c>
    </row>
    <row r="113" spans="1:13" x14ac:dyDescent="0.3">
      <c r="A113" s="2">
        <f>Datos!A113</f>
        <v>414</v>
      </c>
      <c r="B113" s="2" t="str">
        <f>Datos!B113</f>
        <v>Female</v>
      </c>
      <c r="C113" s="2" t="str">
        <f>Datos!C113</f>
        <v>Masters</v>
      </c>
      <c r="D113" s="2" t="str">
        <f>Datos!G113</f>
        <v>A</v>
      </c>
      <c r="E113" s="2">
        <f>Datos!I113</f>
        <v>6.8</v>
      </c>
      <c r="F113" s="2">
        <f>Datos!J113</f>
        <v>73.7</v>
      </c>
      <c r="G113" s="2">
        <f>Datos!L113</f>
        <v>69.400000000000006</v>
      </c>
      <c r="H113" s="2">
        <f>Datos!M113</f>
        <v>96.9</v>
      </c>
      <c r="I113" s="2" t="b">
        <f t="shared" si="5"/>
        <v>1</v>
      </c>
      <c r="J113" s="2">
        <f t="shared" si="6"/>
        <v>96.9</v>
      </c>
      <c r="K113" s="2">
        <f t="shared" si="7"/>
        <v>6.8</v>
      </c>
      <c r="L113" s="2">
        <f t="shared" si="8"/>
        <v>69.400000000000006</v>
      </c>
      <c r="M113" s="2">
        <f t="shared" si="9"/>
        <v>73.7</v>
      </c>
    </row>
    <row r="114" spans="1:13" x14ac:dyDescent="0.3">
      <c r="A114" s="2">
        <f>Datos!A114</f>
        <v>697</v>
      </c>
      <c r="B114" s="2" t="str">
        <f>Datos!B114</f>
        <v>Female</v>
      </c>
      <c r="C114" s="2" t="str">
        <f>Datos!C114</f>
        <v>High School</v>
      </c>
      <c r="D114" s="2" t="str">
        <f>Datos!G114</f>
        <v>D</v>
      </c>
      <c r="E114" s="2">
        <f>Datos!I114</f>
        <v>3</v>
      </c>
      <c r="F114" s="2">
        <f>Datos!J114</f>
        <v>68</v>
      </c>
      <c r="G114" s="2">
        <f>Datos!L114</f>
        <v>55.1</v>
      </c>
      <c r="H114" s="2">
        <f>Datos!M114</f>
        <v>65.400000000000006</v>
      </c>
      <c r="I114" s="2" t="b">
        <f t="shared" si="5"/>
        <v>1</v>
      </c>
      <c r="J114" s="2">
        <f t="shared" si="6"/>
        <v>65.400000000000006</v>
      </c>
      <c r="K114" s="2">
        <f t="shared" si="7"/>
        <v>3</v>
      </c>
      <c r="L114" s="2">
        <f t="shared" si="8"/>
        <v>55.1</v>
      </c>
      <c r="M114" s="2">
        <f t="shared" si="9"/>
        <v>68</v>
      </c>
    </row>
    <row r="115" spans="1:13" x14ac:dyDescent="0.3">
      <c r="A115" s="2">
        <f>Datos!A115</f>
        <v>770</v>
      </c>
      <c r="B115" s="2" t="str">
        <f>Datos!B115</f>
        <v>Female</v>
      </c>
      <c r="C115" s="2">
        <f>Datos!C115</f>
        <v>0</v>
      </c>
      <c r="D115" s="2" t="str">
        <f>Datos!G115</f>
        <v>D</v>
      </c>
      <c r="E115" s="2">
        <f>Datos!I115</f>
        <v>2.2999999999999998</v>
      </c>
      <c r="F115" s="2">
        <f>Datos!J115</f>
        <v>89.8</v>
      </c>
      <c r="G115" s="2">
        <f>Datos!L115</f>
        <v>81.400000000000006</v>
      </c>
      <c r="H115" s="2">
        <f>Datos!M115</f>
        <v>67.3</v>
      </c>
      <c r="I115" s="2" t="b">
        <f t="shared" si="5"/>
        <v>1</v>
      </c>
      <c r="J115" s="2">
        <f t="shared" si="6"/>
        <v>67.3</v>
      </c>
      <c r="K115" s="2">
        <f t="shared" si="7"/>
        <v>2.2999999999999998</v>
      </c>
      <c r="L115" s="2">
        <f t="shared" si="8"/>
        <v>81.400000000000006</v>
      </c>
      <c r="M115" s="2">
        <f t="shared" si="9"/>
        <v>89.8</v>
      </c>
    </row>
    <row r="116" spans="1:13" x14ac:dyDescent="0.3">
      <c r="A116" s="2">
        <f>Datos!A116</f>
        <v>593</v>
      </c>
      <c r="B116" s="2" t="str">
        <f>Datos!B116</f>
        <v>Female</v>
      </c>
      <c r="C116" s="2" t="str">
        <f>Datos!C116</f>
        <v>High School</v>
      </c>
      <c r="D116" s="2" t="str">
        <f>Datos!G116</f>
        <v>C</v>
      </c>
      <c r="E116" s="2">
        <f>Datos!I116</f>
        <v>0.8</v>
      </c>
      <c r="F116" s="2">
        <f>Datos!J116</f>
        <v>95.4</v>
      </c>
      <c r="G116" s="2">
        <f>Datos!L116</f>
        <v>79.900000000000006</v>
      </c>
      <c r="H116" s="2">
        <f>Datos!M116</f>
        <v>71.599999999999994</v>
      </c>
      <c r="I116" s="2" t="b">
        <f t="shared" si="5"/>
        <v>1</v>
      </c>
      <c r="J116" s="2">
        <f t="shared" si="6"/>
        <v>71.599999999999994</v>
      </c>
      <c r="K116" s="2">
        <f t="shared" si="7"/>
        <v>0.8</v>
      </c>
      <c r="L116" s="2">
        <f t="shared" si="8"/>
        <v>79.900000000000006</v>
      </c>
      <c r="M116" s="2">
        <f t="shared" si="9"/>
        <v>95.4</v>
      </c>
    </row>
    <row r="117" spans="1:13" x14ac:dyDescent="0.3">
      <c r="A117" s="2">
        <f>Datos!A117</f>
        <v>244</v>
      </c>
      <c r="B117" s="2" t="str">
        <f>Datos!B117</f>
        <v>Female</v>
      </c>
      <c r="C117" s="2">
        <f>Datos!C117</f>
        <v>0</v>
      </c>
      <c r="D117" s="2" t="str">
        <f>Datos!G117</f>
        <v>C</v>
      </c>
      <c r="E117" s="2">
        <f>Datos!I117</f>
        <v>4.2</v>
      </c>
      <c r="F117" s="2">
        <f>Datos!J117</f>
        <v>82.2</v>
      </c>
      <c r="G117" s="2">
        <f>Datos!L117</f>
        <v>66.75</v>
      </c>
      <c r="H117" s="2">
        <f>Datos!M117</f>
        <v>72.7</v>
      </c>
      <c r="I117" s="2" t="b">
        <f t="shared" si="5"/>
        <v>1</v>
      </c>
      <c r="J117" s="2">
        <f t="shared" si="6"/>
        <v>72.7</v>
      </c>
      <c r="K117" s="2">
        <f t="shared" si="7"/>
        <v>4.2</v>
      </c>
      <c r="L117" s="2">
        <f t="shared" si="8"/>
        <v>66.75</v>
      </c>
      <c r="M117" s="2">
        <f t="shared" si="9"/>
        <v>82.2</v>
      </c>
    </row>
    <row r="118" spans="1:13" x14ac:dyDescent="0.3">
      <c r="A118" s="2">
        <f>Datos!A118</f>
        <v>920</v>
      </c>
      <c r="B118" s="2" t="str">
        <f>Datos!B118</f>
        <v>Female</v>
      </c>
      <c r="C118" s="2" t="str">
        <f>Datos!C118</f>
        <v>High School</v>
      </c>
      <c r="D118" s="2" t="str">
        <f>Datos!G118</f>
        <v>B</v>
      </c>
      <c r="E118" s="2">
        <f>Datos!I118</f>
        <v>5.3</v>
      </c>
      <c r="F118" s="2">
        <f>Datos!J118</f>
        <v>98.2</v>
      </c>
      <c r="G118" s="2">
        <f>Datos!L118</f>
        <v>75.400000000000006</v>
      </c>
      <c r="H118" s="2">
        <f>Datos!M118</f>
        <v>84.2</v>
      </c>
      <c r="I118" s="2" t="b">
        <f t="shared" si="5"/>
        <v>1</v>
      </c>
      <c r="J118" s="2">
        <f t="shared" si="6"/>
        <v>84.2</v>
      </c>
      <c r="K118" s="2">
        <f t="shared" si="7"/>
        <v>5.3</v>
      </c>
      <c r="L118" s="2">
        <f t="shared" si="8"/>
        <v>75.400000000000006</v>
      </c>
      <c r="M118" s="2">
        <f t="shared" si="9"/>
        <v>98.2</v>
      </c>
    </row>
    <row r="119" spans="1:13" x14ac:dyDescent="0.3">
      <c r="A119" s="2">
        <f>Datos!A119</f>
        <v>681</v>
      </c>
      <c r="B119" s="2" t="str">
        <f>Datos!B119</f>
        <v>Female</v>
      </c>
      <c r="C119" s="2">
        <f>Datos!C119</f>
        <v>0</v>
      </c>
      <c r="D119" s="2" t="str">
        <f>Datos!G119</f>
        <v>D</v>
      </c>
      <c r="E119" s="2">
        <f>Datos!I119</f>
        <v>1.7</v>
      </c>
      <c r="F119" s="2">
        <f>Datos!J119</f>
        <v>80.599999999999994</v>
      </c>
      <c r="G119" s="2">
        <f>Datos!L119</f>
        <v>71.7</v>
      </c>
      <c r="H119" s="2">
        <f>Datos!M119</f>
        <v>73</v>
      </c>
      <c r="I119" s="2" t="b">
        <f t="shared" si="5"/>
        <v>1</v>
      </c>
      <c r="J119" s="2">
        <f t="shared" si="6"/>
        <v>73</v>
      </c>
      <c r="K119" s="2">
        <f t="shared" si="7"/>
        <v>1.7</v>
      </c>
      <c r="L119" s="2">
        <f t="shared" si="8"/>
        <v>71.7</v>
      </c>
      <c r="M119" s="2">
        <f t="shared" si="9"/>
        <v>80.599999999999994</v>
      </c>
    </row>
    <row r="120" spans="1:13" x14ac:dyDescent="0.3">
      <c r="A120" s="2">
        <f>Datos!A120</f>
        <v>715</v>
      </c>
      <c r="B120" s="2" t="str">
        <f>Datos!B120</f>
        <v>Female</v>
      </c>
      <c r="C120" s="2" t="str">
        <f>Datos!C120</f>
        <v>PhD</v>
      </c>
      <c r="D120" s="2" t="str">
        <f>Datos!G120</f>
        <v>F</v>
      </c>
      <c r="E120" s="2">
        <f>Datos!I120</f>
        <v>2</v>
      </c>
      <c r="F120" s="2">
        <f>Datos!J120</f>
        <v>70.400000000000006</v>
      </c>
      <c r="G120" s="2">
        <f>Datos!L120</f>
        <v>52.7</v>
      </c>
      <c r="H120" s="2">
        <f>Datos!M120</f>
        <v>56.8</v>
      </c>
      <c r="I120" s="2" t="b">
        <f t="shared" si="5"/>
        <v>1</v>
      </c>
      <c r="J120" s="2">
        <f t="shared" si="6"/>
        <v>56.8</v>
      </c>
      <c r="K120" s="2">
        <f t="shared" si="7"/>
        <v>2</v>
      </c>
      <c r="L120" s="2">
        <f t="shared" si="8"/>
        <v>52.7</v>
      </c>
      <c r="M120" s="2">
        <f t="shared" si="9"/>
        <v>70.400000000000006</v>
      </c>
    </row>
    <row r="121" spans="1:13" x14ac:dyDescent="0.3">
      <c r="A121" s="2">
        <f>Datos!A121</f>
        <v>621</v>
      </c>
      <c r="B121" s="2" t="str">
        <f>Datos!B121</f>
        <v>Male</v>
      </c>
      <c r="C121" s="2" t="str">
        <f>Datos!C121</f>
        <v>Bachelors</v>
      </c>
      <c r="D121" s="2" t="str">
        <f>Datos!G121</f>
        <v>D</v>
      </c>
      <c r="E121" s="2">
        <f>Datos!I121</f>
        <v>0.6</v>
      </c>
      <c r="F121" s="2">
        <f>Datos!J121</f>
        <v>84.9</v>
      </c>
      <c r="G121" s="2">
        <f>Datos!L121</f>
        <v>63.5</v>
      </c>
      <c r="H121" s="2">
        <f>Datos!M121</f>
        <v>62.8</v>
      </c>
      <c r="I121" s="2" t="b">
        <f t="shared" si="5"/>
        <v>1</v>
      </c>
      <c r="J121" s="2">
        <f t="shared" si="6"/>
        <v>62.8</v>
      </c>
      <c r="K121" s="2">
        <f t="shared" si="7"/>
        <v>0.6</v>
      </c>
      <c r="L121" s="2">
        <f t="shared" si="8"/>
        <v>63.5</v>
      </c>
      <c r="M121" s="2">
        <f t="shared" si="9"/>
        <v>84.9</v>
      </c>
    </row>
    <row r="122" spans="1:13" x14ac:dyDescent="0.3">
      <c r="A122" s="2">
        <f>Datos!A122</f>
        <v>753</v>
      </c>
      <c r="B122" s="2" t="str">
        <f>Datos!B122</f>
        <v>Male</v>
      </c>
      <c r="C122" s="2" t="str">
        <f>Datos!C122</f>
        <v>Bachelors</v>
      </c>
      <c r="D122" s="2" t="str">
        <f>Datos!G122</f>
        <v>C</v>
      </c>
      <c r="E122" s="2">
        <f>Datos!I122</f>
        <v>3.4</v>
      </c>
      <c r="F122" s="2">
        <f>Datos!J122</f>
        <v>83.5</v>
      </c>
      <c r="G122" s="2">
        <f>Datos!L122</f>
        <v>77.900000000000006</v>
      </c>
      <c r="H122" s="2">
        <f>Datos!M122</f>
        <v>76.5</v>
      </c>
      <c r="I122" s="2" t="b">
        <f t="shared" si="5"/>
        <v>1</v>
      </c>
      <c r="J122" s="2">
        <f t="shared" si="6"/>
        <v>76.5</v>
      </c>
      <c r="K122" s="2">
        <f t="shared" si="7"/>
        <v>3.4</v>
      </c>
      <c r="L122" s="2">
        <f t="shared" si="8"/>
        <v>77.900000000000006</v>
      </c>
      <c r="M122" s="2">
        <f t="shared" si="9"/>
        <v>83.5</v>
      </c>
    </row>
    <row r="123" spans="1:13" x14ac:dyDescent="0.3">
      <c r="A123" s="2">
        <f>Datos!A123</f>
        <v>904</v>
      </c>
      <c r="B123" s="2" t="str">
        <f>Datos!B123</f>
        <v>Female</v>
      </c>
      <c r="C123" s="2" t="str">
        <f>Datos!C123</f>
        <v>Bachelors</v>
      </c>
      <c r="D123" s="2" t="str">
        <f>Datos!G123</f>
        <v>D</v>
      </c>
      <c r="E123" s="2">
        <f>Datos!I123</f>
        <v>2.2000000000000002</v>
      </c>
      <c r="F123" s="2">
        <f>Datos!J123</f>
        <v>72.2</v>
      </c>
      <c r="G123" s="2">
        <f>Datos!L123</f>
        <v>69.400000000000006</v>
      </c>
      <c r="H123" s="2">
        <f>Datos!M123</f>
        <v>999</v>
      </c>
      <c r="I123" s="2" t="b">
        <f t="shared" si="5"/>
        <v>0</v>
      </c>
      <c r="J123" s="2" t="str">
        <f t="shared" si="6"/>
        <v/>
      </c>
      <c r="K123" s="2" t="str">
        <f t="shared" si="7"/>
        <v/>
      </c>
      <c r="L123" s="2" t="str">
        <f t="shared" si="8"/>
        <v/>
      </c>
      <c r="M123" s="2" t="str">
        <f t="shared" si="9"/>
        <v/>
      </c>
    </row>
    <row r="124" spans="1:13" x14ac:dyDescent="0.3">
      <c r="A124" s="2">
        <f>Datos!A124</f>
        <v>155</v>
      </c>
      <c r="B124" s="2" t="str">
        <f>Datos!B124</f>
        <v>Male</v>
      </c>
      <c r="C124" s="2">
        <f>Datos!C124</f>
        <v>0</v>
      </c>
      <c r="D124" s="2" t="str">
        <f>Datos!G124</f>
        <v>B</v>
      </c>
      <c r="E124" s="2">
        <f>Datos!I124</f>
        <v>6.6</v>
      </c>
      <c r="F124" s="2">
        <f>Datos!J124</f>
        <v>94.3</v>
      </c>
      <c r="G124" s="2">
        <f>Datos!L124</f>
        <v>67.099999999999994</v>
      </c>
      <c r="H124" s="2">
        <f>Datos!M124</f>
        <v>82.9</v>
      </c>
      <c r="I124" s="2" t="b">
        <f t="shared" si="5"/>
        <v>1</v>
      </c>
      <c r="J124" s="2">
        <f t="shared" si="6"/>
        <v>82.9</v>
      </c>
      <c r="K124" s="2">
        <f t="shared" si="7"/>
        <v>6.6</v>
      </c>
      <c r="L124" s="2">
        <f t="shared" si="8"/>
        <v>67.099999999999994</v>
      </c>
      <c r="M124" s="2">
        <f t="shared" si="9"/>
        <v>94.3</v>
      </c>
    </row>
    <row r="125" spans="1:13" x14ac:dyDescent="0.3">
      <c r="A125" s="2">
        <f>Datos!A125</f>
        <v>287</v>
      </c>
      <c r="B125" s="2" t="str">
        <f>Datos!B125</f>
        <v>Female</v>
      </c>
      <c r="C125" s="2" t="str">
        <f>Datos!C125</f>
        <v>PhD</v>
      </c>
      <c r="D125" s="2" t="str">
        <f>Datos!G125</f>
        <v>F</v>
      </c>
      <c r="E125" s="2">
        <f>Datos!I125</f>
        <v>1.3</v>
      </c>
      <c r="F125" s="2">
        <f>Datos!J125</f>
        <v>97.4</v>
      </c>
      <c r="G125" s="2">
        <f>Datos!L125</f>
        <v>35.200000000000003</v>
      </c>
      <c r="H125" s="2">
        <f>Datos!M125</f>
        <v>48.5</v>
      </c>
      <c r="I125" s="2" t="b">
        <f t="shared" si="5"/>
        <v>1</v>
      </c>
      <c r="J125" s="2">
        <f t="shared" si="6"/>
        <v>48.5</v>
      </c>
      <c r="K125" s="2">
        <f t="shared" si="7"/>
        <v>1.3</v>
      </c>
      <c r="L125" s="2">
        <f t="shared" si="8"/>
        <v>35.200000000000003</v>
      </c>
      <c r="M125" s="2">
        <f t="shared" si="9"/>
        <v>97.4</v>
      </c>
    </row>
    <row r="126" spans="1:13" x14ac:dyDescent="0.3">
      <c r="A126" s="2">
        <f>Datos!A126</f>
        <v>879</v>
      </c>
      <c r="B126" s="2" t="str">
        <f>Datos!B126</f>
        <v>Female</v>
      </c>
      <c r="C126" s="2" t="str">
        <f>Datos!C126</f>
        <v>Masters</v>
      </c>
      <c r="D126" s="2" t="str">
        <f>Datos!G126</f>
        <v>C</v>
      </c>
      <c r="E126" s="2">
        <f>Datos!I126</f>
        <v>3.1</v>
      </c>
      <c r="F126" s="2">
        <f>Datos!J126</f>
        <v>93.5</v>
      </c>
      <c r="G126" s="2">
        <f>Datos!L126</f>
        <v>61.4</v>
      </c>
      <c r="H126" s="2">
        <f>Datos!M126</f>
        <v>72.5</v>
      </c>
      <c r="I126" s="2" t="b">
        <f t="shared" si="5"/>
        <v>1</v>
      </c>
      <c r="J126" s="2">
        <f t="shared" si="6"/>
        <v>72.5</v>
      </c>
      <c r="K126" s="2">
        <f t="shared" si="7"/>
        <v>3.1</v>
      </c>
      <c r="L126" s="2">
        <f t="shared" si="8"/>
        <v>61.4</v>
      </c>
      <c r="M126" s="2">
        <f t="shared" si="9"/>
        <v>93.5</v>
      </c>
    </row>
    <row r="127" spans="1:13" x14ac:dyDescent="0.3">
      <c r="A127" s="2">
        <f>Datos!A127</f>
        <v>65</v>
      </c>
      <c r="B127" s="2" t="str">
        <f>Datos!B127</f>
        <v>Male</v>
      </c>
      <c r="C127" s="2" t="str">
        <f>Datos!C127</f>
        <v>PhD</v>
      </c>
      <c r="D127" s="2" t="str">
        <f>Datos!G127</f>
        <v>D</v>
      </c>
      <c r="E127" s="2">
        <f>Datos!I127</f>
        <v>2.7</v>
      </c>
      <c r="F127" s="2">
        <f>Datos!J127</f>
        <v>82.5</v>
      </c>
      <c r="G127" s="2">
        <f>Datos!L127</f>
        <v>72.8</v>
      </c>
      <c r="H127" s="2">
        <f>Datos!M127</f>
        <v>67.099999999999994</v>
      </c>
      <c r="I127" s="2" t="b">
        <f t="shared" si="5"/>
        <v>1</v>
      </c>
      <c r="J127" s="2">
        <f t="shared" si="6"/>
        <v>67.099999999999994</v>
      </c>
      <c r="K127" s="2">
        <f t="shared" si="7"/>
        <v>2.7</v>
      </c>
      <c r="L127" s="2">
        <f t="shared" si="8"/>
        <v>72.8</v>
      </c>
      <c r="M127" s="2">
        <f t="shared" si="9"/>
        <v>82.5</v>
      </c>
    </row>
    <row r="128" spans="1:13" x14ac:dyDescent="0.3">
      <c r="A128" s="2">
        <f>Datos!A128</f>
        <v>668</v>
      </c>
      <c r="B128" s="2" t="str">
        <f>Datos!B128</f>
        <v>Male</v>
      </c>
      <c r="C128" s="2" t="str">
        <f>Datos!C128</f>
        <v>PhD</v>
      </c>
      <c r="D128" s="2" t="str">
        <f>Datos!G128</f>
        <v>A</v>
      </c>
      <c r="E128" s="2">
        <f>Datos!I128</f>
        <v>5.3</v>
      </c>
      <c r="F128" s="2">
        <f>Datos!J128</f>
        <v>98.2</v>
      </c>
      <c r="G128" s="2">
        <f>Datos!L128</f>
        <v>85.3</v>
      </c>
      <c r="H128" s="2">
        <f>Datos!M128</f>
        <v>100</v>
      </c>
      <c r="I128" s="2" t="b">
        <f t="shared" si="5"/>
        <v>1</v>
      </c>
      <c r="J128" s="2">
        <f t="shared" si="6"/>
        <v>100</v>
      </c>
      <c r="K128" s="2">
        <f t="shared" si="7"/>
        <v>5.3</v>
      </c>
      <c r="L128" s="2">
        <f t="shared" si="8"/>
        <v>85.3</v>
      </c>
      <c r="M128" s="2">
        <f t="shared" si="9"/>
        <v>98.2</v>
      </c>
    </row>
    <row r="129" spans="1:13" x14ac:dyDescent="0.3">
      <c r="A129" s="2">
        <f>Datos!A129</f>
        <v>4</v>
      </c>
      <c r="B129" s="2" t="str">
        <f>Datos!B129</f>
        <v>Male</v>
      </c>
      <c r="C129" s="2">
        <f>Datos!C129</f>
        <v>0</v>
      </c>
      <c r="D129" s="2" t="str">
        <f>Datos!G129</f>
        <v>C</v>
      </c>
      <c r="E129" s="2">
        <f>Datos!I129</f>
        <v>1.5</v>
      </c>
      <c r="F129" s="2">
        <f>Datos!J129</f>
        <v>88.9</v>
      </c>
      <c r="G129" s="2">
        <f>Datos!L129</f>
        <v>67</v>
      </c>
      <c r="H129" s="2">
        <f>Datos!M129</f>
        <v>73.3</v>
      </c>
      <c r="I129" s="2" t="b">
        <f t="shared" si="5"/>
        <v>1</v>
      </c>
      <c r="J129" s="2">
        <f t="shared" si="6"/>
        <v>73.3</v>
      </c>
      <c r="K129" s="2">
        <f t="shared" si="7"/>
        <v>1.5</v>
      </c>
      <c r="L129" s="2">
        <f t="shared" si="8"/>
        <v>67</v>
      </c>
      <c r="M129" s="2">
        <f t="shared" si="9"/>
        <v>88.9</v>
      </c>
    </row>
    <row r="130" spans="1:13" x14ac:dyDescent="0.3">
      <c r="A130" s="2">
        <f>Datos!A130</f>
        <v>829</v>
      </c>
      <c r="B130" s="2" t="str">
        <f>Datos!B130</f>
        <v>Male</v>
      </c>
      <c r="C130" s="2">
        <f>Datos!C130</f>
        <v>0</v>
      </c>
      <c r="D130" s="2" t="str">
        <f>Datos!G130</f>
        <v>C</v>
      </c>
      <c r="E130" s="2">
        <f>Datos!I130</f>
        <v>5.8</v>
      </c>
      <c r="F130" s="2">
        <f>Datos!J130</f>
        <v>77.400000000000006</v>
      </c>
      <c r="G130" s="2">
        <f>Datos!L130</f>
        <v>51.5</v>
      </c>
      <c r="H130" s="2">
        <f>Datos!M130</f>
        <v>74.099999999999994</v>
      </c>
      <c r="I130" s="2" t="b">
        <f t="shared" ref="I130:I193" si="10">AND(E130&gt;=0,E130&lt;=12,F130&gt;=0,F130&lt;=100,G130&gt;=0,G130&lt;=100,H130&gt;=0,H130&lt;=100)</f>
        <v>1</v>
      </c>
      <c r="J130" s="2">
        <f t="shared" ref="J130:J193" si="11">IF(I130,H130,"")</f>
        <v>74.099999999999994</v>
      </c>
      <c r="K130" s="2">
        <f t="shared" ref="K130:K193" si="12">IF(I130,E130,"")</f>
        <v>5.8</v>
      </c>
      <c r="L130" s="2">
        <f t="shared" ref="L130:L193" si="13">IF(I130,G130,"")</f>
        <v>51.5</v>
      </c>
      <c r="M130" s="2">
        <f t="shared" ref="M130:M193" si="14">IF(I130,F130,"")</f>
        <v>77.400000000000006</v>
      </c>
    </row>
    <row r="131" spans="1:13" x14ac:dyDescent="0.3">
      <c r="A131" s="2">
        <f>Datos!A131</f>
        <v>628</v>
      </c>
      <c r="B131" s="2" t="str">
        <f>Datos!B131</f>
        <v>Female</v>
      </c>
      <c r="C131" s="2" t="str">
        <f>Datos!C131</f>
        <v>High School</v>
      </c>
      <c r="D131" s="2" t="str">
        <f>Datos!G131</f>
        <v>B</v>
      </c>
      <c r="E131" s="2">
        <f>Datos!I131</f>
        <v>6.4</v>
      </c>
      <c r="F131" s="2">
        <f>Datos!J131</f>
        <v>93</v>
      </c>
      <c r="G131" s="2">
        <f>Datos!L131</f>
        <v>66.7</v>
      </c>
      <c r="H131" s="2">
        <f>Datos!M131</f>
        <v>84.6</v>
      </c>
      <c r="I131" s="2" t="b">
        <f t="shared" si="10"/>
        <v>1</v>
      </c>
      <c r="J131" s="2">
        <f t="shared" si="11"/>
        <v>84.6</v>
      </c>
      <c r="K131" s="2">
        <f t="shared" si="12"/>
        <v>6.4</v>
      </c>
      <c r="L131" s="2">
        <f t="shared" si="13"/>
        <v>66.7</v>
      </c>
      <c r="M131" s="2">
        <f t="shared" si="14"/>
        <v>93</v>
      </c>
    </row>
    <row r="132" spans="1:13" x14ac:dyDescent="0.3">
      <c r="A132" s="2">
        <f>Datos!A132</f>
        <v>526</v>
      </c>
      <c r="B132" s="2" t="str">
        <f>Datos!B132</f>
        <v>Female</v>
      </c>
      <c r="C132" s="2" t="str">
        <f>Datos!C132</f>
        <v>Masters</v>
      </c>
      <c r="D132" s="2" t="str">
        <f>Datos!G132</f>
        <v>F</v>
      </c>
      <c r="E132" s="2">
        <f>Datos!I132</f>
        <v>0.8</v>
      </c>
      <c r="F132" s="2">
        <f>Datos!J132</f>
        <v>69.599999999999994</v>
      </c>
      <c r="G132" s="2">
        <f>Datos!L132</f>
        <v>52.2</v>
      </c>
      <c r="H132" s="2">
        <f>Datos!M132</f>
        <v>58.4</v>
      </c>
      <c r="I132" s="2" t="b">
        <f t="shared" si="10"/>
        <v>1</v>
      </c>
      <c r="J132" s="2">
        <f t="shared" si="11"/>
        <v>58.4</v>
      </c>
      <c r="K132" s="2">
        <f t="shared" si="12"/>
        <v>0.8</v>
      </c>
      <c r="L132" s="2">
        <f t="shared" si="13"/>
        <v>52.2</v>
      </c>
      <c r="M132" s="2">
        <f t="shared" si="14"/>
        <v>69.599999999999994</v>
      </c>
    </row>
    <row r="133" spans="1:13" x14ac:dyDescent="0.3">
      <c r="A133" s="2">
        <f>Datos!A133</f>
        <v>77</v>
      </c>
      <c r="B133" s="2" t="str">
        <f>Datos!B133</f>
        <v>Male</v>
      </c>
      <c r="C133" s="2" t="str">
        <f>Datos!C133</f>
        <v>Bachelors</v>
      </c>
      <c r="D133" s="2" t="str">
        <f>Datos!G133</f>
        <v>B</v>
      </c>
      <c r="E133" s="2">
        <f>Datos!I133</f>
        <v>6.7</v>
      </c>
      <c r="F133" s="2">
        <f>Datos!J133</f>
        <v>91.3</v>
      </c>
      <c r="G133" s="2">
        <f>Datos!L133</f>
        <v>54.5</v>
      </c>
      <c r="H133" s="2">
        <f>Datos!M133</f>
        <v>88.3</v>
      </c>
      <c r="I133" s="2" t="b">
        <f t="shared" si="10"/>
        <v>1</v>
      </c>
      <c r="J133" s="2">
        <f t="shared" si="11"/>
        <v>88.3</v>
      </c>
      <c r="K133" s="2">
        <f t="shared" si="12"/>
        <v>6.7</v>
      </c>
      <c r="L133" s="2">
        <f t="shared" si="13"/>
        <v>54.5</v>
      </c>
      <c r="M133" s="2">
        <f t="shared" si="14"/>
        <v>91.3</v>
      </c>
    </row>
    <row r="134" spans="1:13" x14ac:dyDescent="0.3">
      <c r="A134" s="2">
        <f>Datos!A134</f>
        <v>828</v>
      </c>
      <c r="B134" s="2" t="str">
        <f>Datos!B134</f>
        <v>Male</v>
      </c>
      <c r="C134" s="2" t="str">
        <f>Datos!C134</f>
        <v>Bachelors</v>
      </c>
      <c r="D134" s="2" t="str">
        <f>Datos!G134</f>
        <v>B</v>
      </c>
      <c r="E134" s="2">
        <f>Datos!I134</f>
        <v>0.7</v>
      </c>
      <c r="F134" s="2">
        <f>Datos!J134</f>
        <v>96.7</v>
      </c>
      <c r="G134" s="2">
        <f>Datos!L134</f>
        <v>81.900000000000006</v>
      </c>
      <c r="H134" s="2">
        <f>Datos!M134</f>
        <v>82.8</v>
      </c>
      <c r="I134" s="2" t="b">
        <f t="shared" si="10"/>
        <v>1</v>
      </c>
      <c r="J134" s="2">
        <f t="shared" si="11"/>
        <v>82.8</v>
      </c>
      <c r="K134" s="2">
        <f t="shared" si="12"/>
        <v>0.7</v>
      </c>
      <c r="L134" s="2">
        <f t="shared" si="13"/>
        <v>81.900000000000006</v>
      </c>
      <c r="M134" s="2">
        <f t="shared" si="14"/>
        <v>96.7</v>
      </c>
    </row>
    <row r="135" spans="1:13" x14ac:dyDescent="0.3">
      <c r="A135" s="2">
        <f>Datos!A135</f>
        <v>225</v>
      </c>
      <c r="B135" s="2" t="str">
        <f>Datos!B135</f>
        <v>Male</v>
      </c>
      <c r="C135" s="2" t="str">
        <f>Datos!C135</f>
        <v>High School</v>
      </c>
      <c r="D135" s="2" t="str">
        <f>Datos!G135</f>
        <v>C</v>
      </c>
      <c r="E135" s="2">
        <f>Datos!I135</f>
        <v>4.7</v>
      </c>
      <c r="F135" s="2">
        <f>Datos!J135</f>
        <v>83.5</v>
      </c>
      <c r="G135" s="2">
        <f>Datos!L135</f>
        <v>83.6</v>
      </c>
      <c r="H135" s="2">
        <f>Datos!M135</f>
        <v>76</v>
      </c>
      <c r="I135" s="2" t="b">
        <f t="shared" si="10"/>
        <v>1</v>
      </c>
      <c r="J135" s="2">
        <f t="shared" si="11"/>
        <v>76</v>
      </c>
      <c r="K135" s="2">
        <f t="shared" si="12"/>
        <v>4.7</v>
      </c>
      <c r="L135" s="2">
        <f t="shared" si="13"/>
        <v>83.6</v>
      </c>
      <c r="M135" s="2">
        <f t="shared" si="14"/>
        <v>83.5</v>
      </c>
    </row>
    <row r="136" spans="1:13" x14ac:dyDescent="0.3">
      <c r="A136" s="2">
        <f>Datos!A136</f>
        <v>535</v>
      </c>
      <c r="B136" s="2" t="str">
        <f>Datos!B136</f>
        <v>Female</v>
      </c>
      <c r="C136" s="2" t="str">
        <f>Datos!C136</f>
        <v>Bachelors</v>
      </c>
      <c r="D136" s="2" t="str">
        <f>Datos!G136</f>
        <v>C</v>
      </c>
      <c r="E136" s="2">
        <f>Datos!I136</f>
        <v>4</v>
      </c>
      <c r="F136" s="2">
        <f>Datos!J136</f>
        <v>84.3</v>
      </c>
      <c r="G136" s="2">
        <f>Datos!L136</f>
        <v>59.7</v>
      </c>
      <c r="H136" s="2">
        <f>Datos!M136</f>
        <v>73.099999999999994</v>
      </c>
      <c r="I136" s="2" t="b">
        <f t="shared" si="10"/>
        <v>1</v>
      </c>
      <c r="J136" s="2">
        <f t="shared" si="11"/>
        <v>73.099999999999994</v>
      </c>
      <c r="K136" s="2">
        <f t="shared" si="12"/>
        <v>4</v>
      </c>
      <c r="L136" s="2">
        <f t="shared" si="13"/>
        <v>59.7</v>
      </c>
      <c r="M136" s="2">
        <f t="shared" si="14"/>
        <v>84.3</v>
      </c>
    </row>
    <row r="137" spans="1:13" x14ac:dyDescent="0.3">
      <c r="A137" s="2">
        <f>Datos!A137</f>
        <v>254</v>
      </c>
      <c r="B137" s="2" t="str">
        <f>Datos!B137</f>
        <v>Male</v>
      </c>
      <c r="C137" s="2" t="str">
        <f>Datos!C137</f>
        <v>Bachelors</v>
      </c>
      <c r="D137" s="2" t="str">
        <f>Datos!G137</f>
        <v>D</v>
      </c>
      <c r="E137" s="2">
        <f>Datos!I137</f>
        <v>1.7</v>
      </c>
      <c r="F137" s="2">
        <f>Datos!J137</f>
        <v>76.900000000000006</v>
      </c>
      <c r="G137" s="2">
        <f>Datos!L137</f>
        <v>80.900000000000006</v>
      </c>
      <c r="H137" s="2">
        <f>Datos!M137</f>
        <v>64.8</v>
      </c>
      <c r="I137" s="2" t="b">
        <f t="shared" si="10"/>
        <v>1</v>
      </c>
      <c r="J137" s="2">
        <f t="shared" si="11"/>
        <v>64.8</v>
      </c>
      <c r="K137" s="2">
        <f t="shared" si="12"/>
        <v>1.7</v>
      </c>
      <c r="L137" s="2">
        <f t="shared" si="13"/>
        <v>80.900000000000006</v>
      </c>
      <c r="M137" s="2">
        <f t="shared" si="14"/>
        <v>76.900000000000006</v>
      </c>
    </row>
    <row r="138" spans="1:13" x14ac:dyDescent="0.3">
      <c r="A138" s="2">
        <f>Datos!A138</f>
        <v>822</v>
      </c>
      <c r="B138" s="2" t="str">
        <f>Datos!B138</f>
        <v>Female</v>
      </c>
      <c r="C138" s="2" t="str">
        <f>Datos!C138</f>
        <v>Bachelors</v>
      </c>
      <c r="D138" s="2" t="str">
        <f>Datos!G138</f>
        <v>B</v>
      </c>
      <c r="E138" s="2">
        <f>Datos!I138</f>
        <v>4.3</v>
      </c>
      <c r="F138" s="2">
        <f>Datos!J138</f>
        <v>72.400000000000006</v>
      </c>
      <c r="G138" s="2">
        <f>Datos!L138</f>
        <v>74.5</v>
      </c>
      <c r="H138" s="2">
        <f>Datos!M138</f>
        <v>86.1</v>
      </c>
      <c r="I138" s="2" t="b">
        <f t="shared" si="10"/>
        <v>1</v>
      </c>
      <c r="J138" s="2">
        <f t="shared" si="11"/>
        <v>86.1</v>
      </c>
      <c r="K138" s="2">
        <f t="shared" si="12"/>
        <v>4.3</v>
      </c>
      <c r="L138" s="2">
        <f t="shared" si="13"/>
        <v>74.5</v>
      </c>
      <c r="M138" s="2">
        <f t="shared" si="14"/>
        <v>72.400000000000006</v>
      </c>
    </row>
    <row r="139" spans="1:13" x14ac:dyDescent="0.3">
      <c r="A139" s="2">
        <f>Datos!A139</f>
        <v>657</v>
      </c>
      <c r="B139" s="2" t="str">
        <f>Datos!B139</f>
        <v>Female</v>
      </c>
      <c r="C139" s="2" t="str">
        <f>Datos!C139</f>
        <v>PhD</v>
      </c>
      <c r="D139" s="2" t="str">
        <f>Datos!G139</f>
        <v>D</v>
      </c>
      <c r="E139" s="2">
        <f>Datos!I139</f>
        <v>2.4</v>
      </c>
      <c r="F139" s="2">
        <f>Datos!J139</f>
        <v>81.3</v>
      </c>
      <c r="G139" s="2">
        <f>Datos!L139</f>
        <v>45.2</v>
      </c>
      <c r="H139" s="2">
        <f>Datos!M139</f>
        <v>63.2</v>
      </c>
      <c r="I139" s="2" t="b">
        <f t="shared" si="10"/>
        <v>1</v>
      </c>
      <c r="J139" s="2">
        <f t="shared" si="11"/>
        <v>63.2</v>
      </c>
      <c r="K139" s="2">
        <f t="shared" si="12"/>
        <v>2.4</v>
      </c>
      <c r="L139" s="2">
        <f t="shared" si="13"/>
        <v>45.2</v>
      </c>
      <c r="M139" s="2">
        <f t="shared" si="14"/>
        <v>81.3</v>
      </c>
    </row>
    <row r="140" spans="1:13" x14ac:dyDescent="0.3">
      <c r="A140" s="2">
        <f>Datos!A140</f>
        <v>936</v>
      </c>
      <c r="B140" s="2" t="str">
        <f>Datos!B140</f>
        <v>Male</v>
      </c>
      <c r="C140" s="2" t="str">
        <f>Datos!C140</f>
        <v>Masters</v>
      </c>
      <c r="D140" s="2" t="str">
        <f>Datos!G140</f>
        <v>B</v>
      </c>
      <c r="E140" s="2">
        <f>Datos!I140</f>
        <v>5.5</v>
      </c>
      <c r="F140" s="2">
        <f>Datos!J140</f>
        <v>92.4</v>
      </c>
      <c r="G140" s="2">
        <f>Datos!L140</f>
        <v>67</v>
      </c>
      <c r="H140" s="2">
        <f>Datos!M140</f>
        <v>81.3</v>
      </c>
      <c r="I140" s="2" t="b">
        <f t="shared" si="10"/>
        <v>1</v>
      </c>
      <c r="J140" s="2">
        <f t="shared" si="11"/>
        <v>81.3</v>
      </c>
      <c r="K140" s="2">
        <f t="shared" si="12"/>
        <v>5.5</v>
      </c>
      <c r="L140" s="2">
        <f t="shared" si="13"/>
        <v>67</v>
      </c>
      <c r="M140" s="2">
        <f t="shared" si="14"/>
        <v>92.4</v>
      </c>
    </row>
    <row r="141" spans="1:13" x14ac:dyDescent="0.3">
      <c r="A141" s="2">
        <f>Datos!A141</f>
        <v>63</v>
      </c>
      <c r="B141" s="2" t="str">
        <f>Datos!B141</f>
        <v>Male</v>
      </c>
      <c r="C141" s="2" t="str">
        <f>Datos!C141</f>
        <v>High School</v>
      </c>
      <c r="D141" s="2" t="str">
        <f>Datos!G141</f>
        <v>F</v>
      </c>
      <c r="E141" s="2">
        <f>Datos!I141</f>
        <v>2.1</v>
      </c>
      <c r="F141" s="2">
        <f>Datos!J141</f>
        <v>83.5</v>
      </c>
      <c r="G141" s="2">
        <f>Datos!L141</f>
        <v>38.5</v>
      </c>
      <c r="H141" s="2">
        <f>Datos!M141</f>
        <v>54.9</v>
      </c>
      <c r="I141" s="2" t="b">
        <f t="shared" si="10"/>
        <v>1</v>
      </c>
      <c r="J141" s="2">
        <f t="shared" si="11"/>
        <v>54.9</v>
      </c>
      <c r="K141" s="2">
        <f t="shared" si="12"/>
        <v>2.1</v>
      </c>
      <c r="L141" s="2">
        <f t="shared" si="13"/>
        <v>38.5</v>
      </c>
      <c r="M141" s="2">
        <f t="shared" si="14"/>
        <v>83.5</v>
      </c>
    </row>
    <row r="142" spans="1:13" x14ac:dyDescent="0.3">
      <c r="A142" s="2">
        <f>Datos!A142</f>
        <v>68</v>
      </c>
      <c r="B142" s="2" t="str">
        <f>Datos!B142</f>
        <v>Female</v>
      </c>
      <c r="C142" s="2" t="str">
        <f>Datos!C142</f>
        <v>Masters</v>
      </c>
      <c r="D142" s="2" t="str">
        <f>Datos!G142</f>
        <v>B</v>
      </c>
      <c r="E142" s="2">
        <f>Datos!I142</f>
        <v>6.1</v>
      </c>
      <c r="F142" s="2">
        <f>Datos!J142</f>
        <v>69</v>
      </c>
      <c r="G142" s="2">
        <f>Datos!L142</f>
        <v>93.2</v>
      </c>
      <c r="H142" s="2">
        <f>Datos!M142</f>
        <v>85.4</v>
      </c>
      <c r="I142" s="2" t="b">
        <f t="shared" si="10"/>
        <v>1</v>
      </c>
      <c r="J142" s="2">
        <f t="shared" si="11"/>
        <v>85.4</v>
      </c>
      <c r="K142" s="2">
        <f t="shared" si="12"/>
        <v>6.1</v>
      </c>
      <c r="L142" s="2">
        <f t="shared" si="13"/>
        <v>93.2</v>
      </c>
      <c r="M142" s="2">
        <f t="shared" si="14"/>
        <v>69</v>
      </c>
    </row>
    <row r="143" spans="1:13" x14ac:dyDescent="0.3">
      <c r="A143" s="2">
        <f>Datos!A143</f>
        <v>121</v>
      </c>
      <c r="B143" s="2" t="str">
        <f>Datos!B143</f>
        <v>Male</v>
      </c>
      <c r="C143" s="2" t="str">
        <f>Datos!C143</f>
        <v>PhD</v>
      </c>
      <c r="D143" s="2" t="str">
        <f>Datos!G143</f>
        <v>B</v>
      </c>
      <c r="E143" s="2">
        <f>Datos!I143</f>
        <v>6.9</v>
      </c>
      <c r="F143" s="2">
        <f>Datos!J143</f>
        <v>91.1</v>
      </c>
      <c r="G143" s="2">
        <f>Datos!L143</f>
        <v>49.4</v>
      </c>
      <c r="H143" s="2">
        <f>Datos!M143</f>
        <v>87.6</v>
      </c>
      <c r="I143" s="2" t="b">
        <f t="shared" si="10"/>
        <v>1</v>
      </c>
      <c r="J143" s="2">
        <f t="shared" si="11"/>
        <v>87.6</v>
      </c>
      <c r="K143" s="2">
        <f t="shared" si="12"/>
        <v>6.9</v>
      </c>
      <c r="L143" s="2">
        <f t="shared" si="13"/>
        <v>49.4</v>
      </c>
      <c r="M143" s="2">
        <f t="shared" si="14"/>
        <v>91.1</v>
      </c>
    </row>
    <row r="144" spans="1:13" x14ac:dyDescent="0.3">
      <c r="A144" s="2">
        <f>Datos!A144</f>
        <v>390</v>
      </c>
      <c r="B144" s="2" t="str">
        <f>Datos!B144</f>
        <v>Male</v>
      </c>
      <c r="C144" s="2" t="str">
        <f>Datos!C144</f>
        <v>PhD</v>
      </c>
      <c r="D144" s="2" t="str">
        <f>Datos!G144</f>
        <v>A</v>
      </c>
      <c r="E144" s="2">
        <f>Datos!I144</f>
        <v>4.9000000000000004</v>
      </c>
      <c r="F144" s="2">
        <f>Datos!J144</f>
        <v>74.7</v>
      </c>
      <c r="G144" s="2">
        <f>Datos!L144</f>
        <v>90.1</v>
      </c>
      <c r="H144" s="2">
        <f>Datos!M144</f>
        <v>90.5</v>
      </c>
      <c r="I144" s="2" t="b">
        <f t="shared" si="10"/>
        <v>1</v>
      </c>
      <c r="J144" s="2">
        <f t="shared" si="11"/>
        <v>90.5</v>
      </c>
      <c r="K144" s="2">
        <f t="shared" si="12"/>
        <v>4.9000000000000004</v>
      </c>
      <c r="L144" s="2">
        <f t="shared" si="13"/>
        <v>90.1</v>
      </c>
      <c r="M144" s="2">
        <f t="shared" si="14"/>
        <v>74.7</v>
      </c>
    </row>
    <row r="145" spans="1:13" x14ac:dyDescent="0.3">
      <c r="A145" s="2">
        <f>Datos!A145</f>
        <v>869</v>
      </c>
      <c r="B145" s="2" t="str">
        <f>Datos!B145</f>
        <v>Male</v>
      </c>
      <c r="C145" s="2" t="str">
        <f>Datos!C145</f>
        <v>High School</v>
      </c>
      <c r="D145" s="2" t="str">
        <f>Datos!G145</f>
        <v>D</v>
      </c>
      <c r="E145" s="2">
        <f>Datos!I145</f>
        <v>5</v>
      </c>
      <c r="F145" s="2">
        <f>Datos!J145</f>
        <v>68.2</v>
      </c>
      <c r="G145" s="2">
        <f>Datos!L145</f>
        <v>78.099999999999994</v>
      </c>
      <c r="H145" s="2">
        <f>Datos!M145</f>
        <v>74.099999999999994</v>
      </c>
      <c r="I145" s="2" t="b">
        <f t="shared" si="10"/>
        <v>1</v>
      </c>
      <c r="J145" s="2">
        <f t="shared" si="11"/>
        <v>74.099999999999994</v>
      </c>
      <c r="K145" s="2">
        <f t="shared" si="12"/>
        <v>5</v>
      </c>
      <c r="L145" s="2">
        <f t="shared" si="13"/>
        <v>78.099999999999994</v>
      </c>
      <c r="M145" s="2">
        <f t="shared" si="14"/>
        <v>68.2</v>
      </c>
    </row>
    <row r="146" spans="1:13" x14ac:dyDescent="0.3">
      <c r="A146" s="2">
        <f>Datos!A146</f>
        <v>678</v>
      </c>
      <c r="B146" s="2" t="str">
        <f>Datos!B146</f>
        <v>Female</v>
      </c>
      <c r="C146" s="2" t="str">
        <f>Datos!C146</f>
        <v>Bachelors</v>
      </c>
      <c r="D146" s="2" t="str">
        <f>Datos!G146</f>
        <v>F</v>
      </c>
      <c r="E146" s="2">
        <f>Datos!I146</f>
        <v>1.1000000000000001</v>
      </c>
      <c r="F146" s="2">
        <f>Datos!J146</f>
        <v>82.2</v>
      </c>
      <c r="G146" s="2">
        <f>Datos!L146</f>
        <v>58.2</v>
      </c>
      <c r="H146" s="2">
        <f>Datos!M146</f>
        <v>55.2</v>
      </c>
      <c r="I146" s="2" t="b">
        <f t="shared" si="10"/>
        <v>1</v>
      </c>
      <c r="J146" s="2">
        <f t="shared" si="11"/>
        <v>55.2</v>
      </c>
      <c r="K146" s="2">
        <f t="shared" si="12"/>
        <v>1.1000000000000001</v>
      </c>
      <c r="L146" s="2">
        <f t="shared" si="13"/>
        <v>58.2</v>
      </c>
      <c r="M146" s="2">
        <f t="shared" si="14"/>
        <v>82.2</v>
      </c>
    </row>
    <row r="147" spans="1:13" x14ac:dyDescent="0.3">
      <c r="A147" s="2">
        <f>Datos!A147</f>
        <v>529</v>
      </c>
      <c r="B147" s="2" t="str">
        <f>Datos!B147</f>
        <v>Female</v>
      </c>
      <c r="C147" s="2" t="str">
        <f>Datos!C147</f>
        <v>Bachelors</v>
      </c>
      <c r="D147" s="2" t="str">
        <f>Datos!G147</f>
        <v>C</v>
      </c>
      <c r="E147" s="2">
        <f>Datos!I147</f>
        <v>3.3</v>
      </c>
      <c r="F147" s="2">
        <f>Datos!J147</f>
        <v>74.5</v>
      </c>
      <c r="G147" s="2">
        <f>Datos!L147</f>
        <v>73.599999999999994</v>
      </c>
      <c r="H147" s="2">
        <f>Datos!M147</f>
        <v>74.7</v>
      </c>
      <c r="I147" s="2" t="b">
        <f t="shared" si="10"/>
        <v>1</v>
      </c>
      <c r="J147" s="2">
        <f t="shared" si="11"/>
        <v>74.7</v>
      </c>
      <c r="K147" s="2">
        <f t="shared" si="12"/>
        <v>3.3</v>
      </c>
      <c r="L147" s="2">
        <f t="shared" si="13"/>
        <v>73.599999999999994</v>
      </c>
      <c r="M147" s="2">
        <f t="shared" si="14"/>
        <v>74.5</v>
      </c>
    </row>
    <row r="148" spans="1:13" x14ac:dyDescent="0.3">
      <c r="A148" s="2">
        <f>Datos!A148</f>
        <v>277</v>
      </c>
      <c r="B148" s="2" t="str">
        <f>Datos!B148</f>
        <v>Female</v>
      </c>
      <c r="C148" s="2" t="str">
        <f>Datos!C148</f>
        <v>PhD</v>
      </c>
      <c r="D148" s="2" t="str">
        <f>Datos!G148</f>
        <v>C</v>
      </c>
      <c r="E148" s="2">
        <f>Datos!I148</f>
        <v>1.2</v>
      </c>
      <c r="F148" s="2">
        <f>Datos!J148</f>
        <v>86.3</v>
      </c>
      <c r="G148" s="2">
        <f>Datos!L148</f>
        <v>66.75</v>
      </c>
      <c r="H148" s="2">
        <f>Datos!M148</f>
        <v>78.8</v>
      </c>
      <c r="I148" s="2" t="b">
        <f t="shared" si="10"/>
        <v>1</v>
      </c>
      <c r="J148" s="2">
        <f t="shared" si="11"/>
        <v>78.8</v>
      </c>
      <c r="K148" s="2">
        <f t="shared" si="12"/>
        <v>1.2</v>
      </c>
      <c r="L148" s="2">
        <f t="shared" si="13"/>
        <v>66.75</v>
      </c>
      <c r="M148" s="2">
        <f t="shared" si="14"/>
        <v>86.3</v>
      </c>
    </row>
    <row r="149" spans="1:13" x14ac:dyDescent="0.3">
      <c r="A149" s="2">
        <f>Datos!A149</f>
        <v>369</v>
      </c>
      <c r="B149" s="2" t="str">
        <f>Datos!B149</f>
        <v>Male</v>
      </c>
      <c r="C149" s="2">
        <f>Datos!C149</f>
        <v>0</v>
      </c>
      <c r="D149" s="2" t="str">
        <f>Datos!G149</f>
        <v>C</v>
      </c>
      <c r="E149" s="2">
        <f>Datos!I149</f>
        <v>2.5</v>
      </c>
      <c r="F149" s="2">
        <f>Datos!J149</f>
        <v>65.400000000000006</v>
      </c>
      <c r="G149" s="2">
        <f>Datos!L149</f>
        <v>85.8</v>
      </c>
      <c r="H149" s="2">
        <f>Datos!M149</f>
        <v>71.099999999999994</v>
      </c>
      <c r="I149" s="2" t="b">
        <f t="shared" si="10"/>
        <v>1</v>
      </c>
      <c r="J149" s="2">
        <f t="shared" si="11"/>
        <v>71.099999999999994</v>
      </c>
      <c r="K149" s="2">
        <f t="shared" si="12"/>
        <v>2.5</v>
      </c>
      <c r="L149" s="2">
        <f t="shared" si="13"/>
        <v>85.8</v>
      </c>
      <c r="M149" s="2">
        <f t="shared" si="14"/>
        <v>65.400000000000006</v>
      </c>
    </row>
    <row r="150" spans="1:13" x14ac:dyDescent="0.3">
      <c r="A150" s="2">
        <f>Datos!A150</f>
        <v>473</v>
      </c>
      <c r="B150" s="2" t="str">
        <f>Datos!B150</f>
        <v>Female</v>
      </c>
      <c r="C150" s="2" t="str">
        <f>Datos!C150</f>
        <v>Bachelors</v>
      </c>
      <c r="D150" s="2" t="str">
        <f>Datos!G150</f>
        <v>A</v>
      </c>
      <c r="E150" s="2">
        <f>Datos!I150</f>
        <v>6.7</v>
      </c>
      <c r="F150" s="2">
        <f>Datos!J150</f>
        <v>74.8</v>
      </c>
      <c r="G150" s="2">
        <f>Datos!L150</f>
        <v>76.2</v>
      </c>
      <c r="H150" s="2">
        <f>Datos!M150</f>
        <v>92.6</v>
      </c>
      <c r="I150" s="2" t="b">
        <f t="shared" si="10"/>
        <v>1</v>
      </c>
      <c r="J150" s="2">
        <f t="shared" si="11"/>
        <v>92.6</v>
      </c>
      <c r="K150" s="2">
        <f t="shared" si="12"/>
        <v>6.7</v>
      </c>
      <c r="L150" s="2">
        <f t="shared" si="13"/>
        <v>76.2</v>
      </c>
      <c r="M150" s="2">
        <f t="shared" si="14"/>
        <v>74.8</v>
      </c>
    </row>
    <row r="151" spans="1:13" x14ac:dyDescent="0.3">
      <c r="A151" s="2">
        <f>Datos!A151</f>
        <v>814</v>
      </c>
      <c r="B151" s="2" t="str">
        <f>Datos!B151</f>
        <v>Female</v>
      </c>
      <c r="C151" s="2" t="str">
        <f>Datos!C151</f>
        <v>PhD</v>
      </c>
      <c r="D151" s="2" t="str">
        <f>Datos!G151</f>
        <v>B</v>
      </c>
      <c r="E151" s="2">
        <f>Datos!I151</f>
        <v>4.7</v>
      </c>
      <c r="F151" s="2">
        <f>Datos!J151</f>
        <v>82.1</v>
      </c>
      <c r="G151" s="2">
        <f>Datos!L151</f>
        <v>87.7</v>
      </c>
      <c r="H151" s="2">
        <f>Datos!M151</f>
        <v>86.4</v>
      </c>
      <c r="I151" s="2" t="b">
        <f t="shared" si="10"/>
        <v>1</v>
      </c>
      <c r="J151" s="2">
        <f t="shared" si="11"/>
        <v>86.4</v>
      </c>
      <c r="K151" s="2">
        <f t="shared" si="12"/>
        <v>4.7</v>
      </c>
      <c r="L151" s="2">
        <f t="shared" si="13"/>
        <v>87.7</v>
      </c>
      <c r="M151" s="2">
        <f t="shared" si="14"/>
        <v>82.1</v>
      </c>
    </row>
    <row r="152" spans="1:13" x14ac:dyDescent="0.3">
      <c r="A152" s="2">
        <f>Datos!A152</f>
        <v>552</v>
      </c>
      <c r="B152" s="2" t="str">
        <f>Datos!B152</f>
        <v>Female</v>
      </c>
      <c r="C152" s="2" t="str">
        <f>Datos!C152</f>
        <v>Masters</v>
      </c>
      <c r="D152" s="2" t="str">
        <f>Datos!G152</f>
        <v>F</v>
      </c>
      <c r="E152" s="2">
        <f>Datos!I152</f>
        <v>1</v>
      </c>
      <c r="F152" s="2">
        <f>Datos!J152</f>
        <v>76.099999999999994</v>
      </c>
      <c r="G152" s="2">
        <f>Datos!L152</f>
        <v>47.5</v>
      </c>
      <c r="H152" s="2">
        <f>Datos!M152</f>
        <v>53.1</v>
      </c>
      <c r="I152" s="2" t="b">
        <f t="shared" si="10"/>
        <v>1</v>
      </c>
      <c r="J152" s="2">
        <f t="shared" si="11"/>
        <v>53.1</v>
      </c>
      <c r="K152" s="2">
        <f t="shared" si="12"/>
        <v>1</v>
      </c>
      <c r="L152" s="2">
        <f t="shared" si="13"/>
        <v>47.5</v>
      </c>
      <c r="M152" s="2">
        <f t="shared" si="14"/>
        <v>76.099999999999994</v>
      </c>
    </row>
    <row r="153" spans="1:13" x14ac:dyDescent="0.3">
      <c r="A153" s="2">
        <f>Datos!A153</f>
        <v>619</v>
      </c>
      <c r="B153" s="2" t="str">
        <f>Datos!B153</f>
        <v>Female</v>
      </c>
      <c r="C153" s="2" t="str">
        <f>Datos!C153</f>
        <v>High School</v>
      </c>
      <c r="D153" s="2" t="str">
        <f>Datos!G153</f>
        <v>D</v>
      </c>
      <c r="E153" s="2">
        <f>Datos!I153</f>
        <v>1.3</v>
      </c>
      <c r="F153" s="2">
        <f>Datos!J153</f>
        <v>99.4</v>
      </c>
      <c r="G153" s="2">
        <f>Datos!L153</f>
        <v>58.1</v>
      </c>
      <c r="H153" s="2">
        <f>Datos!M153</f>
        <v>64.599999999999994</v>
      </c>
      <c r="I153" s="2" t="b">
        <f t="shared" si="10"/>
        <v>1</v>
      </c>
      <c r="J153" s="2">
        <f t="shared" si="11"/>
        <v>64.599999999999994</v>
      </c>
      <c r="K153" s="2">
        <f t="shared" si="12"/>
        <v>1.3</v>
      </c>
      <c r="L153" s="2">
        <f t="shared" si="13"/>
        <v>58.1</v>
      </c>
      <c r="M153" s="2">
        <f t="shared" si="14"/>
        <v>99.4</v>
      </c>
    </row>
    <row r="154" spans="1:13" x14ac:dyDescent="0.3">
      <c r="A154" s="2">
        <f>Datos!A154</f>
        <v>663</v>
      </c>
      <c r="B154" s="2" t="str">
        <f>Datos!B154</f>
        <v>Female</v>
      </c>
      <c r="C154" s="2" t="str">
        <f>Datos!C154</f>
        <v>Bachelors</v>
      </c>
      <c r="D154" s="2" t="str">
        <f>Datos!G154</f>
        <v>A</v>
      </c>
      <c r="E154" s="2">
        <f>Datos!I154</f>
        <v>7</v>
      </c>
      <c r="F154" s="2">
        <f>Datos!J154</f>
        <v>98.9</v>
      </c>
      <c r="G154" s="2">
        <f>Datos!L154</f>
        <v>75</v>
      </c>
      <c r="H154" s="2">
        <f>Datos!M154</f>
        <v>92.6</v>
      </c>
      <c r="I154" s="2" t="b">
        <f t="shared" si="10"/>
        <v>1</v>
      </c>
      <c r="J154" s="2">
        <f t="shared" si="11"/>
        <v>92.6</v>
      </c>
      <c r="K154" s="2">
        <f t="shared" si="12"/>
        <v>7</v>
      </c>
      <c r="L154" s="2">
        <f t="shared" si="13"/>
        <v>75</v>
      </c>
      <c r="M154" s="2">
        <f t="shared" si="14"/>
        <v>98.9</v>
      </c>
    </row>
    <row r="155" spans="1:13" x14ac:dyDescent="0.3">
      <c r="A155" s="2">
        <f>Datos!A155</f>
        <v>333</v>
      </c>
      <c r="B155" s="2" t="str">
        <f>Datos!B155</f>
        <v>Male</v>
      </c>
      <c r="C155" s="2" t="str">
        <f>Datos!C155</f>
        <v>High School</v>
      </c>
      <c r="D155" s="2" t="str">
        <f>Datos!G155</f>
        <v>C</v>
      </c>
      <c r="E155" s="2">
        <f>Datos!I155</f>
        <v>4.0999999999999996</v>
      </c>
      <c r="F155" s="2">
        <f>Datos!J155</f>
        <v>84.7</v>
      </c>
      <c r="G155" s="2">
        <f>Datos!L155</f>
        <v>40.9</v>
      </c>
      <c r="H155" s="2">
        <f>Datos!M155</f>
        <v>73.099999999999994</v>
      </c>
      <c r="I155" s="2" t="b">
        <f t="shared" si="10"/>
        <v>1</v>
      </c>
      <c r="J155" s="2">
        <f t="shared" si="11"/>
        <v>73.099999999999994</v>
      </c>
      <c r="K155" s="2">
        <f t="shared" si="12"/>
        <v>4.0999999999999996</v>
      </c>
      <c r="L155" s="2">
        <f t="shared" si="13"/>
        <v>40.9</v>
      </c>
      <c r="M155" s="2">
        <f t="shared" si="14"/>
        <v>84.7</v>
      </c>
    </row>
    <row r="156" spans="1:13" x14ac:dyDescent="0.3">
      <c r="A156" s="2">
        <f>Datos!A156</f>
        <v>192</v>
      </c>
      <c r="B156" s="2" t="str">
        <f>Datos!B156</f>
        <v>Female</v>
      </c>
      <c r="C156" s="2" t="str">
        <f>Datos!C156</f>
        <v>Masters</v>
      </c>
      <c r="D156" s="2" t="str">
        <f>Datos!G156</f>
        <v>C</v>
      </c>
      <c r="E156" s="2">
        <f>Datos!I156</f>
        <v>4.2</v>
      </c>
      <c r="F156" s="2">
        <f>Datos!J156</f>
        <v>82.3</v>
      </c>
      <c r="G156" s="2">
        <f>Datos!L156</f>
        <v>66.75</v>
      </c>
      <c r="H156" s="2">
        <f>Datos!M156</f>
        <v>73.900000000000006</v>
      </c>
      <c r="I156" s="2" t="b">
        <f t="shared" si="10"/>
        <v>1</v>
      </c>
      <c r="J156" s="2">
        <f t="shared" si="11"/>
        <v>73.900000000000006</v>
      </c>
      <c r="K156" s="2">
        <f t="shared" si="12"/>
        <v>4.2</v>
      </c>
      <c r="L156" s="2">
        <f t="shared" si="13"/>
        <v>66.75</v>
      </c>
      <c r="M156" s="2">
        <f t="shared" si="14"/>
        <v>82.3</v>
      </c>
    </row>
    <row r="157" spans="1:13" x14ac:dyDescent="0.3">
      <c r="A157" s="2">
        <f>Datos!A157</f>
        <v>492</v>
      </c>
      <c r="B157" s="2" t="str">
        <f>Datos!B157</f>
        <v>Male</v>
      </c>
      <c r="C157" s="2">
        <f>Datos!C157</f>
        <v>0</v>
      </c>
      <c r="D157" s="2" t="str">
        <f>Datos!G157</f>
        <v>B</v>
      </c>
      <c r="E157" s="2">
        <f>Datos!I157</f>
        <v>2.5</v>
      </c>
      <c r="F157" s="2">
        <f>Datos!J157</f>
        <v>96.6</v>
      </c>
      <c r="G157" s="2">
        <f>Datos!L157</f>
        <v>84.7</v>
      </c>
      <c r="H157" s="2">
        <f>Datos!M157</f>
        <v>87.6</v>
      </c>
      <c r="I157" s="2" t="b">
        <f t="shared" si="10"/>
        <v>1</v>
      </c>
      <c r="J157" s="2">
        <f t="shared" si="11"/>
        <v>87.6</v>
      </c>
      <c r="K157" s="2">
        <f t="shared" si="12"/>
        <v>2.5</v>
      </c>
      <c r="L157" s="2">
        <f t="shared" si="13"/>
        <v>84.7</v>
      </c>
      <c r="M157" s="2">
        <f t="shared" si="14"/>
        <v>96.6</v>
      </c>
    </row>
    <row r="158" spans="1:13" x14ac:dyDescent="0.3">
      <c r="A158" s="2">
        <f>Datos!A158</f>
        <v>113</v>
      </c>
      <c r="B158" s="2" t="str">
        <f>Datos!B158</f>
        <v>Female</v>
      </c>
      <c r="C158" s="2" t="str">
        <f>Datos!C158</f>
        <v>Bachelors</v>
      </c>
      <c r="D158" s="2" t="str">
        <f>Datos!G158</f>
        <v>F</v>
      </c>
      <c r="E158" s="2">
        <f>Datos!I158</f>
        <v>3.6</v>
      </c>
      <c r="F158" s="2">
        <f>Datos!J158</f>
        <v>98.3</v>
      </c>
      <c r="G158" s="2">
        <f>Datos!L158</f>
        <v>37.4</v>
      </c>
      <c r="H158" s="2">
        <f>Datos!M158</f>
        <v>56.8</v>
      </c>
      <c r="I158" s="2" t="b">
        <f t="shared" si="10"/>
        <v>1</v>
      </c>
      <c r="J158" s="2">
        <f t="shared" si="11"/>
        <v>56.8</v>
      </c>
      <c r="K158" s="2">
        <f t="shared" si="12"/>
        <v>3.6</v>
      </c>
      <c r="L158" s="2">
        <f t="shared" si="13"/>
        <v>37.4</v>
      </c>
      <c r="M158" s="2">
        <f t="shared" si="14"/>
        <v>98.3</v>
      </c>
    </row>
    <row r="159" spans="1:13" x14ac:dyDescent="0.3">
      <c r="A159" s="2">
        <f>Datos!A159</f>
        <v>548</v>
      </c>
      <c r="B159" s="2" t="str">
        <f>Datos!B159</f>
        <v>Male</v>
      </c>
      <c r="C159" s="2" t="str">
        <f>Datos!C159</f>
        <v>Masters</v>
      </c>
      <c r="D159" s="2" t="str">
        <f>Datos!G159</f>
        <v>F</v>
      </c>
      <c r="E159" s="2">
        <f>Datos!I159</f>
        <v>1.5</v>
      </c>
      <c r="F159" s="2">
        <f>Datos!J159</f>
        <v>77.7</v>
      </c>
      <c r="G159" s="2">
        <f>Datos!L159</f>
        <v>38.200000000000003</v>
      </c>
      <c r="H159" s="2">
        <f>Datos!M159</f>
        <v>50.7</v>
      </c>
      <c r="I159" s="2" t="b">
        <f t="shared" si="10"/>
        <v>1</v>
      </c>
      <c r="J159" s="2">
        <f t="shared" si="11"/>
        <v>50.7</v>
      </c>
      <c r="K159" s="2">
        <f t="shared" si="12"/>
        <v>1.5</v>
      </c>
      <c r="L159" s="2">
        <f t="shared" si="13"/>
        <v>38.200000000000003</v>
      </c>
      <c r="M159" s="2">
        <f t="shared" si="14"/>
        <v>77.7</v>
      </c>
    </row>
    <row r="160" spans="1:13" x14ac:dyDescent="0.3">
      <c r="A160" s="2">
        <f>Datos!A160</f>
        <v>669</v>
      </c>
      <c r="B160" s="2" t="str">
        <f>Datos!B160</f>
        <v>Female</v>
      </c>
      <c r="C160" s="2">
        <f>Datos!C160</f>
        <v>0</v>
      </c>
      <c r="D160" s="2" t="str">
        <f>Datos!G160</f>
        <v>F</v>
      </c>
      <c r="E160" s="2">
        <f>Datos!I160</f>
        <v>1.3</v>
      </c>
      <c r="F160" s="2">
        <f>Datos!J160</f>
        <v>97.3</v>
      </c>
      <c r="G160" s="2">
        <f>Datos!L160</f>
        <v>36.200000000000003</v>
      </c>
      <c r="H160" s="2">
        <f>Datos!M160</f>
        <v>59.8</v>
      </c>
      <c r="I160" s="2" t="b">
        <f t="shared" si="10"/>
        <v>1</v>
      </c>
      <c r="J160" s="2">
        <f t="shared" si="11"/>
        <v>59.8</v>
      </c>
      <c r="K160" s="2">
        <f t="shared" si="12"/>
        <v>1.3</v>
      </c>
      <c r="L160" s="2">
        <f t="shared" si="13"/>
        <v>36.200000000000003</v>
      </c>
      <c r="M160" s="2">
        <f t="shared" si="14"/>
        <v>97.3</v>
      </c>
    </row>
    <row r="161" spans="1:13" x14ac:dyDescent="0.3">
      <c r="A161" s="2">
        <f>Datos!A161</f>
        <v>676</v>
      </c>
      <c r="B161" s="2" t="str">
        <f>Datos!B161</f>
        <v>Male</v>
      </c>
      <c r="C161" s="2" t="str">
        <f>Datos!C161</f>
        <v>High School</v>
      </c>
      <c r="D161" s="2" t="str">
        <f>Datos!G161</f>
        <v>B</v>
      </c>
      <c r="E161" s="2">
        <f>Datos!I161</f>
        <v>4.5</v>
      </c>
      <c r="F161" s="2">
        <f>Datos!J161</f>
        <v>86.2</v>
      </c>
      <c r="G161" s="2">
        <f>Datos!L161</f>
        <v>73.3</v>
      </c>
      <c r="H161" s="2">
        <f>Datos!M161</f>
        <v>86</v>
      </c>
      <c r="I161" s="2" t="b">
        <f t="shared" si="10"/>
        <v>1</v>
      </c>
      <c r="J161" s="2">
        <f t="shared" si="11"/>
        <v>86</v>
      </c>
      <c r="K161" s="2">
        <f t="shared" si="12"/>
        <v>4.5</v>
      </c>
      <c r="L161" s="2">
        <f t="shared" si="13"/>
        <v>73.3</v>
      </c>
      <c r="M161" s="2">
        <f t="shared" si="14"/>
        <v>86.2</v>
      </c>
    </row>
    <row r="162" spans="1:13" x14ac:dyDescent="0.3">
      <c r="A162" s="2">
        <f>Datos!A162</f>
        <v>31</v>
      </c>
      <c r="B162" s="2" t="str">
        <f>Datos!B162</f>
        <v>Male</v>
      </c>
      <c r="C162" s="2">
        <f>Datos!C162</f>
        <v>0</v>
      </c>
      <c r="D162" s="2" t="str">
        <f>Datos!G162</f>
        <v>D</v>
      </c>
      <c r="E162" s="2">
        <f>Datos!I162</f>
        <v>0.8</v>
      </c>
      <c r="F162" s="2">
        <f>Datos!J162</f>
        <v>85.7</v>
      </c>
      <c r="G162" s="2">
        <f>Datos!L162</f>
        <v>87.5</v>
      </c>
      <c r="H162" s="2">
        <f>Datos!M162</f>
        <v>66.099999999999994</v>
      </c>
      <c r="I162" s="2" t="b">
        <f t="shared" si="10"/>
        <v>1</v>
      </c>
      <c r="J162" s="2">
        <f t="shared" si="11"/>
        <v>66.099999999999994</v>
      </c>
      <c r="K162" s="2">
        <f t="shared" si="12"/>
        <v>0.8</v>
      </c>
      <c r="L162" s="2">
        <f t="shared" si="13"/>
        <v>87.5</v>
      </c>
      <c r="M162" s="2">
        <f t="shared" si="14"/>
        <v>85.7</v>
      </c>
    </row>
    <row r="163" spans="1:13" x14ac:dyDescent="0.3">
      <c r="A163" s="2">
        <f>Datos!A163</f>
        <v>5</v>
      </c>
      <c r="B163" s="2" t="str">
        <f>Datos!B163</f>
        <v>Male</v>
      </c>
      <c r="C163" s="2">
        <f>Datos!C163</f>
        <v>0</v>
      </c>
      <c r="D163" s="2" t="str">
        <f>Datos!G163</f>
        <v>D</v>
      </c>
      <c r="E163" s="2">
        <f>Datos!I163</f>
        <v>3.6</v>
      </c>
      <c r="F163" s="2">
        <f>Datos!J163</f>
        <v>72.900000000000006</v>
      </c>
      <c r="G163" s="2">
        <f>Datos!L163</f>
        <v>53.7</v>
      </c>
      <c r="H163" s="2">
        <f>Datos!M163</f>
        <v>63.8</v>
      </c>
      <c r="I163" s="2" t="b">
        <f t="shared" si="10"/>
        <v>1</v>
      </c>
      <c r="J163" s="2">
        <f t="shared" si="11"/>
        <v>63.8</v>
      </c>
      <c r="K163" s="2">
        <f t="shared" si="12"/>
        <v>3.6</v>
      </c>
      <c r="L163" s="2">
        <f t="shared" si="13"/>
        <v>53.7</v>
      </c>
      <c r="M163" s="2">
        <f t="shared" si="14"/>
        <v>72.900000000000006</v>
      </c>
    </row>
    <row r="164" spans="1:13" x14ac:dyDescent="0.3">
      <c r="A164" s="2">
        <f>Datos!A164</f>
        <v>363</v>
      </c>
      <c r="B164" s="2" t="str">
        <f>Datos!B164</f>
        <v>Female</v>
      </c>
      <c r="C164" s="2" t="str">
        <f>Datos!C164</f>
        <v>High School</v>
      </c>
      <c r="D164" s="2" t="str">
        <f>Datos!G164</f>
        <v>D</v>
      </c>
      <c r="E164" s="2">
        <f>Datos!I164</f>
        <v>2</v>
      </c>
      <c r="F164" s="2">
        <f>Datos!J164</f>
        <v>71.599999999999994</v>
      </c>
      <c r="G164" s="2">
        <f>Datos!L164</f>
        <v>70.7</v>
      </c>
      <c r="H164" s="2">
        <f>Datos!M164</f>
        <v>66</v>
      </c>
      <c r="I164" s="2" t="b">
        <f t="shared" si="10"/>
        <v>1</v>
      </c>
      <c r="J164" s="2">
        <f t="shared" si="11"/>
        <v>66</v>
      </c>
      <c r="K164" s="2">
        <f t="shared" si="12"/>
        <v>2</v>
      </c>
      <c r="L164" s="2">
        <f t="shared" si="13"/>
        <v>70.7</v>
      </c>
      <c r="M164" s="2">
        <f t="shared" si="14"/>
        <v>71.599999999999994</v>
      </c>
    </row>
    <row r="165" spans="1:13" x14ac:dyDescent="0.3">
      <c r="A165" s="2">
        <f>Datos!A165</f>
        <v>772</v>
      </c>
      <c r="B165" s="2" t="str">
        <f>Datos!B165</f>
        <v>Male</v>
      </c>
      <c r="C165" s="2" t="str">
        <f>Datos!C165</f>
        <v>High School</v>
      </c>
      <c r="D165" s="2" t="str">
        <f>Datos!G165</f>
        <v>C</v>
      </c>
      <c r="E165" s="2">
        <f>Datos!I165</f>
        <v>4.0999999999999996</v>
      </c>
      <c r="F165" s="2">
        <f>Datos!J165</f>
        <v>77.8</v>
      </c>
      <c r="G165" s="2">
        <f>Datos!L165</f>
        <v>58.8</v>
      </c>
      <c r="H165" s="2">
        <f>Datos!M165</f>
        <v>77.599999999999994</v>
      </c>
      <c r="I165" s="2" t="b">
        <f t="shared" si="10"/>
        <v>1</v>
      </c>
      <c r="J165" s="2">
        <f t="shared" si="11"/>
        <v>77.599999999999994</v>
      </c>
      <c r="K165" s="2">
        <f t="shared" si="12"/>
        <v>4.0999999999999996</v>
      </c>
      <c r="L165" s="2">
        <f t="shared" si="13"/>
        <v>58.8</v>
      </c>
      <c r="M165" s="2">
        <f t="shared" si="14"/>
        <v>77.8</v>
      </c>
    </row>
    <row r="166" spans="1:13" x14ac:dyDescent="0.3">
      <c r="A166" s="2">
        <f>Datos!A166</f>
        <v>605</v>
      </c>
      <c r="B166" s="2" t="str">
        <f>Datos!B166</f>
        <v>Female</v>
      </c>
      <c r="C166" s="2" t="str">
        <f>Datos!C166</f>
        <v>Bachelors</v>
      </c>
      <c r="D166" s="2" t="str">
        <f>Datos!G166</f>
        <v>C</v>
      </c>
      <c r="E166" s="2">
        <f>Datos!I166</f>
        <v>3.4</v>
      </c>
      <c r="F166" s="2">
        <f>Datos!J166</f>
        <v>65.2</v>
      </c>
      <c r="G166" s="2">
        <f>Datos!L166</f>
        <v>66.8</v>
      </c>
      <c r="H166" s="2">
        <f>Datos!M166</f>
        <v>71.099999999999994</v>
      </c>
      <c r="I166" s="2" t="b">
        <f t="shared" si="10"/>
        <v>1</v>
      </c>
      <c r="J166" s="2">
        <f t="shared" si="11"/>
        <v>71.099999999999994</v>
      </c>
      <c r="K166" s="2">
        <f t="shared" si="12"/>
        <v>3.4</v>
      </c>
      <c r="L166" s="2">
        <f t="shared" si="13"/>
        <v>66.8</v>
      </c>
      <c r="M166" s="2">
        <f t="shared" si="14"/>
        <v>65.2</v>
      </c>
    </row>
    <row r="167" spans="1:13" x14ac:dyDescent="0.3">
      <c r="A167" s="2">
        <f>Datos!A167</f>
        <v>878</v>
      </c>
      <c r="B167" s="2" t="str">
        <f>Datos!B167</f>
        <v>Male</v>
      </c>
      <c r="C167" s="2" t="str">
        <f>Datos!C167</f>
        <v>High School</v>
      </c>
      <c r="D167" s="2" t="str">
        <f>Datos!G167</f>
        <v>B</v>
      </c>
      <c r="E167" s="2">
        <f>Datos!I167</f>
        <v>3.2</v>
      </c>
      <c r="F167" s="2">
        <f>Datos!J167</f>
        <v>95.6</v>
      </c>
      <c r="G167" s="2">
        <f>Datos!L167</f>
        <v>90.8</v>
      </c>
      <c r="H167" s="2">
        <f>Datos!M167</f>
        <v>80.599999999999994</v>
      </c>
      <c r="I167" s="2" t="b">
        <f t="shared" si="10"/>
        <v>1</v>
      </c>
      <c r="J167" s="2">
        <f t="shared" si="11"/>
        <v>80.599999999999994</v>
      </c>
      <c r="K167" s="2">
        <f t="shared" si="12"/>
        <v>3.2</v>
      </c>
      <c r="L167" s="2">
        <f t="shared" si="13"/>
        <v>90.8</v>
      </c>
      <c r="M167" s="2">
        <f t="shared" si="14"/>
        <v>95.6</v>
      </c>
    </row>
    <row r="168" spans="1:13" x14ac:dyDescent="0.3">
      <c r="A168" s="2">
        <f>Datos!A168</f>
        <v>370</v>
      </c>
      <c r="B168" s="2" t="str">
        <f>Datos!B168</f>
        <v>Male</v>
      </c>
      <c r="C168" s="2" t="str">
        <f>Datos!C168</f>
        <v>PhD</v>
      </c>
      <c r="D168" s="2" t="str">
        <f>Datos!G168</f>
        <v>D</v>
      </c>
      <c r="E168" s="2">
        <f>Datos!I168</f>
        <v>3.8</v>
      </c>
      <c r="F168" s="2">
        <f>Datos!J168</f>
        <v>72.8</v>
      </c>
      <c r="G168" s="2">
        <f>Datos!L168</f>
        <v>57</v>
      </c>
      <c r="H168" s="2">
        <f>Datos!M168</f>
        <v>67.400000000000006</v>
      </c>
      <c r="I168" s="2" t="b">
        <f t="shared" si="10"/>
        <v>1</v>
      </c>
      <c r="J168" s="2">
        <f t="shared" si="11"/>
        <v>67.400000000000006</v>
      </c>
      <c r="K168" s="2">
        <f t="shared" si="12"/>
        <v>3.8</v>
      </c>
      <c r="L168" s="2">
        <f t="shared" si="13"/>
        <v>57</v>
      </c>
      <c r="M168" s="2">
        <f t="shared" si="14"/>
        <v>72.8</v>
      </c>
    </row>
    <row r="169" spans="1:13" x14ac:dyDescent="0.3">
      <c r="A169" s="2">
        <f>Datos!A169</f>
        <v>314</v>
      </c>
      <c r="B169" s="2" t="str">
        <f>Datos!B169</f>
        <v>Female</v>
      </c>
      <c r="C169" s="2" t="str">
        <f>Datos!C169</f>
        <v>High School</v>
      </c>
      <c r="D169" s="2" t="str">
        <f>Datos!G169</f>
        <v>D</v>
      </c>
      <c r="E169" s="2">
        <f>Datos!I169</f>
        <v>4.9000000000000004</v>
      </c>
      <c r="F169" s="2">
        <f>Datos!J169</f>
        <v>66.900000000000006</v>
      </c>
      <c r="G169" s="2">
        <f>Datos!L169</f>
        <v>48.2</v>
      </c>
      <c r="H169" s="2">
        <f>Datos!M169</f>
        <v>69.099999999999994</v>
      </c>
      <c r="I169" s="2" t="b">
        <f t="shared" si="10"/>
        <v>1</v>
      </c>
      <c r="J169" s="2">
        <f t="shared" si="11"/>
        <v>69.099999999999994</v>
      </c>
      <c r="K169" s="2">
        <f t="shared" si="12"/>
        <v>4.9000000000000004</v>
      </c>
      <c r="L169" s="2">
        <f t="shared" si="13"/>
        <v>48.2</v>
      </c>
      <c r="M169" s="2">
        <f t="shared" si="14"/>
        <v>66.900000000000006</v>
      </c>
    </row>
    <row r="170" spans="1:13" x14ac:dyDescent="0.3">
      <c r="A170" s="2">
        <f>Datos!A170</f>
        <v>921</v>
      </c>
      <c r="B170" s="2" t="str">
        <f>Datos!B170</f>
        <v>Female</v>
      </c>
      <c r="C170" s="2">
        <f>Datos!C170</f>
        <v>0</v>
      </c>
      <c r="D170" s="2" t="str">
        <f>Datos!G170</f>
        <v>D</v>
      </c>
      <c r="E170" s="2">
        <f>Datos!I170</f>
        <v>2.7</v>
      </c>
      <c r="F170" s="2">
        <f>Datos!J170</f>
        <v>89.7</v>
      </c>
      <c r="G170" s="2">
        <f>Datos!L170</f>
        <v>42.2</v>
      </c>
      <c r="H170" s="2">
        <f>Datos!M170</f>
        <v>65.599999999999994</v>
      </c>
      <c r="I170" s="2" t="b">
        <f t="shared" si="10"/>
        <v>1</v>
      </c>
      <c r="J170" s="2">
        <f t="shared" si="11"/>
        <v>65.599999999999994</v>
      </c>
      <c r="K170" s="2">
        <f t="shared" si="12"/>
        <v>2.7</v>
      </c>
      <c r="L170" s="2">
        <f t="shared" si="13"/>
        <v>42.2</v>
      </c>
      <c r="M170" s="2">
        <f t="shared" si="14"/>
        <v>89.7</v>
      </c>
    </row>
    <row r="171" spans="1:13" x14ac:dyDescent="0.3">
      <c r="A171" s="2">
        <f>Datos!A171</f>
        <v>171</v>
      </c>
      <c r="B171" s="2" t="str">
        <f>Datos!B171</f>
        <v>Female</v>
      </c>
      <c r="C171" s="2" t="str">
        <f>Datos!C171</f>
        <v>Masters</v>
      </c>
      <c r="D171" s="2" t="str">
        <f>Datos!G171</f>
        <v>D</v>
      </c>
      <c r="E171" s="2">
        <f>Datos!I171</f>
        <v>1</v>
      </c>
      <c r="F171" s="2">
        <f>Datos!J171</f>
        <v>81.8</v>
      </c>
      <c r="G171" s="2">
        <f>Datos!L171</f>
        <v>84.2</v>
      </c>
      <c r="H171" s="2">
        <f>Datos!M171</f>
        <v>66.5</v>
      </c>
      <c r="I171" s="2" t="b">
        <f t="shared" si="10"/>
        <v>1</v>
      </c>
      <c r="J171" s="2">
        <f t="shared" si="11"/>
        <v>66.5</v>
      </c>
      <c r="K171" s="2">
        <f t="shared" si="12"/>
        <v>1</v>
      </c>
      <c r="L171" s="2">
        <f t="shared" si="13"/>
        <v>84.2</v>
      </c>
      <c r="M171" s="2">
        <f t="shared" si="14"/>
        <v>81.8</v>
      </c>
    </row>
    <row r="172" spans="1:13" x14ac:dyDescent="0.3">
      <c r="A172" s="2">
        <f>Datos!A172</f>
        <v>788</v>
      </c>
      <c r="B172" s="2" t="str">
        <f>Datos!B172</f>
        <v>Female</v>
      </c>
      <c r="C172" s="2" t="str">
        <f>Datos!C172</f>
        <v>High School</v>
      </c>
      <c r="D172" s="2" t="str">
        <f>Datos!G172</f>
        <v>D</v>
      </c>
      <c r="E172" s="2">
        <f>Datos!I172</f>
        <v>4.2</v>
      </c>
      <c r="F172" s="2">
        <f>Datos!J172</f>
        <v>67.2</v>
      </c>
      <c r="G172" s="2">
        <f>Datos!L172</f>
        <v>55.2</v>
      </c>
      <c r="H172" s="2">
        <f>Datos!M172</f>
        <v>66.5</v>
      </c>
      <c r="I172" s="2" t="b">
        <f t="shared" si="10"/>
        <v>1</v>
      </c>
      <c r="J172" s="2">
        <f t="shared" si="11"/>
        <v>66.5</v>
      </c>
      <c r="K172" s="2">
        <f t="shared" si="12"/>
        <v>4.2</v>
      </c>
      <c r="L172" s="2">
        <f t="shared" si="13"/>
        <v>55.2</v>
      </c>
      <c r="M172" s="2">
        <f t="shared" si="14"/>
        <v>67.2</v>
      </c>
    </row>
    <row r="173" spans="1:13" x14ac:dyDescent="0.3">
      <c r="A173" s="2">
        <f>Datos!A173</f>
        <v>782</v>
      </c>
      <c r="B173" s="2" t="str">
        <f>Datos!B173</f>
        <v>Male</v>
      </c>
      <c r="C173" s="2" t="str">
        <f>Datos!C173</f>
        <v>High School</v>
      </c>
      <c r="D173" s="2" t="str">
        <f>Datos!G173</f>
        <v>D</v>
      </c>
      <c r="E173" s="2">
        <f>Datos!I173</f>
        <v>2.6</v>
      </c>
      <c r="F173" s="2">
        <f>Datos!J173</f>
        <v>82.9</v>
      </c>
      <c r="G173" s="2">
        <f>Datos!L173</f>
        <v>60.8</v>
      </c>
      <c r="H173" s="2">
        <f>Datos!M173</f>
        <v>64.7</v>
      </c>
      <c r="I173" s="2" t="b">
        <f t="shared" si="10"/>
        <v>1</v>
      </c>
      <c r="J173" s="2">
        <f t="shared" si="11"/>
        <v>64.7</v>
      </c>
      <c r="K173" s="2">
        <f t="shared" si="12"/>
        <v>2.6</v>
      </c>
      <c r="L173" s="2">
        <f t="shared" si="13"/>
        <v>60.8</v>
      </c>
      <c r="M173" s="2">
        <f t="shared" si="14"/>
        <v>82.9</v>
      </c>
    </row>
    <row r="174" spans="1:13" x14ac:dyDescent="0.3">
      <c r="A174" s="2">
        <f>Datos!A174</f>
        <v>664</v>
      </c>
      <c r="B174" s="2" t="str">
        <f>Datos!B174</f>
        <v>Male</v>
      </c>
      <c r="C174" s="2" t="str">
        <f>Datos!C174</f>
        <v>Bachelors</v>
      </c>
      <c r="D174" s="2" t="str">
        <f>Datos!G174</f>
        <v>A</v>
      </c>
      <c r="E174" s="2">
        <f>Datos!I174</f>
        <v>5.9</v>
      </c>
      <c r="F174" s="2">
        <f>Datos!J174</f>
        <v>76.8</v>
      </c>
      <c r="G174" s="2">
        <f>Datos!L174</f>
        <v>92</v>
      </c>
      <c r="H174" s="2">
        <f>Datos!M174</f>
        <v>99</v>
      </c>
      <c r="I174" s="2" t="b">
        <f t="shared" si="10"/>
        <v>1</v>
      </c>
      <c r="J174" s="2">
        <f t="shared" si="11"/>
        <v>99</v>
      </c>
      <c r="K174" s="2">
        <f t="shared" si="12"/>
        <v>5.9</v>
      </c>
      <c r="L174" s="2">
        <f t="shared" si="13"/>
        <v>92</v>
      </c>
      <c r="M174" s="2">
        <f t="shared" si="14"/>
        <v>76.8</v>
      </c>
    </row>
    <row r="175" spans="1:13" x14ac:dyDescent="0.3">
      <c r="A175" s="2">
        <f>Datos!A175</f>
        <v>70</v>
      </c>
      <c r="B175" s="2" t="str">
        <f>Datos!B175</f>
        <v>Female</v>
      </c>
      <c r="C175" s="2" t="str">
        <f>Datos!C175</f>
        <v>Bachelors</v>
      </c>
      <c r="D175" s="2" t="str">
        <f>Datos!G175</f>
        <v>A</v>
      </c>
      <c r="E175" s="2">
        <f>Datos!I175</f>
        <v>6.9</v>
      </c>
      <c r="F175" s="2">
        <f>Datos!J175</f>
        <v>79.400000000000006</v>
      </c>
      <c r="G175" s="2">
        <f>Datos!L175</f>
        <v>90.5</v>
      </c>
      <c r="H175" s="2">
        <f>Datos!M175</f>
        <v>100</v>
      </c>
      <c r="I175" s="2" t="b">
        <f t="shared" si="10"/>
        <v>1</v>
      </c>
      <c r="J175" s="2">
        <f t="shared" si="11"/>
        <v>100</v>
      </c>
      <c r="K175" s="2">
        <f t="shared" si="12"/>
        <v>6.9</v>
      </c>
      <c r="L175" s="2">
        <f t="shared" si="13"/>
        <v>90.5</v>
      </c>
      <c r="M175" s="2">
        <f t="shared" si="14"/>
        <v>79.400000000000006</v>
      </c>
    </row>
    <row r="176" spans="1:13" x14ac:dyDescent="0.3">
      <c r="A176" s="2">
        <f>Datos!A176</f>
        <v>283</v>
      </c>
      <c r="B176" s="2" t="str">
        <f>Datos!B176</f>
        <v>Male</v>
      </c>
      <c r="C176" s="2" t="str">
        <f>Datos!C176</f>
        <v>Bachelors</v>
      </c>
      <c r="D176" s="2" t="str">
        <f>Datos!G176</f>
        <v>F</v>
      </c>
      <c r="E176" s="2">
        <f>Datos!I176</f>
        <v>2.7</v>
      </c>
      <c r="F176" s="2">
        <f>Datos!J176</f>
        <v>73.7</v>
      </c>
      <c r="G176" s="2">
        <f>Datos!L176</f>
        <v>54.2</v>
      </c>
      <c r="H176" s="2">
        <f>Datos!M176</f>
        <v>58.2</v>
      </c>
      <c r="I176" s="2" t="b">
        <f t="shared" si="10"/>
        <v>1</v>
      </c>
      <c r="J176" s="2">
        <f t="shared" si="11"/>
        <v>58.2</v>
      </c>
      <c r="K176" s="2">
        <f t="shared" si="12"/>
        <v>2.7</v>
      </c>
      <c r="L176" s="2">
        <f t="shared" si="13"/>
        <v>54.2</v>
      </c>
      <c r="M176" s="2">
        <f t="shared" si="14"/>
        <v>73.7</v>
      </c>
    </row>
    <row r="177" spans="1:13" x14ac:dyDescent="0.3">
      <c r="A177" s="2">
        <f>Datos!A177</f>
        <v>881</v>
      </c>
      <c r="B177" s="2" t="str">
        <f>Datos!B177</f>
        <v>Male</v>
      </c>
      <c r="C177" s="2" t="str">
        <f>Datos!C177</f>
        <v>High School</v>
      </c>
      <c r="D177" s="2" t="str">
        <f>Datos!G177</f>
        <v>D</v>
      </c>
      <c r="E177" s="2">
        <f>Datos!I177</f>
        <v>4.5</v>
      </c>
      <c r="F177" s="2">
        <f>Datos!J177</f>
        <v>70.900000000000006</v>
      </c>
      <c r="G177" s="2">
        <f>Datos!L177</f>
        <v>50.1</v>
      </c>
      <c r="H177" s="2">
        <f>Datos!M177</f>
        <v>69</v>
      </c>
      <c r="I177" s="2" t="b">
        <f t="shared" si="10"/>
        <v>1</v>
      </c>
      <c r="J177" s="2">
        <f t="shared" si="11"/>
        <v>69</v>
      </c>
      <c r="K177" s="2">
        <f t="shared" si="12"/>
        <v>4.5</v>
      </c>
      <c r="L177" s="2">
        <f t="shared" si="13"/>
        <v>50.1</v>
      </c>
      <c r="M177" s="2">
        <f t="shared" si="14"/>
        <v>70.900000000000006</v>
      </c>
    </row>
    <row r="178" spans="1:13" x14ac:dyDescent="0.3">
      <c r="A178" s="2">
        <f>Datos!A178</f>
        <v>209</v>
      </c>
      <c r="B178" s="2" t="str">
        <f>Datos!B178</f>
        <v>Female</v>
      </c>
      <c r="C178" s="2" t="str">
        <f>Datos!C178</f>
        <v>Masters</v>
      </c>
      <c r="D178" s="2" t="str">
        <f>Datos!G178</f>
        <v>C</v>
      </c>
      <c r="E178" s="2">
        <f>Datos!I178</f>
        <v>2.2000000000000002</v>
      </c>
      <c r="F178" s="2">
        <f>Datos!J178</f>
        <v>76.2</v>
      </c>
      <c r="G178" s="2">
        <f>Datos!L178</f>
        <v>59.5</v>
      </c>
      <c r="H178" s="2">
        <f>Datos!M178</f>
        <v>72</v>
      </c>
      <c r="I178" s="2" t="b">
        <f t="shared" si="10"/>
        <v>1</v>
      </c>
      <c r="J178" s="2">
        <f t="shared" si="11"/>
        <v>72</v>
      </c>
      <c r="K178" s="2">
        <f t="shared" si="12"/>
        <v>2.2000000000000002</v>
      </c>
      <c r="L178" s="2">
        <f t="shared" si="13"/>
        <v>59.5</v>
      </c>
      <c r="M178" s="2">
        <f t="shared" si="14"/>
        <v>76.2</v>
      </c>
    </row>
    <row r="179" spans="1:13" x14ac:dyDescent="0.3">
      <c r="A179" s="2">
        <f>Datos!A179</f>
        <v>620</v>
      </c>
      <c r="B179" s="2" t="str">
        <f>Datos!B179</f>
        <v>Female</v>
      </c>
      <c r="C179" s="2" t="str">
        <f>Datos!C179</f>
        <v>Masters</v>
      </c>
      <c r="D179" s="2" t="str">
        <f>Datos!G179</f>
        <v>B</v>
      </c>
      <c r="E179" s="2">
        <f>Datos!I179</f>
        <v>5.2</v>
      </c>
      <c r="F179" s="2">
        <f>Datos!J179</f>
        <v>98.3</v>
      </c>
      <c r="G179" s="2">
        <f>Datos!L179</f>
        <v>60.6</v>
      </c>
      <c r="H179" s="2">
        <f>Datos!M179</f>
        <v>88.2</v>
      </c>
      <c r="I179" s="2" t="b">
        <f t="shared" si="10"/>
        <v>1</v>
      </c>
      <c r="J179" s="2">
        <f t="shared" si="11"/>
        <v>88.2</v>
      </c>
      <c r="K179" s="2">
        <f t="shared" si="12"/>
        <v>5.2</v>
      </c>
      <c r="L179" s="2">
        <f t="shared" si="13"/>
        <v>60.6</v>
      </c>
      <c r="M179" s="2">
        <f t="shared" si="14"/>
        <v>98.3</v>
      </c>
    </row>
    <row r="180" spans="1:13" x14ac:dyDescent="0.3">
      <c r="A180" s="2">
        <f>Datos!A180</f>
        <v>238</v>
      </c>
      <c r="B180" s="2" t="str">
        <f>Datos!B180</f>
        <v>Female</v>
      </c>
      <c r="C180" s="2" t="str">
        <f>Datos!C180</f>
        <v>High School</v>
      </c>
      <c r="D180" s="2" t="str">
        <f>Datos!G180</f>
        <v>A</v>
      </c>
      <c r="E180" s="2">
        <f>Datos!I180</f>
        <v>5.5</v>
      </c>
      <c r="F180" s="2">
        <f>Datos!J180</f>
        <v>91.8</v>
      </c>
      <c r="G180" s="2">
        <f>Datos!L180</f>
        <v>250</v>
      </c>
      <c r="H180" s="2">
        <f>Datos!M180</f>
        <v>98.5</v>
      </c>
      <c r="I180" s="2" t="b">
        <f t="shared" si="10"/>
        <v>0</v>
      </c>
      <c r="J180" s="2" t="str">
        <f t="shared" si="11"/>
        <v/>
      </c>
      <c r="K180" s="2" t="str">
        <f t="shared" si="12"/>
        <v/>
      </c>
      <c r="L180" s="2" t="str">
        <f t="shared" si="13"/>
        <v/>
      </c>
      <c r="M180" s="2" t="str">
        <f t="shared" si="14"/>
        <v/>
      </c>
    </row>
    <row r="181" spans="1:13" x14ac:dyDescent="0.3">
      <c r="A181" s="2">
        <f>Datos!A181</f>
        <v>39</v>
      </c>
      <c r="B181" s="2" t="str">
        <f>Datos!B181</f>
        <v>Male</v>
      </c>
      <c r="C181" s="2" t="str">
        <f>Datos!C181</f>
        <v>Masters</v>
      </c>
      <c r="D181" s="2" t="str">
        <f>Datos!G181</f>
        <v>B</v>
      </c>
      <c r="E181" s="2">
        <f>Datos!I181</f>
        <v>5.7</v>
      </c>
      <c r="F181" s="2">
        <f>Datos!J181</f>
        <v>98.1</v>
      </c>
      <c r="G181" s="2">
        <f>Datos!L181</f>
        <v>45.3</v>
      </c>
      <c r="H181" s="2">
        <f>Datos!M181</f>
        <v>83.6</v>
      </c>
      <c r="I181" s="2" t="b">
        <f t="shared" si="10"/>
        <v>1</v>
      </c>
      <c r="J181" s="2">
        <f t="shared" si="11"/>
        <v>83.6</v>
      </c>
      <c r="K181" s="2">
        <f t="shared" si="12"/>
        <v>5.7</v>
      </c>
      <c r="L181" s="2">
        <f t="shared" si="13"/>
        <v>45.3</v>
      </c>
      <c r="M181" s="2">
        <f t="shared" si="14"/>
        <v>98.1</v>
      </c>
    </row>
    <row r="182" spans="1:13" x14ac:dyDescent="0.3">
      <c r="A182" s="2">
        <f>Datos!A182</f>
        <v>163</v>
      </c>
      <c r="B182" s="2" t="str">
        <f>Datos!B182</f>
        <v>Male</v>
      </c>
      <c r="C182" s="2" t="str">
        <f>Datos!C182</f>
        <v>Bachelors</v>
      </c>
      <c r="D182" s="2" t="str">
        <f>Datos!G182</f>
        <v>C</v>
      </c>
      <c r="E182" s="2">
        <f>Datos!I182</f>
        <v>1.7</v>
      </c>
      <c r="F182" s="2">
        <f>Datos!J182</f>
        <v>76.2</v>
      </c>
      <c r="G182" s="2">
        <f>Datos!L182</f>
        <v>78.3</v>
      </c>
      <c r="H182" s="2">
        <f>Datos!M182</f>
        <v>73.2</v>
      </c>
      <c r="I182" s="2" t="b">
        <f t="shared" si="10"/>
        <v>1</v>
      </c>
      <c r="J182" s="2">
        <f t="shared" si="11"/>
        <v>73.2</v>
      </c>
      <c r="K182" s="2">
        <f t="shared" si="12"/>
        <v>1.7</v>
      </c>
      <c r="L182" s="2">
        <f t="shared" si="13"/>
        <v>78.3</v>
      </c>
      <c r="M182" s="2">
        <f t="shared" si="14"/>
        <v>76.2</v>
      </c>
    </row>
    <row r="183" spans="1:13" x14ac:dyDescent="0.3">
      <c r="A183" s="2">
        <f>Datos!A183</f>
        <v>67</v>
      </c>
      <c r="B183" s="2" t="str">
        <f>Datos!B183</f>
        <v>Male</v>
      </c>
      <c r="C183" s="2" t="str">
        <f>Datos!C183</f>
        <v>Masters</v>
      </c>
      <c r="D183" s="2" t="str">
        <f>Datos!G183</f>
        <v>B</v>
      </c>
      <c r="E183" s="2">
        <f>Datos!I183</f>
        <v>4.5999999999999996</v>
      </c>
      <c r="F183" s="2">
        <f>Datos!J183</f>
        <v>99.4</v>
      </c>
      <c r="G183" s="2">
        <f>Datos!L183</f>
        <v>67</v>
      </c>
      <c r="H183" s="2">
        <f>Datos!M183</f>
        <v>80.2</v>
      </c>
      <c r="I183" s="2" t="b">
        <f t="shared" si="10"/>
        <v>1</v>
      </c>
      <c r="J183" s="2">
        <f t="shared" si="11"/>
        <v>80.2</v>
      </c>
      <c r="K183" s="2">
        <f t="shared" si="12"/>
        <v>4.5999999999999996</v>
      </c>
      <c r="L183" s="2">
        <f t="shared" si="13"/>
        <v>67</v>
      </c>
      <c r="M183" s="2">
        <f t="shared" si="14"/>
        <v>99.4</v>
      </c>
    </row>
    <row r="184" spans="1:13" x14ac:dyDescent="0.3">
      <c r="A184" s="2">
        <f>Datos!A184</f>
        <v>720</v>
      </c>
      <c r="B184" s="2" t="str">
        <f>Datos!B184</f>
        <v>Male</v>
      </c>
      <c r="C184" s="2">
        <f>Datos!C184</f>
        <v>0</v>
      </c>
      <c r="D184" s="2" t="str">
        <f>Datos!G184</f>
        <v>C</v>
      </c>
      <c r="E184" s="2">
        <f>Datos!I184</f>
        <v>6.9</v>
      </c>
      <c r="F184" s="2">
        <f>Datos!J184</f>
        <v>74.099999999999994</v>
      </c>
      <c r="G184" s="2">
        <f>Datos!L184</f>
        <v>35.700000000000003</v>
      </c>
      <c r="H184" s="2">
        <f>Datos!M184</f>
        <v>75.2</v>
      </c>
      <c r="I184" s="2" t="b">
        <f t="shared" si="10"/>
        <v>1</v>
      </c>
      <c r="J184" s="2">
        <f t="shared" si="11"/>
        <v>75.2</v>
      </c>
      <c r="K184" s="2">
        <f t="shared" si="12"/>
        <v>6.9</v>
      </c>
      <c r="L184" s="2">
        <f t="shared" si="13"/>
        <v>35.700000000000003</v>
      </c>
      <c r="M184" s="2">
        <f t="shared" si="14"/>
        <v>74.099999999999994</v>
      </c>
    </row>
    <row r="185" spans="1:13" x14ac:dyDescent="0.3">
      <c r="A185" s="2">
        <f>Datos!A185</f>
        <v>102</v>
      </c>
      <c r="B185" s="2" t="str">
        <f>Datos!B185</f>
        <v>Female</v>
      </c>
      <c r="C185" s="2" t="str">
        <f>Datos!C185</f>
        <v>PhD</v>
      </c>
      <c r="D185" s="2" t="str">
        <f>Datos!G185</f>
        <v>B</v>
      </c>
      <c r="E185" s="2">
        <f>Datos!I185</f>
        <v>6.9</v>
      </c>
      <c r="F185" s="2">
        <f>Datos!J185</f>
        <v>99.4</v>
      </c>
      <c r="G185" s="2">
        <f>Datos!L185</f>
        <v>68.2</v>
      </c>
      <c r="H185" s="2">
        <f>Datos!M185</f>
        <v>82.4</v>
      </c>
      <c r="I185" s="2" t="b">
        <f t="shared" si="10"/>
        <v>1</v>
      </c>
      <c r="J185" s="2">
        <f t="shared" si="11"/>
        <v>82.4</v>
      </c>
      <c r="K185" s="2">
        <f t="shared" si="12"/>
        <v>6.9</v>
      </c>
      <c r="L185" s="2">
        <f t="shared" si="13"/>
        <v>68.2</v>
      </c>
      <c r="M185" s="2">
        <f t="shared" si="14"/>
        <v>99.4</v>
      </c>
    </row>
    <row r="186" spans="1:13" x14ac:dyDescent="0.3">
      <c r="A186" s="2">
        <f>Datos!A186</f>
        <v>196</v>
      </c>
      <c r="B186" s="2" t="str">
        <f>Datos!B186</f>
        <v>Male</v>
      </c>
      <c r="C186" s="2" t="str">
        <f>Datos!C186</f>
        <v>PhD</v>
      </c>
      <c r="D186" s="2" t="str">
        <f>Datos!G186</f>
        <v>B</v>
      </c>
      <c r="E186" s="2">
        <f>Datos!I186</f>
        <v>6.5</v>
      </c>
      <c r="F186" s="2">
        <f>Datos!J186</f>
        <v>83.5</v>
      </c>
      <c r="G186" s="2">
        <f>Datos!L186</f>
        <v>39.299999999999997</v>
      </c>
      <c r="H186" s="2">
        <f>Datos!M186</f>
        <v>83.3</v>
      </c>
      <c r="I186" s="2" t="b">
        <f t="shared" si="10"/>
        <v>1</v>
      </c>
      <c r="J186" s="2">
        <f t="shared" si="11"/>
        <v>83.3</v>
      </c>
      <c r="K186" s="2">
        <f t="shared" si="12"/>
        <v>6.5</v>
      </c>
      <c r="L186" s="2">
        <f t="shared" si="13"/>
        <v>39.299999999999997</v>
      </c>
      <c r="M186" s="2">
        <f t="shared" si="14"/>
        <v>83.5</v>
      </c>
    </row>
    <row r="187" spans="1:13" x14ac:dyDescent="0.3">
      <c r="A187" s="2">
        <f>Datos!A187</f>
        <v>798</v>
      </c>
      <c r="B187" s="2" t="str">
        <f>Datos!B187</f>
        <v>Male</v>
      </c>
      <c r="C187" s="2" t="str">
        <f>Datos!C187</f>
        <v>High School</v>
      </c>
      <c r="D187" s="2" t="str">
        <f>Datos!G187</f>
        <v>C</v>
      </c>
      <c r="E187" s="2">
        <f>Datos!I187</f>
        <v>4.0999999999999996</v>
      </c>
      <c r="F187" s="2">
        <f>Datos!J187</f>
        <v>82.2</v>
      </c>
      <c r="G187" s="2">
        <f>Datos!L187</f>
        <v>77.3</v>
      </c>
      <c r="H187" s="2">
        <f>Datos!M187</f>
        <v>78.5</v>
      </c>
      <c r="I187" s="2" t="b">
        <f t="shared" si="10"/>
        <v>1</v>
      </c>
      <c r="J187" s="2">
        <f t="shared" si="11"/>
        <v>78.5</v>
      </c>
      <c r="K187" s="2">
        <f t="shared" si="12"/>
        <v>4.0999999999999996</v>
      </c>
      <c r="L187" s="2">
        <f t="shared" si="13"/>
        <v>77.3</v>
      </c>
      <c r="M187" s="2">
        <f t="shared" si="14"/>
        <v>82.2</v>
      </c>
    </row>
    <row r="188" spans="1:13" x14ac:dyDescent="0.3">
      <c r="A188" s="2">
        <f>Datos!A188</f>
        <v>22</v>
      </c>
      <c r="B188" s="2" t="str">
        <f>Datos!B188</f>
        <v>Male</v>
      </c>
      <c r="C188" s="2" t="str">
        <f>Datos!C188</f>
        <v>High School</v>
      </c>
      <c r="D188" s="2" t="str">
        <f>Datos!G188</f>
        <v>C</v>
      </c>
      <c r="E188" s="2">
        <f>Datos!I188</f>
        <v>6.6</v>
      </c>
      <c r="F188" s="2">
        <f>Datos!J188</f>
        <v>73.400000000000006</v>
      </c>
      <c r="G188" s="2">
        <f>Datos!L188</f>
        <v>71</v>
      </c>
      <c r="H188" s="2">
        <f>Datos!M188</f>
        <v>75.5</v>
      </c>
      <c r="I188" s="2" t="b">
        <f t="shared" si="10"/>
        <v>1</v>
      </c>
      <c r="J188" s="2">
        <f t="shared" si="11"/>
        <v>75.5</v>
      </c>
      <c r="K188" s="2">
        <f t="shared" si="12"/>
        <v>6.6</v>
      </c>
      <c r="L188" s="2">
        <f t="shared" si="13"/>
        <v>71</v>
      </c>
      <c r="M188" s="2">
        <f t="shared" si="14"/>
        <v>73.400000000000006</v>
      </c>
    </row>
    <row r="189" spans="1:13" x14ac:dyDescent="0.3">
      <c r="A189" s="2">
        <f>Datos!A189</f>
        <v>937</v>
      </c>
      <c r="B189" s="2" t="str">
        <f>Datos!B189</f>
        <v>Male</v>
      </c>
      <c r="C189" s="2" t="str">
        <f>Datos!C189</f>
        <v>High School</v>
      </c>
      <c r="D189" s="2" t="str">
        <f>Datos!G189</f>
        <v>D</v>
      </c>
      <c r="E189" s="2">
        <f>Datos!I189</f>
        <v>3.2</v>
      </c>
      <c r="F189" s="2">
        <f>Datos!J189</f>
        <v>95.2</v>
      </c>
      <c r="G189" s="2">
        <f>Datos!L189</f>
        <v>82.5</v>
      </c>
      <c r="H189" s="2">
        <f>Datos!M189</f>
        <v>68.5</v>
      </c>
      <c r="I189" s="2" t="b">
        <f t="shared" si="10"/>
        <v>1</v>
      </c>
      <c r="J189" s="2">
        <f t="shared" si="11"/>
        <v>68.5</v>
      </c>
      <c r="K189" s="2">
        <f t="shared" si="12"/>
        <v>3.2</v>
      </c>
      <c r="L189" s="2">
        <f t="shared" si="13"/>
        <v>82.5</v>
      </c>
      <c r="M189" s="2">
        <f t="shared" si="14"/>
        <v>95.2</v>
      </c>
    </row>
    <row r="190" spans="1:13" x14ac:dyDescent="0.3">
      <c r="A190" s="2">
        <f>Datos!A190</f>
        <v>410</v>
      </c>
      <c r="B190" s="2" t="str">
        <f>Datos!B190</f>
        <v>Male</v>
      </c>
      <c r="C190" s="2" t="str">
        <f>Datos!C190</f>
        <v>High School</v>
      </c>
      <c r="D190" s="2" t="str">
        <f>Datos!G190</f>
        <v>F</v>
      </c>
      <c r="E190" s="2">
        <f>Datos!I190</f>
        <v>0.8</v>
      </c>
      <c r="F190" s="2">
        <f>Datos!J190</f>
        <v>86</v>
      </c>
      <c r="G190" s="2">
        <f>Datos!L190</f>
        <v>53</v>
      </c>
      <c r="H190" s="2">
        <f>Datos!M190</f>
        <v>49.2</v>
      </c>
      <c r="I190" s="2" t="b">
        <f t="shared" si="10"/>
        <v>1</v>
      </c>
      <c r="J190" s="2">
        <f t="shared" si="11"/>
        <v>49.2</v>
      </c>
      <c r="K190" s="2">
        <f t="shared" si="12"/>
        <v>0.8</v>
      </c>
      <c r="L190" s="2">
        <f t="shared" si="13"/>
        <v>53</v>
      </c>
      <c r="M190" s="2">
        <f t="shared" si="14"/>
        <v>86</v>
      </c>
    </row>
    <row r="191" spans="1:13" x14ac:dyDescent="0.3">
      <c r="A191" s="2">
        <f>Datos!A191</f>
        <v>138</v>
      </c>
      <c r="B191" s="2" t="str">
        <f>Datos!B191</f>
        <v>Male</v>
      </c>
      <c r="C191" s="2" t="str">
        <f>Datos!C191</f>
        <v>High School</v>
      </c>
      <c r="D191" s="2" t="str">
        <f>Datos!G191</f>
        <v>D</v>
      </c>
      <c r="E191" s="2">
        <f>Datos!I191</f>
        <v>3.2</v>
      </c>
      <c r="F191" s="2">
        <f>Datos!J191</f>
        <v>83.5</v>
      </c>
      <c r="G191" s="2">
        <f>Datos!L191</f>
        <v>38.299999999999997</v>
      </c>
      <c r="H191" s="2">
        <f>Datos!M191</f>
        <v>68.7</v>
      </c>
      <c r="I191" s="2" t="b">
        <f t="shared" si="10"/>
        <v>1</v>
      </c>
      <c r="J191" s="2">
        <f t="shared" si="11"/>
        <v>68.7</v>
      </c>
      <c r="K191" s="2">
        <f t="shared" si="12"/>
        <v>3.2</v>
      </c>
      <c r="L191" s="2">
        <f t="shared" si="13"/>
        <v>38.299999999999997</v>
      </c>
      <c r="M191" s="2">
        <f t="shared" si="14"/>
        <v>83.5</v>
      </c>
    </row>
    <row r="192" spans="1:13" x14ac:dyDescent="0.3">
      <c r="A192" s="2">
        <f>Datos!A192</f>
        <v>20</v>
      </c>
      <c r="B192" s="2" t="str">
        <f>Datos!B192</f>
        <v>Female</v>
      </c>
      <c r="C192" s="2" t="str">
        <f>Datos!C192</f>
        <v>Bachelors</v>
      </c>
      <c r="D192" s="2" t="str">
        <f>Datos!G192</f>
        <v>B</v>
      </c>
      <c r="E192" s="2">
        <f>Datos!I192</f>
        <v>2.2000000000000002</v>
      </c>
      <c r="F192" s="2">
        <f>Datos!J192</f>
        <v>97.8</v>
      </c>
      <c r="G192" s="2">
        <f>Datos!L192</f>
        <v>88.5</v>
      </c>
      <c r="H192" s="2">
        <f>Datos!M192</f>
        <v>84.4</v>
      </c>
      <c r="I192" s="2" t="b">
        <f t="shared" si="10"/>
        <v>1</v>
      </c>
      <c r="J192" s="2">
        <f t="shared" si="11"/>
        <v>84.4</v>
      </c>
      <c r="K192" s="2">
        <f t="shared" si="12"/>
        <v>2.2000000000000002</v>
      </c>
      <c r="L192" s="2">
        <f t="shared" si="13"/>
        <v>88.5</v>
      </c>
      <c r="M192" s="2">
        <f t="shared" si="14"/>
        <v>97.8</v>
      </c>
    </row>
    <row r="193" spans="1:13" x14ac:dyDescent="0.3">
      <c r="A193" s="2">
        <f>Datos!A193</f>
        <v>348</v>
      </c>
      <c r="B193" s="2" t="str">
        <f>Datos!B193</f>
        <v>Female</v>
      </c>
      <c r="C193" s="2" t="str">
        <f>Datos!C193</f>
        <v>PhD</v>
      </c>
      <c r="D193" s="2" t="str">
        <f>Datos!G193</f>
        <v>C</v>
      </c>
      <c r="E193" s="2">
        <f>Datos!I193</f>
        <v>3.3</v>
      </c>
      <c r="F193" s="2">
        <f>Datos!J193</f>
        <v>96.5</v>
      </c>
      <c r="G193" s="2">
        <f>Datos!L193</f>
        <v>85.6</v>
      </c>
      <c r="H193" s="2">
        <f>Datos!M193</f>
        <v>79</v>
      </c>
      <c r="I193" s="2" t="b">
        <f t="shared" si="10"/>
        <v>1</v>
      </c>
      <c r="J193" s="2">
        <f t="shared" si="11"/>
        <v>79</v>
      </c>
      <c r="K193" s="2">
        <f t="shared" si="12"/>
        <v>3.3</v>
      </c>
      <c r="L193" s="2">
        <f t="shared" si="13"/>
        <v>85.6</v>
      </c>
      <c r="M193" s="2">
        <f t="shared" si="14"/>
        <v>96.5</v>
      </c>
    </row>
    <row r="194" spans="1:13" x14ac:dyDescent="0.3">
      <c r="A194" s="2">
        <f>Datos!A194</f>
        <v>941</v>
      </c>
      <c r="B194" s="2" t="str">
        <f>Datos!B194</f>
        <v>Male</v>
      </c>
      <c r="C194" s="2" t="str">
        <f>Datos!C194</f>
        <v>High School</v>
      </c>
      <c r="D194" s="2" t="str">
        <f>Datos!G194</f>
        <v>B</v>
      </c>
      <c r="E194" s="2">
        <f>Datos!I194</f>
        <v>5.8</v>
      </c>
      <c r="F194" s="2">
        <f>Datos!J194</f>
        <v>65.7</v>
      </c>
      <c r="G194" s="2">
        <f>Datos!L194</f>
        <v>85.3</v>
      </c>
      <c r="H194" s="2">
        <f>Datos!M194</f>
        <v>81.099999999999994</v>
      </c>
      <c r="I194" s="2" t="b">
        <f t="shared" ref="I194:I257" si="15">AND(E194&gt;=0,E194&lt;=12,F194&gt;=0,F194&lt;=100,G194&gt;=0,G194&lt;=100,H194&gt;=0,H194&lt;=100)</f>
        <v>1</v>
      </c>
      <c r="J194" s="2">
        <f t="shared" ref="J194:J257" si="16">IF(I194,H194,"")</f>
        <v>81.099999999999994</v>
      </c>
      <c r="K194" s="2">
        <f t="shared" ref="K194:K257" si="17">IF(I194,E194,"")</f>
        <v>5.8</v>
      </c>
      <c r="L194" s="2">
        <f t="shared" ref="L194:L257" si="18">IF(I194,G194,"")</f>
        <v>85.3</v>
      </c>
      <c r="M194" s="2">
        <f t="shared" ref="M194:M257" si="19">IF(I194,F194,"")</f>
        <v>65.7</v>
      </c>
    </row>
    <row r="195" spans="1:13" x14ac:dyDescent="0.3">
      <c r="A195" s="2">
        <f>Datos!A195</f>
        <v>916</v>
      </c>
      <c r="B195" s="2" t="str">
        <f>Datos!B195</f>
        <v>Female</v>
      </c>
      <c r="C195" s="2" t="str">
        <f>Datos!C195</f>
        <v>PhD</v>
      </c>
      <c r="D195" s="2" t="str">
        <f>Datos!G195</f>
        <v>C</v>
      </c>
      <c r="E195" s="2">
        <f>Datos!I195</f>
        <v>5</v>
      </c>
      <c r="F195" s="2">
        <f>Datos!J195</f>
        <v>72</v>
      </c>
      <c r="G195" s="2">
        <f>Datos!L195</f>
        <v>57</v>
      </c>
      <c r="H195" s="2">
        <f>Datos!M195</f>
        <v>79.3</v>
      </c>
      <c r="I195" s="2" t="b">
        <f t="shared" si="15"/>
        <v>1</v>
      </c>
      <c r="J195" s="2">
        <f t="shared" si="16"/>
        <v>79.3</v>
      </c>
      <c r="K195" s="2">
        <f t="shared" si="17"/>
        <v>5</v>
      </c>
      <c r="L195" s="2">
        <f t="shared" si="18"/>
        <v>57</v>
      </c>
      <c r="M195" s="2">
        <f t="shared" si="19"/>
        <v>72</v>
      </c>
    </row>
    <row r="196" spans="1:13" x14ac:dyDescent="0.3">
      <c r="A196" s="2">
        <f>Datos!A196</f>
        <v>146</v>
      </c>
      <c r="B196" s="2" t="str">
        <f>Datos!B196</f>
        <v>Female</v>
      </c>
      <c r="C196" s="2" t="str">
        <f>Datos!C196</f>
        <v>Bachelors</v>
      </c>
      <c r="D196" s="2" t="str">
        <f>Datos!G196</f>
        <v>A</v>
      </c>
      <c r="E196" s="2">
        <f>Datos!I196</f>
        <v>6.6</v>
      </c>
      <c r="F196" s="2">
        <f>Datos!J196</f>
        <v>78.7</v>
      </c>
      <c r="G196" s="2">
        <f>Datos!L196</f>
        <v>75.8</v>
      </c>
      <c r="H196" s="2">
        <f>Datos!M196</f>
        <v>95.3</v>
      </c>
      <c r="I196" s="2" t="b">
        <f t="shared" si="15"/>
        <v>1</v>
      </c>
      <c r="J196" s="2">
        <f t="shared" si="16"/>
        <v>95.3</v>
      </c>
      <c r="K196" s="2">
        <f t="shared" si="17"/>
        <v>6.6</v>
      </c>
      <c r="L196" s="2">
        <f t="shared" si="18"/>
        <v>75.8</v>
      </c>
      <c r="M196" s="2">
        <f t="shared" si="19"/>
        <v>78.7</v>
      </c>
    </row>
    <row r="197" spans="1:13" x14ac:dyDescent="0.3">
      <c r="A197" s="2">
        <f>Datos!A197</f>
        <v>185</v>
      </c>
      <c r="B197" s="2" t="str">
        <f>Datos!B197</f>
        <v>Male</v>
      </c>
      <c r="C197" s="2">
        <f>Datos!C197</f>
        <v>0</v>
      </c>
      <c r="D197" s="2" t="str">
        <f>Datos!G197</f>
        <v>B</v>
      </c>
      <c r="E197" s="2">
        <f>Datos!I197</f>
        <v>1.6</v>
      </c>
      <c r="F197" s="2">
        <f>Datos!J197</f>
        <v>87.4</v>
      </c>
      <c r="G197" s="2">
        <f>Datos!L197</f>
        <v>85.9</v>
      </c>
      <c r="H197" s="2">
        <f>Datos!M197</f>
        <v>84.5</v>
      </c>
      <c r="I197" s="2" t="b">
        <f t="shared" si="15"/>
        <v>1</v>
      </c>
      <c r="J197" s="2">
        <f t="shared" si="16"/>
        <v>84.5</v>
      </c>
      <c r="K197" s="2">
        <f t="shared" si="17"/>
        <v>1.6</v>
      </c>
      <c r="L197" s="2">
        <f t="shared" si="18"/>
        <v>85.9</v>
      </c>
      <c r="M197" s="2">
        <f t="shared" si="19"/>
        <v>87.4</v>
      </c>
    </row>
    <row r="198" spans="1:13" x14ac:dyDescent="0.3">
      <c r="A198" s="2">
        <f>Datos!A198</f>
        <v>930</v>
      </c>
      <c r="B198" s="2" t="str">
        <f>Datos!B198</f>
        <v>Male</v>
      </c>
      <c r="C198" s="2" t="str">
        <f>Datos!C198</f>
        <v>Bachelors</v>
      </c>
      <c r="D198" s="2" t="str">
        <f>Datos!G198</f>
        <v>A</v>
      </c>
      <c r="E198" s="2">
        <f>Datos!I198</f>
        <v>3.7</v>
      </c>
      <c r="F198" s="2">
        <f>Datos!J198</f>
        <v>84.8</v>
      </c>
      <c r="G198" s="2">
        <f>Datos!L198</f>
        <v>93.4</v>
      </c>
      <c r="H198" s="2">
        <f>Datos!M198</f>
        <v>90.1</v>
      </c>
      <c r="I198" s="2" t="b">
        <f t="shared" si="15"/>
        <v>1</v>
      </c>
      <c r="J198" s="2">
        <f t="shared" si="16"/>
        <v>90.1</v>
      </c>
      <c r="K198" s="2">
        <f t="shared" si="17"/>
        <v>3.7</v>
      </c>
      <c r="L198" s="2">
        <f t="shared" si="18"/>
        <v>93.4</v>
      </c>
      <c r="M198" s="2">
        <f t="shared" si="19"/>
        <v>84.8</v>
      </c>
    </row>
    <row r="199" spans="1:13" x14ac:dyDescent="0.3">
      <c r="A199" s="2">
        <f>Datos!A199</f>
        <v>565</v>
      </c>
      <c r="B199" s="2" t="str">
        <f>Datos!B199</f>
        <v>Female</v>
      </c>
      <c r="C199" s="2" t="str">
        <f>Datos!C199</f>
        <v>Bachelors</v>
      </c>
      <c r="D199" s="2" t="str">
        <f>Datos!G199</f>
        <v>A</v>
      </c>
      <c r="E199" s="2">
        <f>Datos!I199</f>
        <v>6.6</v>
      </c>
      <c r="F199" s="2">
        <f>Datos!J199</f>
        <v>75.2</v>
      </c>
      <c r="G199" s="2">
        <f>Datos!L199</f>
        <v>94.7</v>
      </c>
      <c r="H199" s="2">
        <f>Datos!M199</f>
        <v>91.2</v>
      </c>
      <c r="I199" s="2" t="b">
        <f t="shared" si="15"/>
        <v>1</v>
      </c>
      <c r="J199" s="2">
        <f t="shared" si="16"/>
        <v>91.2</v>
      </c>
      <c r="K199" s="2">
        <f t="shared" si="17"/>
        <v>6.6</v>
      </c>
      <c r="L199" s="2">
        <f t="shared" si="18"/>
        <v>94.7</v>
      </c>
      <c r="M199" s="2">
        <f t="shared" si="19"/>
        <v>75.2</v>
      </c>
    </row>
    <row r="200" spans="1:13" x14ac:dyDescent="0.3">
      <c r="A200" s="2">
        <f>Datos!A200</f>
        <v>940</v>
      </c>
      <c r="B200" s="2" t="str">
        <f>Datos!B200</f>
        <v>Female</v>
      </c>
      <c r="C200" s="2" t="str">
        <f>Datos!C200</f>
        <v>High School</v>
      </c>
      <c r="D200" s="2" t="str">
        <f>Datos!G200</f>
        <v>B</v>
      </c>
      <c r="E200" s="2">
        <f>Datos!I200</f>
        <v>3.4</v>
      </c>
      <c r="F200" s="2">
        <f>Datos!J200</f>
        <v>93.1</v>
      </c>
      <c r="G200" s="2">
        <f>Datos!L200</f>
        <v>82.6</v>
      </c>
      <c r="H200" s="2">
        <f>Datos!M200</f>
        <v>86.5</v>
      </c>
      <c r="I200" s="2" t="b">
        <f t="shared" si="15"/>
        <v>1</v>
      </c>
      <c r="J200" s="2">
        <f t="shared" si="16"/>
        <v>86.5</v>
      </c>
      <c r="K200" s="2">
        <f t="shared" si="17"/>
        <v>3.4</v>
      </c>
      <c r="L200" s="2">
        <f t="shared" si="18"/>
        <v>82.6</v>
      </c>
      <c r="M200" s="2">
        <f t="shared" si="19"/>
        <v>93.1</v>
      </c>
    </row>
    <row r="201" spans="1:13" x14ac:dyDescent="0.3">
      <c r="A201" s="2">
        <f>Datos!A201</f>
        <v>707</v>
      </c>
      <c r="B201" s="2" t="str">
        <f>Datos!B201</f>
        <v>Male</v>
      </c>
      <c r="C201" s="2">
        <f>Datos!C201</f>
        <v>0</v>
      </c>
      <c r="D201" s="2" t="str">
        <f>Datos!G201</f>
        <v>B</v>
      </c>
      <c r="E201" s="2">
        <f>Datos!I201</f>
        <v>6.8</v>
      </c>
      <c r="F201" s="2">
        <f>Datos!J201</f>
        <v>89.6</v>
      </c>
      <c r="G201" s="2">
        <f>Datos!L201</f>
        <v>52.5</v>
      </c>
      <c r="H201" s="2">
        <f>Datos!M201</f>
        <v>87.6</v>
      </c>
      <c r="I201" s="2" t="b">
        <f t="shared" si="15"/>
        <v>1</v>
      </c>
      <c r="J201" s="2">
        <f t="shared" si="16"/>
        <v>87.6</v>
      </c>
      <c r="K201" s="2">
        <f t="shared" si="17"/>
        <v>6.8</v>
      </c>
      <c r="L201" s="2">
        <f t="shared" si="18"/>
        <v>52.5</v>
      </c>
      <c r="M201" s="2">
        <f t="shared" si="19"/>
        <v>89.6</v>
      </c>
    </row>
    <row r="202" spans="1:13" x14ac:dyDescent="0.3">
      <c r="A202" s="2">
        <f>Datos!A202</f>
        <v>571</v>
      </c>
      <c r="B202" s="2" t="str">
        <f>Datos!B202</f>
        <v>Male</v>
      </c>
      <c r="C202" s="2" t="str">
        <f>Datos!C202</f>
        <v>Bachelors</v>
      </c>
      <c r="D202" s="2" t="str">
        <f>Datos!G202</f>
        <v>C</v>
      </c>
      <c r="E202" s="2">
        <f>Datos!I202</f>
        <v>2.6</v>
      </c>
      <c r="F202" s="2">
        <f>Datos!J202</f>
        <v>97.5</v>
      </c>
      <c r="G202" s="2">
        <f>Datos!L202</f>
        <v>88.7</v>
      </c>
      <c r="H202" s="2">
        <f>Datos!M202</f>
        <v>77.5</v>
      </c>
      <c r="I202" s="2" t="b">
        <f t="shared" si="15"/>
        <v>1</v>
      </c>
      <c r="J202" s="2">
        <f t="shared" si="16"/>
        <v>77.5</v>
      </c>
      <c r="K202" s="2">
        <f t="shared" si="17"/>
        <v>2.6</v>
      </c>
      <c r="L202" s="2">
        <f t="shared" si="18"/>
        <v>88.7</v>
      </c>
      <c r="M202" s="2">
        <f t="shared" si="19"/>
        <v>97.5</v>
      </c>
    </row>
    <row r="203" spans="1:13" x14ac:dyDescent="0.3">
      <c r="A203" s="2">
        <f>Datos!A203</f>
        <v>267</v>
      </c>
      <c r="B203" s="2" t="str">
        <f>Datos!B203</f>
        <v>Male</v>
      </c>
      <c r="C203" s="2">
        <f>Datos!C203</f>
        <v>0</v>
      </c>
      <c r="D203" s="2" t="str">
        <f>Datos!G203</f>
        <v>F</v>
      </c>
      <c r="E203" s="2">
        <f>Datos!I203</f>
        <v>1.3</v>
      </c>
      <c r="F203" s="2">
        <f>Datos!J203</f>
        <v>84.4</v>
      </c>
      <c r="G203" s="2">
        <f>Datos!L203</f>
        <v>83.3</v>
      </c>
      <c r="H203" s="2">
        <f>Datos!M203</f>
        <v>57</v>
      </c>
      <c r="I203" s="2" t="b">
        <f t="shared" si="15"/>
        <v>1</v>
      </c>
      <c r="J203" s="2">
        <f t="shared" si="16"/>
        <v>57</v>
      </c>
      <c r="K203" s="2">
        <f t="shared" si="17"/>
        <v>1.3</v>
      </c>
      <c r="L203" s="2">
        <f t="shared" si="18"/>
        <v>83.3</v>
      </c>
      <c r="M203" s="2">
        <f t="shared" si="19"/>
        <v>84.4</v>
      </c>
    </row>
    <row r="204" spans="1:13" x14ac:dyDescent="0.3">
      <c r="A204" s="2">
        <f>Datos!A204</f>
        <v>170</v>
      </c>
      <c r="B204" s="2" t="str">
        <f>Datos!B204</f>
        <v>Male</v>
      </c>
      <c r="C204" s="2" t="str">
        <f>Datos!C204</f>
        <v>Masters</v>
      </c>
      <c r="D204" s="2" t="str">
        <f>Datos!G204</f>
        <v>F</v>
      </c>
      <c r="E204" s="2">
        <f>Datos!I204</f>
        <v>1.6</v>
      </c>
      <c r="F204" s="2">
        <f>Datos!J204</f>
        <v>77.5</v>
      </c>
      <c r="G204" s="2">
        <f>Datos!L204</f>
        <v>42.6</v>
      </c>
      <c r="H204" s="2">
        <f>Datos!M204</f>
        <v>50.5</v>
      </c>
      <c r="I204" s="2" t="b">
        <f t="shared" si="15"/>
        <v>1</v>
      </c>
      <c r="J204" s="2">
        <f t="shared" si="16"/>
        <v>50.5</v>
      </c>
      <c r="K204" s="2">
        <f t="shared" si="17"/>
        <v>1.6</v>
      </c>
      <c r="L204" s="2">
        <f t="shared" si="18"/>
        <v>42.6</v>
      </c>
      <c r="M204" s="2">
        <f t="shared" si="19"/>
        <v>77.5</v>
      </c>
    </row>
    <row r="205" spans="1:13" x14ac:dyDescent="0.3">
      <c r="A205" s="2">
        <f>Datos!A205</f>
        <v>589</v>
      </c>
      <c r="B205" s="2" t="str">
        <f>Datos!B205</f>
        <v>Female</v>
      </c>
      <c r="C205" s="2" t="str">
        <f>Datos!C205</f>
        <v>High School</v>
      </c>
      <c r="D205" s="2" t="str">
        <f>Datos!G205</f>
        <v>D</v>
      </c>
      <c r="E205" s="2">
        <f>Datos!I205</f>
        <v>0.6</v>
      </c>
      <c r="F205" s="2">
        <f>Datos!J205</f>
        <v>87.1</v>
      </c>
      <c r="G205" s="2">
        <f>Datos!L205</f>
        <v>60.5</v>
      </c>
      <c r="H205" s="2">
        <f>Datos!M205</f>
        <v>63.6</v>
      </c>
      <c r="I205" s="2" t="b">
        <f t="shared" si="15"/>
        <v>1</v>
      </c>
      <c r="J205" s="2">
        <f t="shared" si="16"/>
        <v>63.6</v>
      </c>
      <c r="K205" s="2">
        <f t="shared" si="17"/>
        <v>0.6</v>
      </c>
      <c r="L205" s="2">
        <f t="shared" si="18"/>
        <v>60.5</v>
      </c>
      <c r="M205" s="2">
        <f t="shared" si="19"/>
        <v>87.1</v>
      </c>
    </row>
    <row r="206" spans="1:13" x14ac:dyDescent="0.3">
      <c r="A206" s="2">
        <f>Datos!A206</f>
        <v>11</v>
      </c>
      <c r="B206" s="2" t="str">
        <f>Datos!B206</f>
        <v>Female</v>
      </c>
      <c r="C206" s="2">
        <f>Datos!C206</f>
        <v>0</v>
      </c>
      <c r="D206" s="2" t="str">
        <f>Datos!G206</f>
        <v>D</v>
      </c>
      <c r="E206" s="2">
        <f>Datos!I206</f>
        <v>5</v>
      </c>
      <c r="F206" s="2">
        <f>Datos!J206</f>
        <v>80.599999999999994</v>
      </c>
      <c r="G206" s="2">
        <f>Datos!L206</f>
        <v>40.299999999999997</v>
      </c>
      <c r="H206" s="2">
        <f>Datos!M206</f>
        <v>60.6</v>
      </c>
      <c r="I206" s="2" t="b">
        <f t="shared" si="15"/>
        <v>1</v>
      </c>
      <c r="J206" s="2">
        <f t="shared" si="16"/>
        <v>60.6</v>
      </c>
      <c r="K206" s="2">
        <f t="shared" si="17"/>
        <v>5</v>
      </c>
      <c r="L206" s="2">
        <f t="shared" si="18"/>
        <v>40.299999999999997</v>
      </c>
      <c r="M206" s="2">
        <f t="shared" si="19"/>
        <v>80.599999999999994</v>
      </c>
    </row>
    <row r="207" spans="1:13" x14ac:dyDescent="0.3">
      <c r="A207" s="2">
        <f>Datos!A207</f>
        <v>686</v>
      </c>
      <c r="B207" s="2" t="str">
        <f>Datos!B207</f>
        <v>Male</v>
      </c>
      <c r="C207" s="2" t="str">
        <f>Datos!C207</f>
        <v>PhD</v>
      </c>
      <c r="D207" s="2" t="str">
        <f>Datos!G207</f>
        <v>B</v>
      </c>
      <c r="E207" s="2">
        <f>Datos!I207</f>
        <v>4.8</v>
      </c>
      <c r="F207" s="2">
        <f>Datos!J207</f>
        <v>71.900000000000006</v>
      </c>
      <c r="G207" s="2">
        <f>Datos!L207</f>
        <v>71.7</v>
      </c>
      <c r="H207" s="2">
        <f>Datos!M207</f>
        <v>84.5</v>
      </c>
      <c r="I207" s="2" t="b">
        <f t="shared" si="15"/>
        <v>1</v>
      </c>
      <c r="J207" s="2">
        <f t="shared" si="16"/>
        <v>84.5</v>
      </c>
      <c r="K207" s="2">
        <f t="shared" si="17"/>
        <v>4.8</v>
      </c>
      <c r="L207" s="2">
        <f t="shared" si="18"/>
        <v>71.7</v>
      </c>
      <c r="M207" s="2">
        <f t="shared" si="19"/>
        <v>71.900000000000006</v>
      </c>
    </row>
    <row r="208" spans="1:13" x14ac:dyDescent="0.3">
      <c r="A208" s="2">
        <f>Datos!A208</f>
        <v>795</v>
      </c>
      <c r="B208" s="2" t="str">
        <f>Datos!B208</f>
        <v>Male</v>
      </c>
      <c r="C208" s="2" t="str">
        <f>Datos!C208</f>
        <v>PhD</v>
      </c>
      <c r="D208" s="2" t="str">
        <f>Datos!G208</f>
        <v>C</v>
      </c>
      <c r="E208" s="2">
        <f>Datos!I208</f>
        <v>3.2</v>
      </c>
      <c r="F208" s="2">
        <f>Datos!J208</f>
        <v>90.1</v>
      </c>
      <c r="G208" s="2">
        <f>Datos!L208</f>
        <v>67.7</v>
      </c>
      <c r="H208" s="2">
        <f>Datos!M208</f>
        <v>74.099999999999994</v>
      </c>
      <c r="I208" s="2" t="b">
        <f t="shared" si="15"/>
        <v>1</v>
      </c>
      <c r="J208" s="2">
        <f t="shared" si="16"/>
        <v>74.099999999999994</v>
      </c>
      <c r="K208" s="2">
        <f t="shared" si="17"/>
        <v>3.2</v>
      </c>
      <c r="L208" s="2">
        <f t="shared" si="18"/>
        <v>67.7</v>
      </c>
      <c r="M208" s="2">
        <f t="shared" si="19"/>
        <v>90.1</v>
      </c>
    </row>
    <row r="209" spans="1:13" x14ac:dyDescent="0.3">
      <c r="A209" s="2">
        <f>Datos!A209</f>
        <v>144</v>
      </c>
      <c r="B209" s="2" t="str">
        <f>Datos!B209</f>
        <v>Male</v>
      </c>
      <c r="C209" s="2" t="str">
        <f>Datos!C209</f>
        <v>Bachelors</v>
      </c>
      <c r="D209" s="2" t="str">
        <f>Datos!G209</f>
        <v>C</v>
      </c>
      <c r="E209" s="2">
        <f>Datos!I209</f>
        <v>4.8</v>
      </c>
      <c r="F209" s="2">
        <f>Datos!J209</f>
        <v>84.4</v>
      </c>
      <c r="G209" s="2">
        <f>Datos!L209</f>
        <v>45</v>
      </c>
      <c r="H209" s="2">
        <f>Datos!M209</f>
        <v>75.599999999999994</v>
      </c>
      <c r="I209" s="2" t="b">
        <f t="shared" si="15"/>
        <v>1</v>
      </c>
      <c r="J209" s="2">
        <f t="shared" si="16"/>
        <v>75.599999999999994</v>
      </c>
      <c r="K209" s="2">
        <f t="shared" si="17"/>
        <v>4.8</v>
      </c>
      <c r="L209" s="2">
        <f t="shared" si="18"/>
        <v>45</v>
      </c>
      <c r="M209" s="2">
        <f t="shared" si="19"/>
        <v>84.4</v>
      </c>
    </row>
    <row r="210" spans="1:13" x14ac:dyDescent="0.3">
      <c r="A210" s="2">
        <f>Datos!A210</f>
        <v>453</v>
      </c>
      <c r="B210" s="2" t="str">
        <f>Datos!B210</f>
        <v>Male</v>
      </c>
      <c r="C210" s="2" t="str">
        <f>Datos!C210</f>
        <v>Bachelors</v>
      </c>
      <c r="D210" s="2" t="str">
        <f>Datos!G210</f>
        <v>F</v>
      </c>
      <c r="E210" s="2">
        <f>Datos!I210</f>
        <v>1.5</v>
      </c>
      <c r="F210" s="2">
        <f>Datos!J210</f>
        <v>80.8</v>
      </c>
      <c r="G210" s="2">
        <f>Datos!L210</f>
        <v>67.400000000000006</v>
      </c>
      <c r="H210" s="2">
        <f>Datos!M210</f>
        <v>55.9</v>
      </c>
      <c r="I210" s="2" t="b">
        <f t="shared" si="15"/>
        <v>1</v>
      </c>
      <c r="J210" s="2">
        <f t="shared" si="16"/>
        <v>55.9</v>
      </c>
      <c r="K210" s="2">
        <f t="shared" si="17"/>
        <v>1.5</v>
      </c>
      <c r="L210" s="2">
        <f t="shared" si="18"/>
        <v>67.400000000000006</v>
      </c>
      <c r="M210" s="2">
        <f t="shared" si="19"/>
        <v>80.8</v>
      </c>
    </row>
    <row r="211" spans="1:13" x14ac:dyDescent="0.3">
      <c r="A211" s="2">
        <f>Datos!A211</f>
        <v>933</v>
      </c>
      <c r="B211" s="2" t="str">
        <f>Datos!B211</f>
        <v>Male</v>
      </c>
      <c r="C211" s="2">
        <f>Datos!C211</f>
        <v>0</v>
      </c>
      <c r="D211" s="2" t="str">
        <f>Datos!G211</f>
        <v>C</v>
      </c>
      <c r="E211" s="2">
        <f>Datos!I211</f>
        <v>5.0999999999999996</v>
      </c>
      <c r="F211" s="2">
        <f>Datos!J211</f>
        <v>95.8</v>
      </c>
      <c r="G211" s="2">
        <f>Datos!L211</f>
        <v>52.7</v>
      </c>
      <c r="H211" s="2">
        <f>Datos!M211</f>
        <v>74.099999999999994</v>
      </c>
      <c r="I211" s="2" t="b">
        <f t="shared" si="15"/>
        <v>1</v>
      </c>
      <c r="J211" s="2">
        <f t="shared" si="16"/>
        <v>74.099999999999994</v>
      </c>
      <c r="K211" s="2">
        <f t="shared" si="17"/>
        <v>5.0999999999999996</v>
      </c>
      <c r="L211" s="2">
        <f t="shared" si="18"/>
        <v>52.7</v>
      </c>
      <c r="M211" s="2">
        <f t="shared" si="19"/>
        <v>95.8</v>
      </c>
    </row>
    <row r="212" spans="1:13" x14ac:dyDescent="0.3">
      <c r="A212" s="2">
        <f>Datos!A212</f>
        <v>902</v>
      </c>
      <c r="B212" s="2" t="str">
        <f>Datos!B212</f>
        <v>Female</v>
      </c>
      <c r="C212" s="2" t="str">
        <f>Datos!C212</f>
        <v>Bachelors</v>
      </c>
      <c r="D212" s="2" t="str">
        <f>Datos!G212</f>
        <v>C</v>
      </c>
      <c r="E212" s="2">
        <f>Datos!I212</f>
        <v>4.5</v>
      </c>
      <c r="F212" s="2">
        <f>Datos!J212</f>
        <v>80.400000000000006</v>
      </c>
      <c r="G212" s="2">
        <f>Datos!L212</f>
        <v>50.5</v>
      </c>
      <c r="H212" s="2">
        <f>Datos!M212</f>
        <v>75.599999999999994</v>
      </c>
      <c r="I212" s="2" t="b">
        <f t="shared" si="15"/>
        <v>1</v>
      </c>
      <c r="J212" s="2">
        <f t="shared" si="16"/>
        <v>75.599999999999994</v>
      </c>
      <c r="K212" s="2">
        <f t="shared" si="17"/>
        <v>4.5</v>
      </c>
      <c r="L212" s="2">
        <f t="shared" si="18"/>
        <v>50.5</v>
      </c>
      <c r="M212" s="2">
        <f t="shared" si="19"/>
        <v>80.400000000000006</v>
      </c>
    </row>
    <row r="213" spans="1:13" x14ac:dyDescent="0.3">
      <c r="A213" s="2">
        <f>Datos!A213</f>
        <v>213</v>
      </c>
      <c r="B213" s="2" t="str">
        <f>Datos!B213</f>
        <v>Female</v>
      </c>
      <c r="C213" s="2">
        <f>Datos!C213</f>
        <v>0</v>
      </c>
      <c r="D213" s="2" t="str">
        <f>Datos!G213</f>
        <v>C</v>
      </c>
      <c r="E213" s="2">
        <f>Datos!I213</f>
        <v>6.4</v>
      </c>
      <c r="F213" s="2">
        <f>Datos!J213</f>
        <v>84.2</v>
      </c>
      <c r="G213" s="2">
        <f>Datos!L213</f>
        <v>71</v>
      </c>
      <c r="H213" s="2">
        <f>Datos!M213</f>
        <v>73</v>
      </c>
      <c r="I213" s="2" t="b">
        <f t="shared" si="15"/>
        <v>1</v>
      </c>
      <c r="J213" s="2">
        <f t="shared" si="16"/>
        <v>73</v>
      </c>
      <c r="K213" s="2">
        <f t="shared" si="17"/>
        <v>6.4</v>
      </c>
      <c r="L213" s="2">
        <f t="shared" si="18"/>
        <v>71</v>
      </c>
      <c r="M213" s="2">
        <f t="shared" si="19"/>
        <v>84.2</v>
      </c>
    </row>
    <row r="214" spans="1:13" x14ac:dyDescent="0.3">
      <c r="A214" s="2">
        <f>Datos!A214</f>
        <v>105</v>
      </c>
      <c r="B214" s="2" t="str">
        <f>Datos!B214</f>
        <v>Female</v>
      </c>
      <c r="C214" s="2">
        <f>Datos!C214</f>
        <v>0</v>
      </c>
      <c r="D214" s="2" t="str">
        <f>Datos!G214</f>
        <v>C</v>
      </c>
      <c r="E214" s="2">
        <f>Datos!I214</f>
        <v>2.2000000000000002</v>
      </c>
      <c r="F214" s="2">
        <f>Datos!J214</f>
        <v>94.6</v>
      </c>
      <c r="G214" s="2">
        <f>Datos!L214</f>
        <v>77.599999999999994</v>
      </c>
      <c r="H214" s="2">
        <f>Datos!M214</f>
        <v>77.5</v>
      </c>
      <c r="I214" s="2" t="b">
        <f t="shared" si="15"/>
        <v>1</v>
      </c>
      <c r="J214" s="2">
        <f t="shared" si="16"/>
        <v>77.5</v>
      </c>
      <c r="K214" s="2">
        <f t="shared" si="17"/>
        <v>2.2000000000000002</v>
      </c>
      <c r="L214" s="2">
        <f t="shared" si="18"/>
        <v>77.599999999999994</v>
      </c>
      <c r="M214" s="2">
        <f t="shared" si="19"/>
        <v>94.6</v>
      </c>
    </row>
    <row r="215" spans="1:13" x14ac:dyDescent="0.3">
      <c r="A215" s="2">
        <f>Datos!A215</f>
        <v>300</v>
      </c>
      <c r="B215" s="2" t="str">
        <f>Datos!B215</f>
        <v>Male</v>
      </c>
      <c r="C215" s="2" t="str">
        <f>Datos!C215</f>
        <v>PhD</v>
      </c>
      <c r="D215" s="2" t="str">
        <f>Datos!G215</f>
        <v>D</v>
      </c>
      <c r="E215" s="2">
        <f>Datos!I215</f>
        <v>1.6</v>
      </c>
      <c r="F215" s="2">
        <f>Datos!J215</f>
        <v>93.7</v>
      </c>
      <c r="G215" s="2">
        <f>Datos!L215</f>
        <v>67</v>
      </c>
      <c r="H215" s="2">
        <f>Datos!M215</f>
        <v>61.9</v>
      </c>
      <c r="I215" s="2" t="b">
        <f t="shared" si="15"/>
        <v>1</v>
      </c>
      <c r="J215" s="2">
        <f t="shared" si="16"/>
        <v>61.9</v>
      </c>
      <c r="K215" s="2">
        <f t="shared" si="17"/>
        <v>1.6</v>
      </c>
      <c r="L215" s="2">
        <f t="shared" si="18"/>
        <v>67</v>
      </c>
      <c r="M215" s="2">
        <f t="shared" si="19"/>
        <v>93.7</v>
      </c>
    </row>
    <row r="216" spans="1:13" x14ac:dyDescent="0.3">
      <c r="A216" s="2">
        <f>Datos!A216</f>
        <v>406</v>
      </c>
      <c r="B216" s="2" t="str">
        <f>Datos!B216</f>
        <v>Female</v>
      </c>
      <c r="C216" s="2" t="str">
        <f>Datos!C216</f>
        <v>High School</v>
      </c>
      <c r="D216" s="2" t="str">
        <f>Datos!G216</f>
        <v>F</v>
      </c>
      <c r="E216" s="2">
        <f>Datos!I216</f>
        <v>2.6</v>
      </c>
      <c r="F216" s="2">
        <f>Datos!J216</f>
        <v>67.900000000000006</v>
      </c>
      <c r="G216" s="2">
        <f>Datos!L216</f>
        <v>47.8</v>
      </c>
      <c r="H216" s="2">
        <f>Datos!M216</f>
        <v>57</v>
      </c>
      <c r="I216" s="2" t="b">
        <f t="shared" si="15"/>
        <v>1</v>
      </c>
      <c r="J216" s="2">
        <f t="shared" si="16"/>
        <v>57</v>
      </c>
      <c r="K216" s="2">
        <f t="shared" si="17"/>
        <v>2.6</v>
      </c>
      <c r="L216" s="2">
        <f t="shared" si="18"/>
        <v>47.8</v>
      </c>
      <c r="M216" s="2">
        <f t="shared" si="19"/>
        <v>67.900000000000006</v>
      </c>
    </row>
    <row r="217" spans="1:13" x14ac:dyDescent="0.3">
      <c r="A217" s="2">
        <f>Datos!A217</f>
        <v>85</v>
      </c>
      <c r="B217" s="2" t="str">
        <f>Datos!B217</f>
        <v>Male</v>
      </c>
      <c r="C217" s="2" t="str">
        <f>Datos!C217</f>
        <v>Bachelors</v>
      </c>
      <c r="D217" s="2" t="str">
        <f>Datos!G217</f>
        <v>C</v>
      </c>
      <c r="E217" s="2">
        <f>Datos!I217</f>
        <v>5.0999999999999996</v>
      </c>
      <c r="F217" s="2">
        <f>Datos!J217</f>
        <v>70.3</v>
      </c>
      <c r="G217" s="2">
        <f>Datos!L217</f>
        <v>67</v>
      </c>
      <c r="H217" s="2">
        <f>Datos!M217</f>
        <v>70</v>
      </c>
      <c r="I217" s="2" t="b">
        <f t="shared" si="15"/>
        <v>1</v>
      </c>
      <c r="J217" s="2">
        <f t="shared" si="16"/>
        <v>70</v>
      </c>
      <c r="K217" s="2">
        <f t="shared" si="17"/>
        <v>5.0999999999999996</v>
      </c>
      <c r="L217" s="2">
        <f t="shared" si="18"/>
        <v>67</v>
      </c>
      <c r="M217" s="2">
        <f t="shared" si="19"/>
        <v>70.3</v>
      </c>
    </row>
    <row r="218" spans="1:13" x14ac:dyDescent="0.3">
      <c r="A218" s="2">
        <f>Datos!A218</f>
        <v>394</v>
      </c>
      <c r="B218" s="2" t="str">
        <f>Datos!B218</f>
        <v>Male</v>
      </c>
      <c r="C218" s="2" t="str">
        <f>Datos!C218</f>
        <v>High School</v>
      </c>
      <c r="D218" s="2" t="str">
        <f>Datos!G218</f>
        <v>B</v>
      </c>
      <c r="E218" s="2">
        <f>Datos!I218</f>
        <v>2.6</v>
      </c>
      <c r="F218" s="2">
        <f>Datos!J218</f>
        <v>81.5</v>
      </c>
      <c r="G218" s="2">
        <f>Datos!L218</f>
        <v>86.8</v>
      </c>
      <c r="H218" s="2">
        <f>Datos!M218</f>
        <v>80.900000000000006</v>
      </c>
      <c r="I218" s="2" t="b">
        <f t="shared" si="15"/>
        <v>1</v>
      </c>
      <c r="J218" s="2">
        <f t="shared" si="16"/>
        <v>80.900000000000006</v>
      </c>
      <c r="K218" s="2">
        <f t="shared" si="17"/>
        <v>2.6</v>
      </c>
      <c r="L218" s="2">
        <f t="shared" si="18"/>
        <v>86.8</v>
      </c>
      <c r="M218" s="2">
        <f t="shared" si="19"/>
        <v>81.5</v>
      </c>
    </row>
    <row r="219" spans="1:13" x14ac:dyDescent="0.3">
      <c r="A219" s="2">
        <f>Datos!A219</f>
        <v>449</v>
      </c>
      <c r="B219" s="2" t="str">
        <f>Datos!B219</f>
        <v>Female</v>
      </c>
      <c r="C219" s="2" t="str">
        <f>Datos!C219</f>
        <v>Masters</v>
      </c>
      <c r="D219" s="2" t="str">
        <f>Datos!G219</f>
        <v>F</v>
      </c>
      <c r="E219" s="2">
        <f>Datos!I219</f>
        <v>1.4</v>
      </c>
      <c r="F219" s="2">
        <f>Datos!J219</f>
        <v>97.4</v>
      </c>
      <c r="G219" s="2">
        <f>Datos!L219</f>
        <v>57</v>
      </c>
      <c r="H219" s="2">
        <f>Datos!M219</f>
        <v>51.4</v>
      </c>
      <c r="I219" s="2" t="b">
        <f t="shared" si="15"/>
        <v>1</v>
      </c>
      <c r="J219" s="2">
        <f t="shared" si="16"/>
        <v>51.4</v>
      </c>
      <c r="K219" s="2">
        <f t="shared" si="17"/>
        <v>1.4</v>
      </c>
      <c r="L219" s="2">
        <f t="shared" si="18"/>
        <v>57</v>
      </c>
      <c r="M219" s="2">
        <f t="shared" si="19"/>
        <v>97.4</v>
      </c>
    </row>
    <row r="220" spans="1:13" x14ac:dyDescent="0.3">
      <c r="A220" s="2">
        <f>Datos!A220</f>
        <v>201</v>
      </c>
      <c r="B220" s="2" t="str">
        <f>Datos!B220</f>
        <v>Male</v>
      </c>
      <c r="C220" s="2" t="str">
        <f>Datos!C220</f>
        <v>Masters</v>
      </c>
      <c r="D220" s="2" t="str">
        <f>Datos!G220</f>
        <v>D</v>
      </c>
      <c r="E220" s="2">
        <f>Datos!I220</f>
        <v>4.9000000000000004</v>
      </c>
      <c r="F220" s="2">
        <f>Datos!J220</f>
        <v>88.9</v>
      </c>
      <c r="G220" s="2">
        <f>Datos!L220</f>
        <v>48.3</v>
      </c>
      <c r="H220" s="2">
        <f>Datos!M220</f>
        <v>64.5</v>
      </c>
      <c r="I220" s="2" t="b">
        <f t="shared" si="15"/>
        <v>1</v>
      </c>
      <c r="J220" s="2">
        <f t="shared" si="16"/>
        <v>64.5</v>
      </c>
      <c r="K220" s="2">
        <f t="shared" si="17"/>
        <v>4.9000000000000004</v>
      </c>
      <c r="L220" s="2">
        <f t="shared" si="18"/>
        <v>48.3</v>
      </c>
      <c r="M220" s="2">
        <f t="shared" si="19"/>
        <v>88.9</v>
      </c>
    </row>
    <row r="221" spans="1:13" x14ac:dyDescent="0.3">
      <c r="A221" s="2">
        <f>Datos!A221</f>
        <v>471</v>
      </c>
      <c r="B221" s="2" t="str">
        <f>Datos!B221</f>
        <v>Female</v>
      </c>
      <c r="C221" s="2" t="str">
        <f>Datos!C221</f>
        <v>Masters</v>
      </c>
      <c r="D221" s="2" t="str">
        <f>Datos!G221</f>
        <v>B</v>
      </c>
      <c r="E221" s="2">
        <f>Datos!I221</f>
        <v>5.6</v>
      </c>
      <c r="F221" s="2">
        <f>Datos!J221</f>
        <v>94</v>
      </c>
      <c r="G221" s="2">
        <f>Datos!L221</f>
        <v>86.3</v>
      </c>
      <c r="H221" s="2">
        <f>Datos!M221</f>
        <v>89.3</v>
      </c>
      <c r="I221" s="2" t="b">
        <f t="shared" si="15"/>
        <v>1</v>
      </c>
      <c r="J221" s="2">
        <f t="shared" si="16"/>
        <v>89.3</v>
      </c>
      <c r="K221" s="2">
        <f t="shared" si="17"/>
        <v>5.6</v>
      </c>
      <c r="L221" s="2">
        <f t="shared" si="18"/>
        <v>86.3</v>
      </c>
      <c r="M221" s="2">
        <f t="shared" si="19"/>
        <v>94</v>
      </c>
    </row>
    <row r="222" spans="1:13" x14ac:dyDescent="0.3">
      <c r="A222" s="2">
        <f>Datos!A222</f>
        <v>52</v>
      </c>
      <c r="B222" s="2" t="str">
        <f>Datos!B222</f>
        <v>Male</v>
      </c>
      <c r="C222" s="2">
        <f>Datos!C222</f>
        <v>0</v>
      </c>
      <c r="D222" s="2" t="str">
        <f>Datos!G222</f>
        <v>C</v>
      </c>
      <c r="E222" s="2">
        <f>Datos!I222</f>
        <v>6.6</v>
      </c>
      <c r="F222" s="2">
        <f>Datos!J222</f>
        <v>75.5</v>
      </c>
      <c r="G222" s="2">
        <f>Datos!L222</f>
        <v>43.9</v>
      </c>
      <c r="H222" s="2">
        <f>Datos!M222</f>
        <v>77</v>
      </c>
      <c r="I222" s="2" t="b">
        <f t="shared" si="15"/>
        <v>1</v>
      </c>
      <c r="J222" s="2">
        <f t="shared" si="16"/>
        <v>77</v>
      </c>
      <c r="K222" s="2">
        <f t="shared" si="17"/>
        <v>6.6</v>
      </c>
      <c r="L222" s="2">
        <f t="shared" si="18"/>
        <v>43.9</v>
      </c>
      <c r="M222" s="2">
        <f t="shared" si="19"/>
        <v>75.5</v>
      </c>
    </row>
    <row r="223" spans="1:13" x14ac:dyDescent="0.3">
      <c r="A223" s="2">
        <f>Datos!A223</f>
        <v>140</v>
      </c>
      <c r="B223" s="2" t="str">
        <f>Datos!B223</f>
        <v>Male</v>
      </c>
      <c r="C223" s="2">
        <f>Datos!C223</f>
        <v>0</v>
      </c>
      <c r="D223" s="2" t="str">
        <f>Datos!G223</f>
        <v>A</v>
      </c>
      <c r="E223" s="2">
        <f>Datos!I223</f>
        <v>6</v>
      </c>
      <c r="F223" s="2">
        <f>Datos!J223</f>
        <v>91.4</v>
      </c>
      <c r="G223" s="2">
        <f>Datos!L223</f>
        <v>59.1</v>
      </c>
      <c r="H223" s="2">
        <f>Datos!M223</f>
        <v>91.1</v>
      </c>
      <c r="I223" s="2" t="b">
        <f t="shared" si="15"/>
        <v>1</v>
      </c>
      <c r="J223" s="2">
        <f t="shared" si="16"/>
        <v>91.1</v>
      </c>
      <c r="K223" s="2">
        <f t="shared" si="17"/>
        <v>6</v>
      </c>
      <c r="L223" s="2">
        <f t="shared" si="18"/>
        <v>59.1</v>
      </c>
      <c r="M223" s="2">
        <f t="shared" si="19"/>
        <v>91.4</v>
      </c>
    </row>
    <row r="224" spans="1:13" x14ac:dyDescent="0.3">
      <c r="A224" s="2">
        <f>Datos!A224</f>
        <v>903</v>
      </c>
      <c r="B224" s="2" t="str">
        <f>Datos!B224</f>
        <v>Male</v>
      </c>
      <c r="C224" s="2" t="str">
        <f>Datos!C224</f>
        <v>Bachelors</v>
      </c>
      <c r="D224" s="2" t="str">
        <f>Datos!G224</f>
        <v>F</v>
      </c>
      <c r="E224" s="2">
        <f>Datos!I224</f>
        <v>0.8</v>
      </c>
      <c r="F224" s="2">
        <f>Datos!J224</f>
        <v>91.9</v>
      </c>
      <c r="G224" s="2">
        <f>Datos!L224</f>
        <v>55.3</v>
      </c>
      <c r="H224" s="2">
        <f>Datos!M224</f>
        <v>48.6</v>
      </c>
      <c r="I224" s="2" t="b">
        <f t="shared" si="15"/>
        <v>1</v>
      </c>
      <c r="J224" s="2">
        <f t="shared" si="16"/>
        <v>48.6</v>
      </c>
      <c r="K224" s="2">
        <f t="shared" si="17"/>
        <v>0.8</v>
      </c>
      <c r="L224" s="2">
        <f t="shared" si="18"/>
        <v>55.3</v>
      </c>
      <c r="M224" s="2">
        <f t="shared" si="19"/>
        <v>91.9</v>
      </c>
    </row>
    <row r="225" spans="1:13" x14ac:dyDescent="0.3">
      <c r="A225" s="2">
        <f>Datos!A225</f>
        <v>129</v>
      </c>
      <c r="B225" s="2" t="str">
        <f>Datos!B225</f>
        <v>Male</v>
      </c>
      <c r="C225" s="2">
        <f>Datos!C225</f>
        <v>0</v>
      </c>
      <c r="D225" s="2" t="str">
        <f>Datos!G225</f>
        <v>D</v>
      </c>
      <c r="E225" s="2">
        <f>Datos!I225</f>
        <v>0.8</v>
      </c>
      <c r="F225" s="2">
        <f>Datos!J225</f>
        <v>65</v>
      </c>
      <c r="G225" s="2">
        <f>Datos!L225</f>
        <v>84.4</v>
      </c>
      <c r="H225" s="2">
        <f>Datos!M225</f>
        <v>61.2</v>
      </c>
      <c r="I225" s="2" t="b">
        <f t="shared" si="15"/>
        <v>1</v>
      </c>
      <c r="J225" s="2">
        <f t="shared" si="16"/>
        <v>61.2</v>
      </c>
      <c r="K225" s="2">
        <f t="shared" si="17"/>
        <v>0.8</v>
      </c>
      <c r="L225" s="2">
        <f t="shared" si="18"/>
        <v>84.4</v>
      </c>
      <c r="M225" s="2">
        <f t="shared" si="19"/>
        <v>65</v>
      </c>
    </row>
    <row r="226" spans="1:13" x14ac:dyDescent="0.3">
      <c r="A226" s="2">
        <f>Datos!A226</f>
        <v>855</v>
      </c>
      <c r="B226" s="2" t="str">
        <f>Datos!B226</f>
        <v>Male</v>
      </c>
      <c r="C226" s="2" t="str">
        <f>Datos!C226</f>
        <v>Bachelors</v>
      </c>
      <c r="D226" s="2" t="str">
        <f>Datos!G226</f>
        <v>C</v>
      </c>
      <c r="E226" s="2">
        <f>Datos!I226</f>
        <v>3.8</v>
      </c>
      <c r="F226" s="2">
        <f>Datos!J226</f>
        <v>71.3</v>
      </c>
      <c r="G226" s="2">
        <f>Datos!L226</f>
        <v>81.8</v>
      </c>
      <c r="H226" s="2">
        <f>Datos!M226</f>
        <v>73</v>
      </c>
      <c r="I226" s="2" t="b">
        <f t="shared" si="15"/>
        <v>1</v>
      </c>
      <c r="J226" s="2">
        <f t="shared" si="16"/>
        <v>73</v>
      </c>
      <c r="K226" s="2">
        <f t="shared" si="17"/>
        <v>3.8</v>
      </c>
      <c r="L226" s="2">
        <f t="shared" si="18"/>
        <v>81.8</v>
      </c>
      <c r="M226" s="2">
        <f t="shared" si="19"/>
        <v>71.3</v>
      </c>
    </row>
    <row r="227" spans="1:13" x14ac:dyDescent="0.3">
      <c r="A227" s="2">
        <f>Datos!A227</f>
        <v>383</v>
      </c>
      <c r="B227" s="2" t="str">
        <f>Datos!B227</f>
        <v>Male</v>
      </c>
      <c r="C227" s="2" t="str">
        <f>Datos!C227</f>
        <v>PhD</v>
      </c>
      <c r="D227" s="2" t="str">
        <f>Datos!G227</f>
        <v>C</v>
      </c>
      <c r="E227" s="2">
        <f>Datos!I227</f>
        <v>2.7</v>
      </c>
      <c r="F227" s="2">
        <f>Datos!J227</f>
        <v>88.8</v>
      </c>
      <c r="G227" s="2">
        <f>Datos!L227</f>
        <v>68.599999999999994</v>
      </c>
      <c r="H227" s="2">
        <f>Datos!M227</f>
        <v>73.900000000000006</v>
      </c>
      <c r="I227" s="2" t="b">
        <f t="shared" si="15"/>
        <v>1</v>
      </c>
      <c r="J227" s="2">
        <f t="shared" si="16"/>
        <v>73.900000000000006</v>
      </c>
      <c r="K227" s="2">
        <f t="shared" si="17"/>
        <v>2.7</v>
      </c>
      <c r="L227" s="2">
        <f t="shared" si="18"/>
        <v>68.599999999999994</v>
      </c>
      <c r="M227" s="2">
        <f t="shared" si="19"/>
        <v>88.8</v>
      </c>
    </row>
    <row r="228" spans="1:13" x14ac:dyDescent="0.3">
      <c r="A228" s="2">
        <f>Datos!A228</f>
        <v>462</v>
      </c>
      <c r="B228" s="2" t="str">
        <f>Datos!B228</f>
        <v>Female</v>
      </c>
      <c r="C228" s="2" t="str">
        <f>Datos!C228</f>
        <v>Bachelors</v>
      </c>
      <c r="D228" s="2" t="str">
        <f>Datos!G228</f>
        <v>F</v>
      </c>
      <c r="E228" s="2">
        <f>Datos!I228</f>
        <v>1.8</v>
      </c>
      <c r="F228" s="2">
        <f>Datos!J228</f>
        <v>83.3</v>
      </c>
      <c r="G228" s="2">
        <f>Datos!L228</f>
        <v>49.9</v>
      </c>
      <c r="H228" s="2">
        <f>Datos!M228</f>
        <v>55.9</v>
      </c>
      <c r="I228" s="2" t="b">
        <f t="shared" si="15"/>
        <v>1</v>
      </c>
      <c r="J228" s="2">
        <f t="shared" si="16"/>
        <v>55.9</v>
      </c>
      <c r="K228" s="2">
        <f t="shared" si="17"/>
        <v>1.8</v>
      </c>
      <c r="L228" s="2">
        <f t="shared" si="18"/>
        <v>49.9</v>
      </c>
      <c r="M228" s="2">
        <f t="shared" si="19"/>
        <v>83.3</v>
      </c>
    </row>
    <row r="229" spans="1:13" x14ac:dyDescent="0.3">
      <c r="A229" s="2">
        <f>Datos!A229</f>
        <v>517</v>
      </c>
      <c r="B229" s="2" t="str">
        <f>Datos!B229</f>
        <v>Female</v>
      </c>
      <c r="C229" s="2" t="str">
        <f>Datos!C229</f>
        <v>PhD</v>
      </c>
      <c r="D229" s="2" t="str">
        <f>Datos!G229</f>
        <v>A</v>
      </c>
      <c r="E229" s="2">
        <f>Datos!I229</f>
        <v>6.2</v>
      </c>
      <c r="F229" s="2">
        <f>Datos!J229</f>
        <v>68.8</v>
      </c>
      <c r="G229" s="2">
        <f>Datos!L229</f>
        <v>62.3</v>
      </c>
      <c r="H229" s="2">
        <f>Datos!M229</f>
        <v>90.4</v>
      </c>
      <c r="I229" s="2" t="b">
        <f t="shared" si="15"/>
        <v>1</v>
      </c>
      <c r="J229" s="2">
        <f t="shared" si="16"/>
        <v>90.4</v>
      </c>
      <c r="K229" s="2">
        <f t="shared" si="17"/>
        <v>6.2</v>
      </c>
      <c r="L229" s="2">
        <f t="shared" si="18"/>
        <v>62.3</v>
      </c>
      <c r="M229" s="2">
        <f t="shared" si="19"/>
        <v>68.8</v>
      </c>
    </row>
    <row r="230" spans="1:13" x14ac:dyDescent="0.3">
      <c r="A230" s="2">
        <f>Datos!A230</f>
        <v>12</v>
      </c>
      <c r="B230" s="2" t="str">
        <f>Datos!B230</f>
        <v>Male</v>
      </c>
      <c r="C230" s="2" t="str">
        <f>Datos!C230</f>
        <v>PhD</v>
      </c>
      <c r="D230" s="2" t="str">
        <f>Datos!G230</f>
        <v>B</v>
      </c>
      <c r="E230" s="2">
        <f>Datos!I230</f>
        <v>6.4</v>
      </c>
      <c r="F230" s="2">
        <f>Datos!J230</f>
        <v>89.5</v>
      </c>
      <c r="G230" s="2">
        <f>Datos!L230</f>
        <v>62</v>
      </c>
      <c r="H230" s="2">
        <f>Datos!M230</f>
        <v>82.2</v>
      </c>
      <c r="I230" s="2" t="b">
        <f t="shared" si="15"/>
        <v>1</v>
      </c>
      <c r="J230" s="2">
        <f t="shared" si="16"/>
        <v>82.2</v>
      </c>
      <c r="K230" s="2">
        <f t="shared" si="17"/>
        <v>6.4</v>
      </c>
      <c r="L230" s="2">
        <f t="shared" si="18"/>
        <v>62</v>
      </c>
      <c r="M230" s="2">
        <f t="shared" si="19"/>
        <v>89.5</v>
      </c>
    </row>
    <row r="231" spans="1:13" x14ac:dyDescent="0.3">
      <c r="A231" s="2">
        <f>Datos!A231</f>
        <v>604</v>
      </c>
      <c r="B231" s="2" t="str">
        <f>Datos!B231</f>
        <v>Female</v>
      </c>
      <c r="C231" s="2" t="str">
        <f>Datos!C231</f>
        <v>Bachelors</v>
      </c>
      <c r="D231" s="2" t="str">
        <f>Datos!G231</f>
        <v>D</v>
      </c>
      <c r="E231" s="2">
        <f>Datos!I231</f>
        <v>1.3</v>
      </c>
      <c r="F231" s="2">
        <f>Datos!J231</f>
        <v>93.4</v>
      </c>
      <c r="G231" s="2">
        <f>Datos!L231</f>
        <v>84.6</v>
      </c>
      <c r="H231" s="2">
        <f>Datos!M231</f>
        <v>65.900000000000006</v>
      </c>
      <c r="I231" s="2" t="b">
        <f t="shared" si="15"/>
        <v>1</v>
      </c>
      <c r="J231" s="2">
        <f t="shared" si="16"/>
        <v>65.900000000000006</v>
      </c>
      <c r="K231" s="2">
        <f t="shared" si="17"/>
        <v>1.3</v>
      </c>
      <c r="L231" s="2">
        <f t="shared" si="18"/>
        <v>84.6</v>
      </c>
      <c r="M231" s="2">
        <f t="shared" si="19"/>
        <v>93.4</v>
      </c>
    </row>
    <row r="232" spans="1:13" x14ac:dyDescent="0.3">
      <c r="A232" s="2">
        <f>Datos!A232</f>
        <v>168</v>
      </c>
      <c r="B232" s="2" t="str">
        <f>Datos!B232</f>
        <v>Male</v>
      </c>
      <c r="C232" s="2" t="str">
        <f>Datos!C232</f>
        <v>High School</v>
      </c>
      <c r="D232" s="2" t="str">
        <f>Datos!G232</f>
        <v>C</v>
      </c>
      <c r="E232" s="2">
        <f>Datos!I232</f>
        <v>3.5</v>
      </c>
      <c r="F232" s="2">
        <f>Datos!J232</f>
        <v>72.5</v>
      </c>
      <c r="G232" s="2">
        <f>Datos!L232</f>
        <v>79.8</v>
      </c>
      <c r="H232" s="2">
        <f>Datos!M232</f>
        <v>76.099999999999994</v>
      </c>
      <c r="I232" s="2" t="b">
        <f t="shared" si="15"/>
        <v>1</v>
      </c>
      <c r="J232" s="2">
        <f t="shared" si="16"/>
        <v>76.099999999999994</v>
      </c>
      <c r="K232" s="2">
        <f t="shared" si="17"/>
        <v>3.5</v>
      </c>
      <c r="L232" s="2">
        <f t="shared" si="18"/>
        <v>79.8</v>
      </c>
      <c r="M232" s="2">
        <f t="shared" si="19"/>
        <v>72.5</v>
      </c>
    </row>
    <row r="233" spans="1:13" x14ac:dyDescent="0.3">
      <c r="A233" s="2">
        <f>Datos!A233</f>
        <v>880</v>
      </c>
      <c r="B233" s="2" t="str">
        <f>Datos!B233</f>
        <v>Male</v>
      </c>
      <c r="C233" s="2" t="str">
        <f>Datos!C233</f>
        <v>Masters</v>
      </c>
      <c r="D233" s="2" t="str">
        <f>Datos!G233</f>
        <v>D</v>
      </c>
      <c r="E233" s="2">
        <f>Datos!I233</f>
        <v>2.4</v>
      </c>
      <c r="F233" s="2">
        <f>Datos!J233</f>
        <v>84.5</v>
      </c>
      <c r="G233" s="2">
        <f>Datos!L233</f>
        <v>47.9</v>
      </c>
      <c r="H233" s="2">
        <f>Datos!M233</f>
        <v>61.2</v>
      </c>
      <c r="I233" s="2" t="b">
        <f t="shared" si="15"/>
        <v>1</v>
      </c>
      <c r="J233" s="2">
        <f t="shared" si="16"/>
        <v>61.2</v>
      </c>
      <c r="K233" s="2">
        <f t="shared" si="17"/>
        <v>2.4</v>
      </c>
      <c r="L233" s="2">
        <f t="shared" si="18"/>
        <v>47.9</v>
      </c>
      <c r="M233" s="2">
        <f t="shared" si="19"/>
        <v>84.5</v>
      </c>
    </row>
    <row r="234" spans="1:13" x14ac:dyDescent="0.3">
      <c r="A234" s="2">
        <f>Datos!A234</f>
        <v>61</v>
      </c>
      <c r="B234" s="2" t="str">
        <f>Datos!B234</f>
        <v>Male</v>
      </c>
      <c r="C234" s="2">
        <f>Datos!C234</f>
        <v>0</v>
      </c>
      <c r="D234" s="2" t="str">
        <f>Datos!G234</f>
        <v>A</v>
      </c>
      <c r="E234" s="2">
        <f>Datos!I234</f>
        <v>6.9</v>
      </c>
      <c r="F234" s="2">
        <f>Datos!J234</f>
        <v>70</v>
      </c>
      <c r="G234" s="2">
        <f>Datos!L234</f>
        <v>61</v>
      </c>
      <c r="H234" s="2">
        <f>Datos!M234</f>
        <v>91.7</v>
      </c>
      <c r="I234" s="2" t="b">
        <f t="shared" si="15"/>
        <v>1</v>
      </c>
      <c r="J234" s="2">
        <f t="shared" si="16"/>
        <v>91.7</v>
      </c>
      <c r="K234" s="2">
        <f t="shared" si="17"/>
        <v>6.9</v>
      </c>
      <c r="L234" s="2">
        <f t="shared" si="18"/>
        <v>61</v>
      </c>
      <c r="M234" s="2">
        <f t="shared" si="19"/>
        <v>70</v>
      </c>
    </row>
    <row r="235" spans="1:13" x14ac:dyDescent="0.3">
      <c r="A235" s="2">
        <f>Datos!A235</f>
        <v>713</v>
      </c>
      <c r="B235" s="2" t="str">
        <f>Datos!B235</f>
        <v>Female</v>
      </c>
      <c r="C235" s="2" t="str">
        <f>Datos!C235</f>
        <v>Bachelors</v>
      </c>
      <c r="D235" s="2" t="str">
        <f>Datos!G235</f>
        <v>F</v>
      </c>
      <c r="E235" s="2">
        <f>Datos!I235</f>
        <v>1.2</v>
      </c>
      <c r="F235" s="2">
        <f>Datos!J235</f>
        <v>78.8</v>
      </c>
      <c r="G235" s="2">
        <f>Datos!L235</f>
        <v>41.5</v>
      </c>
      <c r="H235" s="2">
        <f>Datos!M235</f>
        <v>55.4</v>
      </c>
      <c r="I235" s="2" t="b">
        <f t="shared" si="15"/>
        <v>1</v>
      </c>
      <c r="J235" s="2">
        <f t="shared" si="16"/>
        <v>55.4</v>
      </c>
      <c r="K235" s="2">
        <f t="shared" si="17"/>
        <v>1.2</v>
      </c>
      <c r="L235" s="2">
        <f t="shared" si="18"/>
        <v>41.5</v>
      </c>
      <c r="M235" s="2">
        <f t="shared" si="19"/>
        <v>78.8</v>
      </c>
    </row>
    <row r="236" spans="1:13" x14ac:dyDescent="0.3">
      <c r="A236" s="2">
        <f>Datos!A236</f>
        <v>837</v>
      </c>
      <c r="B236" s="2" t="str">
        <f>Datos!B236</f>
        <v>Male</v>
      </c>
      <c r="C236" s="2" t="str">
        <f>Datos!C236</f>
        <v>Masters</v>
      </c>
      <c r="D236" s="2" t="str">
        <f>Datos!G236</f>
        <v>C</v>
      </c>
      <c r="E236" s="2">
        <f>Datos!I236</f>
        <v>6.8</v>
      </c>
      <c r="F236" s="2">
        <f>Datos!J236</f>
        <v>84.3</v>
      </c>
      <c r="G236" s="2">
        <f>Datos!L236</f>
        <v>35.4</v>
      </c>
      <c r="H236" s="2">
        <f>Datos!M236</f>
        <v>75.5</v>
      </c>
      <c r="I236" s="2" t="b">
        <f t="shared" si="15"/>
        <v>1</v>
      </c>
      <c r="J236" s="2">
        <f t="shared" si="16"/>
        <v>75.5</v>
      </c>
      <c r="K236" s="2">
        <f t="shared" si="17"/>
        <v>6.8</v>
      </c>
      <c r="L236" s="2">
        <f t="shared" si="18"/>
        <v>35.4</v>
      </c>
      <c r="M236" s="2">
        <f t="shared" si="19"/>
        <v>84.3</v>
      </c>
    </row>
    <row r="237" spans="1:13" x14ac:dyDescent="0.3">
      <c r="A237" s="2">
        <f>Datos!A237</f>
        <v>10</v>
      </c>
      <c r="B237" s="2" t="str">
        <f>Datos!B237</f>
        <v>Male</v>
      </c>
      <c r="C237" s="2" t="str">
        <f>Datos!C237</f>
        <v>Bachelors</v>
      </c>
      <c r="D237" s="2" t="str">
        <f>Datos!G237</f>
        <v>D</v>
      </c>
      <c r="E237" s="2">
        <f>Datos!I237</f>
        <v>5.8</v>
      </c>
      <c r="F237" s="2">
        <f>Datos!J237</f>
        <v>70.8</v>
      </c>
      <c r="G237" s="2">
        <f>Datos!L237</f>
        <v>44.7</v>
      </c>
      <c r="H237" s="2">
        <f>Datos!M237</f>
        <v>67.7</v>
      </c>
      <c r="I237" s="2" t="b">
        <f t="shared" si="15"/>
        <v>1</v>
      </c>
      <c r="J237" s="2">
        <f t="shared" si="16"/>
        <v>67.7</v>
      </c>
      <c r="K237" s="2">
        <f t="shared" si="17"/>
        <v>5.8</v>
      </c>
      <c r="L237" s="2">
        <f t="shared" si="18"/>
        <v>44.7</v>
      </c>
      <c r="M237" s="2">
        <f t="shared" si="19"/>
        <v>70.8</v>
      </c>
    </row>
    <row r="238" spans="1:13" x14ac:dyDescent="0.3">
      <c r="A238" s="2">
        <f>Datos!A238</f>
        <v>674</v>
      </c>
      <c r="B238" s="2" t="str">
        <f>Datos!B238</f>
        <v>Male</v>
      </c>
      <c r="C238" s="2">
        <f>Datos!C238</f>
        <v>0</v>
      </c>
      <c r="D238" s="2" t="str">
        <f>Datos!G238</f>
        <v>C</v>
      </c>
      <c r="E238" s="2">
        <f>Datos!I238</f>
        <v>5.8</v>
      </c>
      <c r="F238" s="2">
        <f>Datos!J238</f>
        <v>83.3</v>
      </c>
      <c r="G238" s="2">
        <f>Datos!L238</f>
        <v>46.5</v>
      </c>
      <c r="H238" s="2">
        <f>Datos!M238</f>
        <v>78.900000000000006</v>
      </c>
      <c r="I238" s="2" t="b">
        <f t="shared" si="15"/>
        <v>1</v>
      </c>
      <c r="J238" s="2">
        <f t="shared" si="16"/>
        <v>78.900000000000006</v>
      </c>
      <c r="K238" s="2">
        <f t="shared" si="17"/>
        <v>5.8</v>
      </c>
      <c r="L238" s="2">
        <f t="shared" si="18"/>
        <v>46.5</v>
      </c>
      <c r="M238" s="2">
        <f t="shared" si="19"/>
        <v>83.3</v>
      </c>
    </row>
    <row r="239" spans="1:13" x14ac:dyDescent="0.3">
      <c r="A239" s="2">
        <f>Datos!A239</f>
        <v>364</v>
      </c>
      <c r="B239" s="2" t="str">
        <f>Datos!B239</f>
        <v>Female</v>
      </c>
      <c r="C239" s="2" t="str">
        <f>Datos!C239</f>
        <v>Masters</v>
      </c>
      <c r="D239" s="2" t="str">
        <f>Datos!G239</f>
        <v>B</v>
      </c>
      <c r="E239" s="2">
        <f>Datos!I239</f>
        <v>5.0999999999999996</v>
      </c>
      <c r="F239" s="2">
        <f>Datos!J239</f>
        <v>93.7</v>
      </c>
      <c r="G239" s="2">
        <f>Datos!L239</f>
        <v>74.900000000000006</v>
      </c>
      <c r="H239" s="2">
        <f>Datos!M239</f>
        <v>88.3</v>
      </c>
      <c r="I239" s="2" t="b">
        <f t="shared" si="15"/>
        <v>1</v>
      </c>
      <c r="J239" s="2">
        <f t="shared" si="16"/>
        <v>88.3</v>
      </c>
      <c r="K239" s="2">
        <f t="shared" si="17"/>
        <v>5.0999999999999996</v>
      </c>
      <c r="L239" s="2">
        <f t="shared" si="18"/>
        <v>74.900000000000006</v>
      </c>
      <c r="M239" s="2">
        <f t="shared" si="19"/>
        <v>93.7</v>
      </c>
    </row>
    <row r="240" spans="1:13" x14ac:dyDescent="0.3">
      <c r="A240" s="2">
        <f>Datos!A240</f>
        <v>634</v>
      </c>
      <c r="B240" s="2" t="str">
        <f>Datos!B240</f>
        <v>Female</v>
      </c>
      <c r="C240" s="2" t="str">
        <f>Datos!C240</f>
        <v>Masters</v>
      </c>
      <c r="D240" s="2" t="str">
        <f>Datos!G240</f>
        <v>A</v>
      </c>
      <c r="E240" s="2">
        <f>Datos!I240</f>
        <v>5.5</v>
      </c>
      <c r="F240" s="2">
        <f>Datos!J240</f>
        <v>150</v>
      </c>
      <c r="G240" s="2">
        <f>Datos!L240</f>
        <v>84.6</v>
      </c>
      <c r="H240" s="2">
        <f>Datos!M240</f>
        <v>100</v>
      </c>
      <c r="I240" s="2" t="b">
        <f t="shared" si="15"/>
        <v>0</v>
      </c>
      <c r="J240" s="2" t="str">
        <f t="shared" si="16"/>
        <v/>
      </c>
      <c r="K240" s="2" t="str">
        <f t="shared" si="17"/>
        <v/>
      </c>
      <c r="L240" s="2" t="str">
        <f t="shared" si="18"/>
        <v/>
      </c>
      <c r="M240" s="2" t="str">
        <f t="shared" si="19"/>
        <v/>
      </c>
    </row>
    <row r="241" spans="1:13" x14ac:dyDescent="0.3">
      <c r="A241" s="2">
        <f>Datos!A241</f>
        <v>833</v>
      </c>
      <c r="B241" s="2" t="str">
        <f>Datos!B241</f>
        <v>Male</v>
      </c>
      <c r="C241" s="2" t="str">
        <f>Datos!C241</f>
        <v>PhD</v>
      </c>
      <c r="D241" s="2" t="str">
        <f>Datos!G241</f>
        <v>A</v>
      </c>
      <c r="E241" s="2">
        <f>Datos!I241</f>
        <v>3.8</v>
      </c>
      <c r="F241" s="2">
        <f>Datos!J241</f>
        <v>86.8</v>
      </c>
      <c r="G241" s="2">
        <f>Datos!L241</f>
        <v>76.900000000000006</v>
      </c>
      <c r="H241" s="2">
        <f>Datos!M241</f>
        <v>96.3</v>
      </c>
      <c r="I241" s="2" t="b">
        <f t="shared" si="15"/>
        <v>1</v>
      </c>
      <c r="J241" s="2">
        <f t="shared" si="16"/>
        <v>96.3</v>
      </c>
      <c r="K241" s="2">
        <f t="shared" si="17"/>
        <v>3.8</v>
      </c>
      <c r="L241" s="2">
        <f t="shared" si="18"/>
        <v>76.900000000000006</v>
      </c>
      <c r="M241" s="2">
        <f t="shared" si="19"/>
        <v>86.8</v>
      </c>
    </row>
    <row r="242" spans="1:13" x14ac:dyDescent="0.3">
      <c r="A242" s="2">
        <f>Datos!A242</f>
        <v>133</v>
      </c>
      <c r="B242" s="2" t="str">
        <f>Datos!B242</f>
        <v>Female</v>
      </c>
      <c r="C242" s="2" t="str">
        <f>Datos!C242</f>
        <v>High School</v>
      </c>
      <c r="D242" s="2" t="str">
        <f>Datos!G242</f>
        <v>C</v>
      </c>
      <c r="E242" s="2">
        <f>Datos!I242</f>
        <v>6.2</v>
      </c>
      <c r="F242" s="2">
        <f>Datos!J242</f>
        <v>99.1</v>
      </c>
      <c r="G242" s="2">
        <f>Datos!L242</f>
        <v>52.3</v>
      </c>
      <c r="H242" s="2">
        <f>Datos!M242</f>
        <v>78.7</v>
      </c>
      <c r="I242" s="2" t="b">
        <f t="shared" si="15"/>
        <v>1</v>
      </c>
      <c r="J242" s="2">
        <f t="shared" si="16"/>
        <v>78.7</v>
      </c>
      <c r="K242" s="2">
        <f t="shared" si="17"/>
        <v>6.2</v>
      </c>
      <c r="L242" s="2">
        <f t="shared" si="18"/>
        <v>52.3</v>
      </c>
      <c r="M242" s="2">
        <f t="shared" si="19"/>
        <v>99.1</v>
      </c>
    </row>
    <row r="243" spans="1:13" x14ac:dyDescent="0.3">
      <c r="A243" s="2">
        <f>Datos!A243</f>
        <v>860</v>
      </c>
      <c r="B243" s="2" t="str">
        <f>Datos!B243</f>
        <v>Female</v>
      </c>
      <c r="C243" s="2" t="str">
        <f>Datos!C243</f>
        <v>PhD</v>
      </c>
      <c r="D243" s="2" t="str">
        <f>Datos!G243</f>
        <v>B</v>
      </c>
      <c r="E243" s="2">
        <f>Datos!I243</f>
        <v>6.1</v>
      </c>
      <c r="F243" s="2">
        <f>Datos!J243</f>
        <v>74.400000000000006</v>
      </c>
      <c r="G243" s="2">
        <f>Datos!L243</f>
        <v>42.2</v>
      </c>
      <c r="H243" s="2">
        <f>Datos!M243</f>
        <v>81.099999999999994</v>
      </c>
      <c r="I243" s="2" t="b">
        <f t="shared" si="15"/>
        <v>1</v>
      </c>
      <c r="J243" s="2">
        <f t="shared" si="16"/>
        <v>81.099999999999994</v>
      </c>
      <c r="K243" s="2">
        <f t="shared" si="17"/>
        <v>6.1</v>
      </c>
      <c r="L243" s="2">
        <f t="shared" si="18"/>
        <v>42.2</v>
      </c>
      <c r="M243" s="2">
        <f t="shared" si="19"/>
        <v>74.400000000000006</v>
      </c>
    </row>
    <row r="244" spans="1:13" x14ac:dyDescent="0.3">
      <c r="A244" s="2">
        <f>Datos!A244</f>
        <v>90</v>
      </c>
      <c r="B244" s="2" t="str">
        <f>Datos!B244</f>
        <v>Male</v>
      </c>
      <c r="C244" s="2">
        <f>Datos!C244</f>
        <v>0</v>
      </c>
      <c r="D244" s="2" t="str">
        <f>Datos!G244</f>
        <v>D</v>
      </c>
      <c r="E244" s="2">
        <f>Datos!I244</f>
        <v>1.4</v>
      </c>
      <c r="F244" s="2">
        <f>Datos!J244</f>
        <v>89.3</v>
      </c>
      <c r="G244" s="2">
        <f>Datos!L244</f>
        <v>67</v>
      </c>
      <c r="H244" s="2">
        <f>Datos!M244</f>
        <v>61.8</v>
      </c>
      <c r="I244" s="2" t="b">
        <f t="shared" si="15"/>
        <v>1</v>
      </c>
      <c r="J244" s="2">
        <f t="shared" si="16"/>
        <v>61.8</v>
      </c>
      <c r="K244" s="2">
        <f t="shared" si="17"/>
        <v>1.4</v>
      </c>
      <c r="L244" s="2">
        <f t="shared" si="18"/>
        <v>67</v>
      </c>
      <c r="M244" s="2">
        <f t="shared" si="19"/>
        <v>89.3</v>
      </c>
    </row>
    <row r="245" spans="1:13" x14ac:dyDescent="0.3">
      <c r="A245" s="2">
        <f>Datos!A245</f>
        <v>472</v>
      </c>
      <c r="B245" s="2" t="str">
        <f>Datos!B245</f>
        <v>Female</v>
      </c>
      <c r="C245" s="2">
        <f>Datos!C245</f>
        <v>0</v>
      </c>
      <c r="D245" s="2" t="str">
        <f>Datos!G245</f>
        <v>C</v>
      </c>
      <c r="E245" s="2">
        <f>Datos!I245</f>
        <v>5.7</v>
      </c>
      <c r="F245" s="2">
        <f>Datos!J245</f>
        <v>76.900000000000006</v>
      </c>
      <c r="G245" s="2">
        <f>Datos!L245</f>
        <v>39.200000000000003</v>
      </c>
      <c r="H245" s="2">
        <f>Datos!M245</f>
        <v>70.7</v>
      </c>
      <c r="I245" s="2" t="b">
        <f t="shared" si="15"/>
        <v>1</v>
      </c>
      <c r="J245" s="2">
        <f t="shared" si="16"/>
        <v>70.7</v>
      </c>
      <c r="K245" s="2">
        <f t="shared" si="17"/>
        <v>5.7</v>
      </c>
      <c r="L245" s="2">
        <f t="shared" si="18"/>
        <v>39.200000000000003</v>
      </c>
      <c r="M245" s="2">
        <f t="shared" si="19"/>
        <v>76.900000000000006</v>
      </c>
    </row>
    <row r="246" spans="1:13" x14ac:dyDescent="0.3">
      <c r="A246" s="2">
        <f>Datos!A246</f>
        <v>748</v>
      </c>
      <c r="B246" s="2" t="str">
        <f>Datos!B246</f>
        <v>Male</v>
      </c>
      <c r="C246" s="2" t="str">
        <f>Datos!C246</f>
        <v>Bachelors</v>
      </c>
      <c r="D246" s="2" t="str">
        <f>Datos!G246</f>
        <v>F</v>
      </c>
      <c r="E246" s="2">
        <f>Datos!I246</f>
        <v>2.9</v>
      </c>
      <c r="F246" s="2">
        <f>Datos!J246</f>
        <v>67.099999999999994</v>
      </c>
      <c r="G246" s="2">
        <f>Datos!L246</f>
        <v>67</v>
      </c>
      <c r="H246" s="2">
        <f>Datos!M246</f>
        <v>49.4</v>
      </c>
      <c r="I246" s="2" t="b">
        <f t="shared" si="15"/>
        <v>1</v>
      </c>
      <c r="J246" s="2">
        <f t="shared" si="16"/>
        <v>49.4</v>
      </c>
      <c r="K246" s="2">
        <f t="shared" si="17"/>
        <v>2.9</v>
      </c>
      <c r="L246" s="2">
        <f t="shared" si="18"/>
        <v>67</v>
      </c>
      <c r="M246" s="2">
        <f t="shared" si="19"/>
        <v>67.099999999999994</v>
      </c>
    </row>
    <row r="247" spans="1:13" x14ac:dyDescent="0.3">
      <c r="A247" s="2">
        <f>Datos!A247</f>
        <v>652</v>
      </c>
      <c r="B247" s="2" t="str">
        <f>Datos!B247</f>
        <v>Male</v>
      </c>
      <c r="C247" s="2" t="str">
        <f>Datos!C247</f>
        <v>High School</v>
      </c>
      <c r="D247" s="2" t="str">
        <f>Datos!G247</f>
        <v>D</v>
      </c>
      <c r="E247" s="2">
        <f>Datos!I247</f>
        <v>1.6</v>
      </c>
      <c r="F247" s="2">
        <f>Datos!J247</f>
        <v>81.7</v>
      </c>
      <c r="G247" s="2">
        <f>Datos!L247</f>
        <v>53.7</v>
      </c>
      <c r="H247" s="2">
        <f>Datos!M247</f>
        <v>63.5</v>
      </c>
      <c r="I247" s="2" t="b">
        <f t="shared" si="15"/>
        <v>1</v>
      </c>
      <c r="J247" s="2">
        <f t="shared" si="16"/>
        <v>63.5</v>
      </c>
      <c r="K247" s="2">
        <f t="shared" si="17"/>
        <v>1.6</v>
      </c>
      <c r="L247" s="2">
        <f t="shared" si="18"/>
        <v>53.7</v>
      </c>
      <c r="M247" s="2">
        <f t="shared" si="19"/>
        <v>81.7</v>
      </c>
    </row>
    <row r="248" spans="1:13" x14ac:dyDescent="0.3">
      <c r="A248" s="2">
        <f>Datos!A248</f>
        <v>823</v>
      </c>
      <c r="B248" s="2" t="str">
        <f>Datos!B248</f>
        <v>Male</v>
      </c>
      <c r="C248" s="2" t="str">
        <f>Datos!C248</f>
        <v>High School</v>
      </c>
      <c r="D248" s="2" t="str">
        <f>Datos!G248</f>
        <v>C</v>
      </c>
      <c r="E248" s="2">
        <f>Datos!I248</f>
        <v>6.2</v>
      </c>
      <c r="F248" s="2">
        <f>Datos!J248</f>
        <v>81.2</v>
      </c>
      <c r="G248" s="2">
        <f>Datos!L248</f>
        <v>64.8</v>
      </c>
      <c r="H248" s="2">
        <f>Datos!M248</f>
        <v>74.099999999999994</v>
      </c>
      <c r="I248" s="2" t="b">
        <f t="shared" si="15"/>
        <v>1</v>
      </c>
      <c r="J248" s="2">
        <f t="shared" si="16"/>
        <v>74.099999999999994</v>
      </c>
      <c r="K248" s="2">
        <f t="shared" si="17"/>
        <v>6.2</v>
      </c>
      <c r="L248" s="2">
        <f t="shared" si="18"/>
        <v>64.8</v>
      </c>
      <c r="M248" s="2">
        <f t="shared" si="19"/>
        <v>81.2</v>
      </c>
    </row>
    <row r="249" spans="1:13" x14ac:dyDescent="0.3">
      <c r="A249" s="2">
        <f>Datos!A249</f>
        <v>205</v>
      </c>
      <c r="B249" s="2" t="str">
        <f>Datos!B249</f>
        <v>Female</v>
      </c>
      <c r="C249" s="2" t="str">
        <f>Datos!C249</f>
        <v>Masters</v>
      </c>
      <c r="D249" s="2" t="str">
        <f>Datos!G249</f>
        <v>F</v>
      </c>
      <c r="E249" s="2">
        <f>Datos!I249</f>
        <v>0.7</v>
      </c>
      <c r="F249" s="2">
        <f>Datos!J249</f>
        <v>84.9</v>
      </c>
      <c r="G249" s="2">
        <f>Datos!L249</f>
        <v>54.6</v>
      </c>
      <c r="H249" s="2">
        <f>Datos!M249</f>
        <v>51.3</v>
      </c>
      <c r="I249" s="2" t="b">
        <f t="shared" si="15"/>
        <v>1</v>
      </c>
      <c r="J249" s="2">
        <f t="shared" si="16"/>
        <v>51.3</v>
      </c>
      <c r="K249" s="2">
        <f t="shared" si="17"/>
        <v>0.7</v>
      </c>
      <c r="L249" s="2">
        <f t="shared" si="18"/>
        <v>54.6</v>
      </c>
      <c r="M249" s="2">
        <f t="shared" si="19"/>
        <v>84.9</v>
      </c>
    </row>
    <row r="250" spans="1:13" x14ac:dyDescent="0.3">
      <c r="A250" s="2">
        <f>Datos!A250</f>
        <v>322</v>
      </c>
      <c r="B250" s="2" t="str">
        <f>Datos!B250</f>
        <v>Female</v>
      </c>
      <c r="C250" s="2" t="str">
        <f>Datos!C250</f>
        <v>Masters</v>
      </c>
      <c r="D250" s="2" t="str">
        <f>Datos!G250</f>
        <v>B</v>
      </c>
      <c r="E250" s="2">
        <f>Datos!I250</f>
        <v>6.9</v>
      </c>
      <c r="F250" s="2">
        <f>Datos!J250</f>
        <v>68.099999999999994</v>
      </c>
      <c r="G250" s="2">
        <f>Datos!L250</f>
        <v>58</v>
      </c>
      <c r="H250" s="2">
        <f>Datos!M250</f>
        <v>89.5</v>
      </c>
      <c r="I250" s="2" t="b">
        <f t="shared" si="15"/>
        <v>1</v>
      </c>
      <c r="J250" s="2">
        <f t="shared" si="16"/>
        <v>89.5</v>
      </c>
      <c r="K250" s="2">
        <f t="shared" si="17"/>
        <v>6.9</v>
      </c>
      <c r="L250" s="2">
        <f t="shared" si="18"/>
        <v>58</v>
      </c>
      <c r="M250" s="2">
        <f t="shared" si="19"/>
        <v>68.099999999999994</v>
      </c>
    </row>
    <row r="251" spans="1:13" x14ac:dyDescent="0.3">
      <c r="A251" s="2">
        <f>Datos!A251</f>
        <v>498</v>
      </c>
      <c r="B251" s="2" t="str">
        <f>Datos!B251</f>
        <v>Female</v>
      </c>
      <c r="C251" s="2" t="str">
        <f>Datos!C251</f>
        <v>High School</v>
      </c>
      <c r="D251" s="2" t="str">
        <f>Datos!G251</f>
        <v>B</v>
      </c>
      <c r="E251" s="2">
        <f>Datos!I251</f>
        <v>6.1</v>
      </c>
      <c r="F251" s="2">
        <f>Datos!J251</f>
        <v>74.8</v>
      </c>
      <c r="G251" s="2">
        <f>Datos!L251</f>
        <v>66.5</v>
      </c>
      <c r="H251" s="2">
        <f>Datos!M251</f>
        <v>88.9</v>
      </c>
      <c r="I251" s="2" t="b">
        <f t="shared" si="15"/>
        <v>1</v>
      </c>
      <c r="J251" s="2">
        <f t="shared" si="16"/>
        <v>88.9</v>
      </c>
      <c r="K251" s="2">
        <f t="shared" si="17"/>
        <v>6.1</v>
      </c>
      <c r="L251" s="2">
        <f t="shared" si="18"/>
        <v>66.5</v>
      </c>
      <c r="M251" s="2">
        <f t="shared" si="19"/>
        <v>74.8</v>
      </c>
    </row>
    <row r="252" spans="1:13" x14ac:dyDescent="0.3">
      <c r="A252" s="2">
        <f>Datos!A252</f>
        <v>801</v>
      </c>
      <c r="B252" s="2" t="str">
        <f>Datos!B252</f>
        <v>Female</v>
      </c>
      <c r="C252" s="2" t="str">
        <f>Datos!C252</f>
        <v>High School</v>
      </c>
      <c r="D252" s="2" t="str">
        <f>Datos!G252</f>
        <v>F</v>
      </c>
      <c r="E252" s="2">
        <f>Datos!I252</f>
        <v>1.8</v>
      </c>
      <c r="F252" s="2">
        <f>Datos!J252</f>
        <v>72.5</v>
      </c>
      <c r="G252" s="2">
        <f>Datos!L252</f>
        <v>41.3</v>
      </c>
      <c r="H252" s="2">
        <f>Datos!M252</f>
        <v>52.3</v>
      </c>
      <c r="I252" s="2" t="b">
        <f t="shared" si="15"/>
        <v>1</v>
      </c>
      <c r="J252" s="2">
        <f t="shared" si="16"/>
        <v>52.3</v>
      </c>
      <c r="K252" s="2">
        <f t="shared" si="17"/>
        <v>1.8</v>
      </c>
      <c r="L252" s="2">
        <f t="shared" si="18"/>
        <v>41.3</v>
      </c>
      <c r="M252" s="2">
        <f t="shared" si="19"/>
        <v>72.5</v>
      </c>
    </row>
    <row r="253" spans="1:13" x14ac:dyDescent="0.3">
      <c r="A253" s="2">
        <f>Datos!A253</f>
        <v>693</v>
      </c>
      <c r="B253" s="2" t="str">
        <f>Datos!B253</f>
        <v>Female</v>
      </c>
      <c r="C253" s="2" t="str">
        <f>Datos!C253</f>
        <v>Bachelors</v>
      </c>
      <c r="D253" s="2" t="str">
        <f>Datos!G253</f>
        <v>A</v>
      </c>
      <c r="E253" s="2">
        <f>Datos!I253</f>
        <v>6.6</v>
      </c>
      <c r="F253" s="2">
        <f>Datos!J253</f>
        <v>98.7</v>
      </c>
      <c r="G253" s="2">
        <f>Datos!L253</f>
        <v>60.8</v>
      </c>
      <c r="H253" s="2">
        <f>Datos!M253</f>
        <v>100</v>
      </c>
      <c r="I253" s="2" t="b">
        <f t="shared" si="15"/>
        <v>1</v>
      </c>
      <c r="J253" s="2">
        <f t="shared" si="16"/>
        <v>100</v>
      </c>
      <c r="K253" s="2">
        <f t="shared" si="17"/>
        <v>6.6</v>
      </c>
      <c r="L253" s="2">
        <f t="shared" si="18"/>
        <v>60.8</v>
      </c>
      <c r="M253" s="2">
        <f t="shared" si="19"/>
        <v>98.7</v>
      </c>
    </row>
    <row r="254" spans="1:13" x14ac:dyDescent="0.3">
      <c r="A254" s="2">
        <f>Datos!A254</f>
        <v>332</v>
      </c>
      <c r="B254" s="2" t="str">
        <f>Datos!B254</f>
        <v>Female</v>
      </c>
      <c r="C254" s="2" t="str">
        <f>Datos!C254</f>
        <v>Masters</v>
      </c>
      <c r="D254" s="2" t="str">
        <f>Datos!G254</f>
        <v>F</v>
      </c>
      <c r="E254" s="2">
        <f>Datos!I254</f>
        <v>0.9</v>
      </c>
      <c r="F254" s="2">
        <f>Datos!J254</f>
        <v>73.400000000000006</v>
      </c>
      <c r="G254" s="2">
        <f>Datos!L254</f>
        <v>82.5</v>
      </c>
      <c r="H254" s="2">
        <f>Datos!M254</f>
        <v>55.8</v>
      </c>
      <c r="I254" s="2" t="b">
        <f t="shared" si="15"/>
        <v>1</v>
      </c>
      <c r="J254" s="2">
        <f t="shared" si="16"/>
        <v>55.8</v>
      </c>
      <c r="K254" s="2">
        <f t="shared" si="17"/>
        <v>0.9</v>
      </c>
      <c r="L254" s="2">
        <f t="shared" si="18"/>
        <v>82.5</v>
      </c>
      <c r="M254" s="2">
        <f t="shared" si="19"/>
        <v>73.400000000000006</v>
      </c>
    </row>
    <row r="255" spans="1:13" x14ac:dyDescent="0.3">
      <c r="A255" s="2">
        <f>Datos!A255</f>
        <v>167</v>
      </c>
      <c r="B255" s="2" t="str">
        <f>Datos!B255</f>
        <v>Female</v>
      </c>
      <c r="C255" s="2" t="str">
        <f>Datos!C255</f>
        <v>Masters</v>
      </c>
      <c r="D255" s="2" t="str">
        <f>Datos!G255</f>
        <v>C</v>
      </c>
      <c r="E255" s="2">
        <f>Datos!I255</f>
        <v>2.8</v>
      </c>
      <c r="F255" s="2">
        <f>Datos!J255</f>
        <v>88.2</v>
      </c>
      <c r="G255" s="2">
        <f>Datos!L255</f>
        <v>83.7</v>
      </c>
      <c r="H255" s="2">
        <f>Datos!M255</f>
        <v>79</v>
      </c>
      <c r="I255" s="2" t="b">
        <f t="shared" si="15"/>
        <v>1</v>
      </c>
      <c r="J255" s="2">
        <f t="shared" si="16"/>
        <v>79</v>
      </c>
      <c r="K255" s="2">
        <f t="shared" si="17"/>
        <v>2.8</v>
      </c>
      <c r="L255" s="2">
        <f t="shared" si="18"/>
        <v>83.7</v>
      </c>
      <c r="M255" s="2">
        <f t="shared" si="19"/>
        <v>88.2</v>
      </c>
    </row>
    <row r="256" spans="1:13" x14ac:dyDescent="0.3">
      <c r="A256" s="2">
        <f>Datos!A256</f>
        <v>9</v>
      </c>
      <c r="B256" s="2" t="str">
        <f>Datos!B256</f>
        <v>Female</v>
      </c>
      <c r="C256" s="2" t="str">
        <f>Datos!C256</f>
        <v>PhD</v>
      </c>
      <c r="D256" s="2" t="str">
        <f>Datos!G256</f>
        <v>D</v>
      </c>
      <c r="E256" s="2">
        <f>Datos!I256</f>
        <v>2</v>
      </c>
      <c r="F256" s="2">
        <f>Datos!J256</f>
        <v>67</v>
      </c>
      <c r="G256" s="2">
        <f>Datos!L256</f>
        <v>82</v>
      </c>
      <c r="H256" s="2">
        <f>Datos!M256</f>
        <v>69</v>
      </c>
      <c r="I256" s="2" t="b">
        <f t="shared" si="15"/>
        <v>1</v>
      </c>
      <c r="J256" s="2">
        <f t="shared" si="16"/>
        <v>69</v>
      </c>
      <c r="K256" s="2">
        <f t="shared" si="17"/>
        <v>2</v>
      </c>
      <c r="L256" s="2">
        <f t="shared" si="18"/>
        <v>82</v>
      </c>
      <c r="M256" s="2">
        <f t="shared" si="19"/>
        <v>67</v>
      </c>
    </row>
    <row r="257" spans="1:13" x14ac:dyDescent="0.3">
      <c r="A257" s="2">
        <f>Datos!A257</f>
        <v>101</v>
      </c>
      <c r="B257" s="2" t="str">
        <f>Datos!B257</f>
        <v>Male</v>
      </c>
      <c r="C257" s="2" t="str">
        <f>Datos!C257</f>
        <v>Bachelors</v>
      </c>
      <c r="D257" s="2" t="str">
        <f>Datos!G257</f>
        <v>A</v>
      </c>
      <c r="E257" s="2">
        <f>Datos!I257</f>
        <v>6.7</v>
      </c>
      <c r="F257" s="2">
        <f>Datos!J257</f>
        <v>87.8</v>
      </c>
      <c r="G257" s="2">
        <f>Datos!L257</f>
        <v>80.900000000000006</v>
      </c>
      <c r="H257" s="2">
        <f>Datos!M257</f>
        <v>93.2</v>
      </c>
      <c r="I257" s="2" t="b">
        <f t="shared" si="15"/>
        <v>1</v>
      </c>
      <c r="J257" s="2">
        <f t="shared" si="16"/>
        <v>93.2</v>
      </c>
      <c r="K257" s="2">
        <f t="shared" si="17"/>
        <v>6.7</v>
      </c>
      <c r="L257" s="2">
        <f t="shared" si="18"/>
        <v>80.900000000000006</v>
      </c>
      <c r="M257" s="2">
        <f t="shared" si="19"/>
        <v>87.8</v>
      </c>
    </row>
    <row r="258" spans="1:13" x14ac:dyDescent="0.3">
      <c r="A258" s="2">
        <f>Datos!A258</f>
        <v>468</v>
      </c>
      <c r="B258" s="2" t="str">
        <f>Datos!B258</f>
        <v>Male</v>
      </c>
      <c r="C258" s="2" t="str">
        <f>Datos!C258</f>
        <v>Bachelors</v>
      </c>
      <c r="D258" s="2" t="str">
        <f>Datos!G258</f>
        <v>D</v>
      </c>
      <c r="E258" s="2">
        <f>Datos!I258</f>
        <v>1.2</v>
      </c>
      <c r="F258" s="2">
        <f>Datos!J258</f>
        <v>84.9</v>
      </c>
      <c r="G258" s="2">
        <f>Datos!L258</f>
        <v>76.099999999999994</v>
      </c>
      <c r="H258" s="2">
        <f>Datos!M258</f>
        <v>67.5</v>
      </c>
      <c r="I258" s="2" t="b">
        <f t="shared" ref="I258:I321" si="20">AND(E258&gt;=0,E258&lt;=12,F258&gt;=0,F258&lt;=100,G258&gt;=0,G258&lt;=100,H258&gt;=0,H258&lt;=100)</f>
        <v>1</v>
      </c>
      <c r="J258" s="2">
        <f t="shared" ref="J258:J321" si="21">IF(I258,H258,"")</f>
        <v>67.5</v>
      </c>
      <c r="K258" s="2">
        <f t="shared" ref="K258:K321" si="22">IF(I258,E258,"")</f>
        <v>1.2</v>
      </c>
      <c r="L258" s="2">
        <f t="shared" ref="L258:L321" si="23">IF(I258,G258,"")</f>
        <v>76.099999999999994</v>
      </c>
      <c r="M258" s="2">
        <f t="shared" ref="M258:M321" si="24">IF(I258,F258,"")</f>
        <v>84.9</v>
      </c>
    </row>
    <row r="259" spans="1:13" x14ac:dyDescent="0.3">
      <c r="A259" s="2">
        <f>Datos!A259</f>
        <v>117</v>
      </c>
      <c r="B259" s="2" t="str">
        <f>Datos!B259</f>
        <v>Male</v>
      </c>
      <c r="C259" s="2" t="str">
        <f>Datos!C259</f>
        <v>Masters</v>
      </c>
      <c r="D259" s="2" t="str">
        <f>Datos!G259</f>
        <v>B</v>
      </c>
      <c r="E259" s="2">
        <f>Datos!I259</f>
        <v>6.1</v>
      </c>
      <c r="F259" s="2">
        <f>Datos!J259</f>
        <v>73.599999999999994</v>
      </c>
      <c r="G259" s="2">
        <f>Datos!L259</f>
        <v>52</v>
      </c>
      <c r="H259" s="2">
        <f>Datos!M259</f>
        <v>80.7</v>
      </c>
      <c r="I259" s="2" t="b">
        <f t="shared" si="20"/>
        <v>1</v>
      </c>
      <c r="J259" s="2">
        <f t="shared" si="21"/>
        <v>80.7</v>
      </c>
      <c r="K259" s="2">
        <f t="shared" si="22"/>
        <v>6.1</v>
      </c>
      <c r="L259" s="2">
        <f t="shared" si="23"/>
        <v>52</v>
      </c>
      <c r="M259" s="2">
        <f t="shared" si="24"/>
        <v>73.599999999999994</v>
      </c>
    </row>
    <row r="260" spans="1:13" x14ac:dyDescent="0.3">
      <c r="A260" s="2">
        <f>Datos!A260</f>
        <v>460</v>
      </c>
      <c r="B260" s="2" t="str">
        <f>Datos!B260</f>
        <v>Female</v>
      </c>
      <c r="C260" s="2" t="str">
        <f>Datos!C260</f>
        <v>High School</v>
      </c>
      <c r="D260" s="2" t="str">
        <f>Datos!G260</f>
        <v>C</v>
      </c>
      <c r="E260" s="2">
        <f>Datos!I260</f>
        <v>3.9</v>
      </c>
      <c r="F260" s="2">
        <f>Datos!J260</f>
        <v>66.2</v>
      </c>
      <c r="G260" s="2">
        <f>Datos!L260</f>
        <v>76.400000000000006</v>
      </c>
      <c r="H260" s="2">
        <f>Datos!M260</f>
        <v>76.099999999999994</v>
      </c>
      <c r="I260" s="2" t="b">
        <f t="shared" si="20"/>
        <v>1</v>
      </c>
      <c r="J260" s="2">
        <f t="shared" si="21"/>
        <v>76.099999999999994</v>
      </c>
      <c r="K260" s="2">
        <f t="shared" si="22"/>
        <v>3.9</v>
      </c>
      <c r="L260" s="2">
        <f t="shared" si="23"/>
        <v>76.400000000000006</v>
      </c>
      <c r="M260" s="2">
        <f t="shared" si="24"/>
        <v>66.2</v>
      </c>
    </row>
    <row r="261" spans="1:13" x14ac:dyDescent="0.3">
      <c r="A261" s="2">
        <f>Datos!A261</f>
        <v>340</v>
      </c>
      <c r="B261" s="2" t="str">
        <f>Datos!B261</f>
        <v>Female</v>
      </c>
      <c r="C261" s="2" t="str">
        <f>Datos!C261</f>
        <v>Bachelors</v>
      </c>
      <c r="D261" s="2" t="str">
        <f>Datos!G261</f>
        <v>D</v>
      </c>
      <c r="E261" s="2">
        <f>Datos!I261</f>
        <v>4.5</v>
      </c>
      <c r="F261" s="2">
        <f>Datos!J261</f>
        <v>70.3</v>
      </c>
      <c r="G261" s="2">
        <f>Datos!L261</f>
        <v>49.7</v>
      </c>
      <c r="H261" s="2">
        <f>Datos!M261</f>
        <v>65.099999999999994</v>
      </c>
      <c r="I261" s="2" t="b">
        <f t="shared" si="20"/>
        <v>1</v>
      </c>
      <c r="J261" s="2">
        <f t="shared" si="21"/>
        <v>65.099999999999994</v>
      </c>
      <c r="K261" s="2">
        <f t="shared" si="22"/>
        <v>4.5</v>
      </c>
      <c r="L261" s="2">
        <f t="shared" si="23"/>
        <v>49.7</v>
      </c>
      <c r="M261" s="2">
        <f t="shared" si="24"/>
        <v>70.3</v>
      </c>
    </row>
    <row r="262" spans="1:13" x14ac:dyDescent="0.3">
      <c r="A262" s="2">
        <f>Datos!A262</f>
        <v>165</v>
      </c>
      <c r="B262" s="2" t="str">
        <f>Datos!B262</f>
        <v>Female</v>
      </c>
      <c r="C262" s="2" t="str">
        <f>Datos!C262</f>
        <v>Bachelors</v>
      </c>
      <c r="D262" s="2" t="str">
        <f>Datos!G262</f>
        <v>B</v>
      </c>
      <c r="E262" s="2">
        <f>Datos!I262</f>
        <v>3.2</v>
      </c>
      <c r="F262" s="2">
        <f>Datos!J262</f>
        <v>67.3</v>
      </c>
      <c r="G262" s="2">
        <f>Datos!L262</f>
        <v>93.9</v>
      </c>
      <c r="H262" s="2">
        <f>Datos!M262</f>
        <v>87.2</v>
      </c>
      <c r="I262" s="2" t="b">
        <f t="shared" si="20"/>
        <v>1</v>
      </c>
      <c r="J262" s="2">
        <f t="shared" si="21"/>
        <v>87.2</v>
      </c>
      <c r="K262" s="2">
        <f t="shared" si="22"/>
        <v>3.2</v>
      </c>
      <c r="L262" s="2">
        <f t="shared" si="23"/>
        <v>93.9</v>
      </c>
      <c r="M262" s="2">
        <f t="shared" si="24"/>
        <v>67.3</v>
      </c>
    </row>
    <row r="263" spans="1:13" x14ac:dyDescent="0.3">
      <c r="A263" s="2">
        <f>Datos!A263</f>
        <v>895</v>
      </c>
      <c r="B263" s="2" t="str">
        <f>Datos!B263</f>
        <v>Male</v>
      </c>
      <c r="C263" s="2" t="str">
        <f>Datos!C263</f>
        <v>PhD</v>
      </c>
      <c r="D263" s="2" t="str">
        <f>Datos!G263</f>
        <v>F</v>
      </c>
      <c r="E263" s="2">
        <f>Datos!I263</f>
        <v>1.5</v>
      </c>
      <c r="F263" s="2">
        <f>Datos!J263</f>
        <v>69.5</v>
      </c>
      <c r="G263" s="2">
        <f>Datos!L263</f>
        <v>67</v>
      </c>
      <c r="H263" s="2">
        <f>Datos!M263</f>
        <v>54.9</v>
      </c>
      <c r="I263" s="2" t="b">
        <f t="shared" si="20"/>
        <v>1</v>
      </c>
      <c r="J263" s="2">
        <f t="shared" si="21"/>
        <v>54.9</v>
      </c>
      <c r="K263" s="2">
        <f t="shared" si="22"/>
        <v>1.5</v>
      </c>
      <c r="L263" s="2">
        <f t="shared" si="23"/>
        <v>67</v>
      </c>
      <c r="M263" s="2">
        <f t="shared" si="24"/>
        <v>69.5</v>
      </c>
    </row>
    <row r="264" spans="1:13" x14ac:dyDescent="0.3">
      <c r="A264" s="2">
        <f>Datos!A264</f>
        <v>24</v>
      </c>
      <c r="B264" s="2" t="str">
        <f>Datos!B264</f>
        <v>Female</v>
      </c>
      <c r="C264" s="2">
        <f>Datos!C264</f>
        <v>0</v>
      </c>
      <c r="D264" s="2" t="str">
        <f>Datos!G264</f>
        <v>B</v>
      </c>
      <c r="E264" s="2">
        <f>Datos!I264</f>
        <v>3.8</v>
      </c>
      <c r="F264" s="2">
        <f>Datos!J264</f>
        <v>89.3</v>
      </c>
      <c r="G264" s="2">
        <f>Datos!L264</f>
        <v>79.3</v>
      </c>
      <c r="H264" s="2">
        <f>Datos!M264</f>
        <v>81.2</v>
      </c>
      <c r="I264" s="2" t="b">
        <f t="shared" si="20"/>
        <v>1</v>
      </c>
      <c r="J264" s="2">
        <f t="shared" si="21"/>
        <v>81.2</v>
      </c>
      <c r="K264" s="2">
        <f t="shared" si="22"/>
        <v>3.8</v>
      </c>
      <c r="L264" s="2">
        <f t="shared" si="23"/>
        <v>79.3</v>
      </c>
      <c r="M264" s="2">
        <f t="shared" si="24"/>
        <v>89.3</v>
      </c>
    </row>
    <row r="265" spans="1:13" x14ac:dyDescent="0.3">
      <c r="A265" s="2">
        <f>Datos!A265</f>
        <v>658</v>
      </c>
      <c r="B265" s="2" t="str">
        <f>Datos!B265</f>
        <v>Female</v>
      </c>
      <c r="C265" s="2" t="str">
        <f>Datos!C265</f>
        <v>PhD</v>
      </c>
      <c r="D265" s="2" t="str">
        <f>Datos!G265</f>
        <v>B</v>
      </c>
      <c r="E265" s="2">
        <f>Datos!I265</f>
        <v>6.2</v>
      </c>
      <c r="F265" s="2">
        <f>Datos!J265</f>
        <v>66.599999999999994</v>
      </c>
      <c r="G265" s="2">
        <f>Datos!L265</f>
        <v>51.1</v>
      </c>
      <c r="H265" s="2">
        <f>Datos!M265</f>
        <v>81.7</v>
      </c>
      <c r="I265" s="2" t="b">
        <f t="shared" si="20"/>
        <v>1</v>
      </c>
      <c r="J265" s="2">
        <f t="shared" si="21"/>
        <v>81.7</v>
      </c>
      <c r="K265" s="2">
        <f t="shared" si="22"/>
        <v>6.2</v>
      </c>
      <c r="L265" s="2">
        <f t="shared" si="23"/>
        <v>51.1</v>
      </c>
      <c r="M265" s="2">
        <f t="shared" si="24"/>
        <v>66.599999999999994</v>
      </c>
    </row>
    <row r="266" spans="1:13" x14ac:dyDescent="0.3">
      <c r="A266" s="2">
        <f>Datos!A266</f>
        <v>672</v>
      </c>
      <c r="B266" s="2" t="str">
        <f>Datos!B266</f>
        <v>Male</v>
      </c>
      <c r="C266" s="2">
        <f>Datos!C266</f>
        <v>0</v>
      </c>
      <c r="D266" s="2" t="str">
        <f>Datos!G266</f>
        <v>F</v>
      </c>
      <c r="E266" s="2">
        <f>Datos!I266</f>
        <v>1.4</v>
      </c>
      <c r="F266" s="2">
        <f>Datos!J266</f>
        <v>85</v>
      </c>
      <c r="G266" s="2">
        <f>Datos!L266</f>
        <v>44.3</v>
      </c>
      <c r="H266" s="2">
        <f>Datos!M266</f>
        <v>57.6</v>
      </c>
      <c r="I266" s="2" t="b">
        <f t="shared" si="20"/>
        <v>1</v>
      </c>
      <c r="J266" s="2">
        <f t="shared" si="21"/>
        <v>57.6</v>
      </c>
      <c r="K266" s="2">
        <f t="shared" si="22"/>
        <v>1.4</v>
      </c>
      <c r="L266" s="2">
        <f t="shared" si="23"/>
        <v>44.3</v>
      </c>
      <c r="M266" s="2">
        <f t="shared" si="24"/>
        <v>85</v>
      </c>
    </row>
    <row r="267" spans="1:13" x14ac:dyDescent="0.3">
      <c r="A267" s="2">
        <f>Datos!A267</f>
        <v>712</v>
      </c>
      <c r="B267" s="2" t="str">
        <f>Datos!B267</f>
        <v>Male</v>
      </c>
      <c r="C267" s="2" t="str">
        <f>Datos!C267</f>
        <v>Bachelors</v>
      </c>
      <c r="D267" s="2" t="str">
        <f>Datos!G267</f>
        <v>C</v>
      </c>
      <c r="E267" s="2">
        <f>Datos!I267</f>
        <v>1.8</v>
      </c>
      <c r="F267" s="2">
        <f>Datos!J267</f>
        <v>83.5</v>
      </c>
      <c r="G267" s="2">
        <f>Datos!L267</f>
        <v>82</v>
      </c>
      <c r="H267" s="2">
        <f>Datos!M267</f>
        <v>71.8</v>
      </c>
      <c r="I267" s="2" t="b">
        <f t="shared" si="20"/>
        <v>1</v>
      </c>
      <c r="J267" s="2">
        <f t="shared" si="21"/>
        <v>71.8</v>
      </c>
      <c r="K267" s="2">
        <f t="shared" si="22"/>
        <v>1.8</v>
      </c>
      <c r="L267" s="2">
        <f t="shared" si="23"/>
        <v>82</v>
      </c>
      <c r="M267" s="2">
        <f t="shared" si="24"/>
        <v>83.5</v>
      </c>
    </row>
    <row r="268" spans="1:13" x14ac:dyDescent="0.3">
      <c r="A268" s="2">
        <f>Datos!A268</f>
        <v>481</v>
      </c>
      <c r="B268" s="2" t="str">
        <f>Datos!B268</f>
        <v>Male</v>
      </c>
      <c r="C268" s="2" t="str">
        <f>Datos!C268</f>
        <v>PhD</v>
      </c>
      <c r="D268" s="2" t="str">
        <f>Datos!G268</f>
        <v>F</v>
      </c>
      <c r="E268" s="2">
        <f>Datos!I268</f>
        <v>1.2</v>
      </c>
      <c r="F268" s="2">
        <f>Datos!J268</f>
        <v>97.9</v>
      </c>
      <c r="G268" s="2">
        <f>Datos!L268</f>
        <v>36.1</v>
      </c>
      <c r="H268" s="2">
        <f>Datos!M268</f>
        <v>52.5</v>
      </c>
      <c r="I268" s="2" t="b">
        <f t="shared" si="20"/>
        <v>1</v>
      </c>
      <c r="J268" s="2">
        <f t="shared" si="21"/>
        <v>52.5</v>
      </c>
      <c r="K268" s="2">
        <f t="shared" si="22"/>
        <v>1.2</v>
      </c>
      <c r="L268" s="2">
        <f t="shared" si="23"/>
        <v>36.1</v>
      </c>
      <c r="M268" s="2">
        <f t="shared" si="24"/>
        <v>97.9</v>
      </c>
    </row>
    <row r="269" spans="1:13" x14ac:dyDescent="0.3">
      <c r="A269" s="2">
        <f>Datos!A269</f>
        <v>350</v>
      </c>
      <c r="B269" s="2" t="str">
        <f>Datos!B269</f>
        <v>Male</v>
      </c>
      <c r="C269" s="2" t="str">
        <f>Datos!C269</f>
        <v>Masters</v>
      </c>
      <c r="D269" s="2" t="str">
        <f>Datos!G269</f>
        <v>D</v>
      </c>
      <c r="E269" s="2">
        <f>Datos!I269</f>
        <v>6.1</v>
      </c>
      <c r="F269" s="2">
        <f>Datos!J269</f>
        <v>71.400000000000006</v>
      </c>
      <c r="G269" s="2">
        <f>Datos!L269</f>
        <v>46.2</v>
      </c>
      <c r="H269" s="2">
        <f>Datos!M269</f>
        <v>62.8</v>
      </c>
      <c r="I269" s="2" t="b">
        <f t="shared" si="20"/>
        <v>1</v>
      </c>
      <c r="J269" s="2">
        <f t="shared" si="21"/>
        <v>62.8</v>
      </c>
      <c r="K269" s="2">
        <f t="shared" si="22"/>
        <v>6.1</v>
      </c>
      <c r="L269" s="2">
        <f t="shared" si="23"/>
        <v>46.2</v>
      </c>
      <c r="M269" s="2">
        <f t="shared" si="24"/>
        <v>71.400000000000006</v>
      </c>
    </row>
    <row r="270" spans="1:13" x14ac:dyDescent="0.3">
      <c r="A270" s="2">
        <f>Datos!A270</f>
        <v>777</v>
      </c>
      <c r="B270" s="2" t="str">
        <f>Datos!B270</f>
        <v>Male</v>
      </c>
      <c r="C270" s="2" t="str">
        <f>Datos!C270</f>
        <v>PhD</v>
      </c>
      <c r="D270" s="2" t="str">
        <f>Datos!G270</f>
        <v>C</v>
      </c>
      <c r="E270" s="2">
        <f>Datos!I270</f>
        <v>4.4000000000000004</v>
      </c>
      <c r="F270" s="2">
        <f>Datos!J270</f>
        <v>83.5</v>
      </c>
      <c r="G270" s="2">
        <f>Datos!L270</f>
        <v>35.1</v>
      </c>
      <c r="H270" s="2">
        <f>Datos!M270</f>
        <v>72</v>
      </c>
      <c r="I270" s="2" t="b">
        <f t="shared" si="20"/>
        <v>1</v>
      </c>
      <c r="J270" s="2">
        <f t="shared" si="21"/>
        <v>72</v>
      </c>
      <c r="K270" s="2">
        <f t="shared" si="22"/>
        <v>4.4000000000000004</v>
      </c>
      <c r="L270" s="2">
        <f t="shared" si="23"/>
        <v>35.1</v>
      </c>
      <c r="M270" s="2">
        <f t="shared" si="24"/>
        <v>83.5</v>
      </c>
    </row>
    <row r="271" spans="1:13" x14ac:dyDescent="0.3">
      <c r="A271" s="2">
        <f>Datos!A271</f>
        <v>503</v>
      </c>
      <c r="B271" s="2" t="str">
        <f>Datos!B271</f>
        <v>Female</v>
      </c>
      <c r="C271" s="2" t="str">
        <f>Datos!C271</f>
        <v>High School</v>
      </c>
      <c r="D271" s="2" t="str">
        <f>Datos!G271</f>
        <v>C</v>
      </c>
      <c r="E271" s="2">
        <f>Datos!I271</f>
        <v>4.0999999999999996</v>
      </c>
      <c r="F271" s="2">
        <f>Datos!J271</f>
        <v>92</v>
      </c>
      <c r="G271" s="2">
        <f>Datos!L271</f>
        <v>40.4</v>
      </c>
      <c r="H271" s="2">
        <f>Datos!M271</f>
        <v>70</v>
      </c>
      <c r="I271" s="2" t="b">
        <f t="shared" si="20"/>
        <v>1</v>
      </c>
      <c r="J271" s="2">
        <f t="shared" si="21"/>
        <v>70</v>
      </c>
      <c r="K271" s="2">
        <f t="shared" si="22"/>
        <v>4.0999999999999996</v>
      </c>
      <c r="L271" s="2">
        <f t="shared" si="23"/>
        <v>40.4</v>
      </c>
      <c r="M271" s="2">
        <f t="shared" si="24"/>
        <v>92</v>
      </c>
    </row>
    <row r="272" spans="1:13" x14ac:dyDescent="0.3">
      <c r="A272" s="2">
        <f>Datos!A272</f>
        <v>929</v>
      </c>
      <c r="B272" s="2" t="str">
        <f>Datos!B272</f>
        <v>Male</v>
      </c>
      <c r="C272" s="2" t="str">
        <f>Datos!C272</f>
        <v>High School</v>
      </c>
      <c r="D272" s="2" t="str">
        <f>Datos!G272</f>
        <v>C</v>
      </c>
      <c r="E272" s="2">
        <f>Datos!I272</f>
        <v>4.0999999999999996</v>
      </c>
      <c r="F272" s="2">
        <f>Datos!J272</f>
        <v>72.2</v>
      </c>
      <c r="G272" s="2">
        <f>Datos!L272</f>
        <v>85.2</v>
      </c>
      <c r="H272" s="2">
        <f>Datos!M272</f>
        <v>77.400000000000006</v>
      </c>
      <c r="I272" s="2" t="b">
        <f t="shared" si="20"/>
        <v>1</v>
      </c>
      <c r="J272" s="2">
        <f t="shared" si="21"/>
        <v>77.400000000000006</v>
      </c>
      <c r="K272" s="2">
        <f t="shared" si="22"/>
        <v>4.0999999999999996</v>
      </c>
      <c r="L272" s="2">
        <f t="shared" si="23"/>
        <v>85.2</v>
      </c>
      <c r="M272" s="2">
        <f t="shared" si="24"/>
        <v>72.2</v>
      </c>
    </row>
    <row r="273" spans="1:13" x14ac:dyDescent="0.3">
      <c r="A273" s="2">
        <f>Datos!A273</f>
        <v>148</v>
      </c>
      <c r="B273" s="2" t="str">
        <f>Datos!B273</f>
        <v>Female</v>
      </c>
      <c r="C273" s="2" t="str">
        <f>Datos!C273</f>
        <v>High School</v>
      </c>
      <c r="D273" s="2" t="str">
        <f>Datos!G273</f>
        <v>C</v>
      </c>
      <c r="E273" s="2">
        <f>Datos!I273</f>
        <v>4.2</v>
      </c>
      <c r="F273" s="2">
        <f>Datos!J273</f>
        <v>74.5</v>
      </c>
      <c r="G273" s="2">
        <f>Datos!L273</f>
        <v>92.9</v>
      </c>
      <c r="H273" s="2">
        <f>Datos!M273</f>
        <v>70.2</v>
      </c>
      <c r="I273" s="2" t="b">
        <f t="shared" si="20"/>
        <v>1</v>
      </c>
      <c r="J273" s="2">
        <f t="shared" si="21"/>
        <v>70.2</v>
      </c>
      <c r="K273" s="2">
        <f t="shared" si="22"/>
        <v>4.2</v>
      </c>
      <c r="L273" s="2">
        <f t="shared" si="23"/>
        <v>92.9</v>
      </c>
      <c r="M273" s="2">
        <f t="shared" si="24"/>
        <v>74.5</v>
      </c>
    </row>
    <row r="274" spans="1:13" x14ac:dyDescent="0.3">
      <c r="A274" s="2">
        <f>Datos!A274</f>
        <v>928</v>
      </c>
      <c r="B274" s="2" t="str">
        <f>Datos!B274</f>
        <v>Female</v>
      </c>
      <c r="C274" s="2" t="str">
        <f>Datos!C274</f>
        <v>PhD</v>
      </c>
      <c r="D274" s="2" t="str">
        <f>Datos!G274</f>
        <v>D</v>
      </c>
      <c r="E274" s="2">
        <f>Datos!I274</f>
        <v>3.7</v>
      </c>
      <c r="F274" s="2">
        <f>Datos!J274</f>
        <v>78.099999999999994</v>
      </c>
      <c r="G274" s="2">
        <f>Datos!L274</f>
        <v>55.1</v>
      </c>
      <c r="H274" s="2">
        <f>Datos!M274</f>
        <v>73</v>
      </c>
      <c r="I274" s="2" t="b">
        <f t="shared" si="20"/>
        <v>1</v>
      </c>
      <c r="J274" s="2">
        <f t="shared" si="21"/>
        <v>73</v>
      </c>
      <c r="K274" s="2">
        <f t="shared" si="22"/>
        <v>3.7</v>
      </c>
      <c r="L274" s="2">
        <f t="shared" si="23"/>
        <v>55.1</v>
      </c>
      <c r="M274" s="2">
        <f t="shared" si="24"/>
        <v>78.099999999999994</v>
      </c>
    </row>
    <row r="275" spans="1:13" x14ac:dyDescent="0.3">
      <c r="A275" s="2">
        <f>Datos!A275</f>
        <v>228</v>
      </c>
      <c r="B275" s="2" t="str">
        <f>Datos!B275</f>
        <v>Male</v>
      </c>
      <c r="C275" s="2" t="str">
        <f>Datos!C275</f>
        <v>Bachelors</v>
      </c>
      <c r="D275" s="2" t="str">
        <f>Datos!G275</f>
        <v>B</v>
      </c>
      <c r="E275" s="2">
        <f>Datos!I275</f>
        <v>4.0999999999999996</v>
      </c>
      <c r="F275" s="2">
        <f>Datos!J275</f>
        <v>70.099999999999994</v>
      </c>
      <c r="G275" s="2">
        <f>Datos!L275</f>
        <v>85.6</v>
      </c>
      <c r="H275" s="2">
        <f>Datos!M275</f>
        <v>81.099999999999994</v>
      </c>
      <c r="I275" s="2" t="b">
        <f t="shared" si="20"/>
        <v>1</v>
      </c>
      <c r="J275" s="2">
        <f t="shared" si="21"/>
        <v>81.099999999999994</v>
      </c>
      <c r="K275" s="2">
        <f t="shared" si="22"/>
        <v>4.0999999999999996</v>
      </c>
      <c r="L275" s="2">
        <f t="shared" si="23"/>
        <v>85.6</v>
      </c>
      <c r="M275" s="2">
        <f t="shared" si="24"/>
        <v>70.099999999999994</v>
      </c>
    </row>
    <row r="276" spans="1:13" x14ac:dyDescent="0.3">
      <c r="A276" s="2">
        <f>Datos!A276</f>
        <v>739</v>
      </c>
      <c r="B276" s="2" t="str">
        <f>Datos!B276</f>
        <v>Male</v>
      </c>
      <c r="C276" s="2" t="str">
        <f>Datos!C276</f>
        <v>Bachelors</v>
      </c>
      <c r="D276" s="2" t="str">
        <f>Datos!G276</f>
        <v>B</v>
      </c>
      <c r="E276" s="2">
        <f>Datos!I276</f>
        <v>2.7</v>
      </c>
      <c r="F276" s="2">
        <f>Datos!J276</f>
        <v>95.9</v>
      </c>
      <c r="G276" s="2">
        <f>Datos!L276</f>
        <v>83.4</v>
      </c>
      <c r="H276" s="2">
        <f>Datos!M276</f>
        <v>88.1</v>
      </c>
      <c r="I276" s="2" t="b">
        <f t="shared" si="20"/>
        <v>1</v>
      </c>
      <c r="J276" s="2">
        <f t="shared" si="21"/>
        <v>88.1</v>
      </c>
      <c r="K276" s="2">
        <f t="shared" si="22"/>
        <v>2.7</v>
      </c>
      <c r="L276" s="2">
        <f t="shared" si="23"/>
        <v>83.4</v>
      </c>
      <c r="M276" s="2">
        <f t="shared" si="24"/>
        <v>95.9</v>
      </c>
    </row>
    <row r="277" spans="1:13" x14ac:dyDescent="0.3">
      <c r="A277" s="2">
        <f>Datos!A277</f>
        <v>646</v>
      </c>
      <c r="B277" s="2" t="str">
        <f>Datos!B277</f>
        <v>Male</v>
      </c>
      <c r="C277" s="2" t="str">
        <f>Datos!C277</f>
        <v>Bachelors</v>
      </c>
      <c r="D277" s="2" t="str">
        <f>Datos!G277</f>
        <v>A</v>
      </c>
      <c r="E277" s="2">
        <f>Datos!I277</f>
        <v>5</v>
      </c>
      <c r="F277" s="2">
        <f>Datos!J277</f>
        <v>94.6</v>
      </c>
      <c r="G277" s="2">
        <f>Datos!L277</f>
        <v>76.2</v>
      </c>
      <c r="H277" s="2">
        <f>Datos!M277</f>
        <v>98.9</v>
      </c>
      <c r="I277" s="2" t="b">
        <f t="shared" si="20"/>
        <v>1</v>
      </c>
      <c r="J277" s="2">
        <f t="shared" si="21"/>
        <v>98.9</v>
      </c>
      <c r="K277" s="2">
        <f t="shared" si="22"/>
        <v>5</v>
      </c>
      <c r="L277" s="2">
        <f t="shared" si="23"/>
        <v>76.2</v>
      </c>
      <c r="M277" s="2">
        <f t="shared" si="24"/>
        <v>94.6</v>
      </c>
    </row>
    <row r="278" spans="1:13" x14ac:dyDescent="0.3">
      <c r="A278" s="2">
        <f>Datos!A278</f>
        <v>850</v>
      </c>
      <c r="B278" s="2" t="str">
        <f>Datos!B278</f>
        <v>Male</v>
      </c>
      <c r="C278" s="2" t="str">
        <f>Datos!C278</f>
        <v>High School</v>
      </c>
      <c r="D278" s="2" t="str">
        <f>Datos!G278</f>
        <v>B</v>
      </c>
      <c r="E278" s="2">
        <f>Datos!I278</f>
        <v>3.2</v>
      </c>
      <c r="F278" s="2">
        <f>Datos!J278</f>
        <v>99.7</v>
      </c>
      <c r="G278" s="2">
        <f>Datos!L278</f>
        <v>81.3</v>
      </c>
      <c r="H278" s="2">
        <f>Datos!M278</f>
        <v>88.1</v>
      </c>
      <c r="I278" s="2" t="b">
        <f t="shared" si="20"/>
        <v>1</v>
      </c>
      <c r="J278" s="2">
        <f t="shared" si="21"/>
        <v>88.1</v>
      </c>
      <c r="K278" s="2">
        <f t="shared" si="22"/>
        <v>3.2</v>
      </c>
      <c r="L278" s="2">
        <f t="shared" si="23"/>
        <v>81.3</v>
      </c>
      <c r="M278" s="2">
        <f t="shared" si="24"/>
        <v>99.7</v>
      </c>
    </row>
    <row r="279" spans="1:13" x14ac:dyDescent="0.3">
      <c r="A279" s="2">
        <f>Datos!A279</f>
        <v>825</v>
      </c>
      <c r="B279" s="2" t="str">
        <f>Datos!B279</f>
        <v>Female</v>
      </c>
      <c r="C279" s="2" t="str">
        <f>Datos!C279</f>
        <v>Bachelors</v>
      </c>
      <c r="D279" s="2" t="str">
        <f>Datos!G279</f>
        <v>C</v>
      </c>
      <c r="E279" s="2">
        <f>Datos!I279</f>
        <v>3.3</v>
      </c>
      <c r="F279" s="2">
        <f>Datos!J279</f>
        <v>68.099999999999994</v>
      </c>
      <c r="G279" s="2">
        <f>Datos!L279</f>
        <v>84.1</v>
      </c>
      <c r="H279" s="2">
        <f>Datos!M279</f>
        <v>79.7</v>
      </c>
      <c r="I279" s="2" t="b">
        <f t="shared" si="20"/>
        <v>1</v>
      </c>
      <c r="J279" s="2">
        <f t="shared" si="21"/>
        <v>79.7</v>
      </c>
      <c r="K279" s="2">
        <f t="shared" si="22"/>
        <v>3.3</v>
      </c>
      <c r="L279" s="2">
        <f t="shared" si="23"/>
        <v>84.1</v>
      </c>
      <c r="M279" s="2">
        <f t="shared" si="24"/>
        <v>68.099999999999994</v>
      </c>
    </row>
    <row r="280" spans="1:13" x14ac:dyDescent="0.3">
      <c r="A280" s="2">
        <f>Datos!A280</f>
        <v>386</v>
      </c>
      <c r="B280" s="2" t="str">
        <f>Datos!B280</f>
        <v>Female</v>
      </c>
      <c r="C280" s="2" t="str">
        <f>Datos!C280</f>
        <v>Bachelors</v>
      </c>
      <c r="D280" s="2" t="str">
        <f>Datos!G280</f>
        <v>B</v>
      </c>
      <c r="E280" s="2">
        <f>Datos!I280</f>
        <v>4.0999999999999996</v>
      </c>
      <c r="F280" s="2">
        <f>Datos!J280</f>
        <v>79.3</v>
      </c>
      <c r="G280" s="2">
        <f>Datos!L280</f>
        <v>90.9</v>
      </c>
      <c r="H280" s="2">
        <f>Datos!M280</f>
        <v>88.6</v>
      </c>
      <c r="I280" s="2" t="b">
        <f t="shared" si="20"/>
        <v>1</v>
      </c>
      <c r="J280" s="2">
        <f t="shared" si="21"/>
        <v>88.6</v>
      </c>
      <c r="K280" s="2">
        <f t="shared" si="22"/>
        <v>4.0999999999999996</v>
      </c>
      <c r="L280" s="2">
        <f t="shared" si="23"/>
        <v>90.9</v>
      </c>
      <c r="M280" s="2">
        <f t="shared" si="24"/>
        <v>79.3</v>
      </c>
    </row>
    <row r="281" spans="1:13" x14ac:dyDescent="0.3">
      <c r="A281" s="2">
        <f>Datos!A281</f>
        <v>328</v>
      </c>
      <c r="B281" s="2" t="str">
        <f>Datos!B281</f>
        <v>Female</v>
      </c>
      <c r="C281" s="2" t="str">
        <f>Datos!C281</f>
        <v>Masters</v>
      </c>
      <c r="D281" s="2" t="str">
        <f>Datos!G281</f>
        <v>B</v>
      </c>
      <c r="E281" s="2">
        <f>Datos!I281</f>
        <v>6.7</v>
      </c>
      <c r="F281" s="2">
        <f>Datos!J281</f>
        <v>95.6</v>
      </c>
      <c r="G281" s="2">
        <f>Datos!L281</f>
        <v>66.099999999999994</v>
      </c>
      <c r="H281" s="2">
        <f>Datos!M281</f>
        <v>81.900000000000006</v>
      </c>
      <c r="I281" s="2" t="b">
        <f t="shared" si="20"/>
        <v>1</v>
      </c>
      <c r="J281" s="2">
        <f t="shared" si="21"/>
        <v>81.900000000000006</v>
      </c>
      <c r="K281" s="2">
        <f t="shared" si="22"/>
        <v>6.7</v>
      </c>
      <c r="L281" s="2">
        <f t="shared" si="23"/>
        <v>66.099999999999994</v>
      </c>
      <c r="M281" s="2">
        <f t="shared" si="24"/>
        <v>95.6</v>
      </c>
    </row>
    <row r="282" spans="1:13" x14ac:dyDescent="0.3">
      <c r="A282" s="2">
        <f>Datos!A282</f>
        <v>711</v>
      </c>
      <c r="B282" s="2" t="str">
        <f>Datos!B282</f>
        <v>Male</v>
      </c>
      <c r="C282" s="2" t="str">
        <f>Datos!C282</f>
        <v>High School</v>
      </c>
      <c r="D282" s="2" t="str">
        <f>Datos!G282</f>
        <v>C</v>
      </c>
      <c r="E282" s="2">
        <f>Datos!I282</f>
        <v>4.7</v>
      </c>
      <c r="F282" s="2">
        <f>Datos!J282</f>
        <v>72.400000000000006</v>
      </c>
      <c r="G282" s="2">
        <f>Datos!L282</f>
        <v>67.099999999999994</v>
      </c>
      <c r="H282" s="2">
        <f>Datos!M282</f>
        <v>72.3</v>
      </c>
      <c r="I282" s="2" t="b">
        <f t="shared" si="20"/>
        <v>1</v>
      </c>
      <c r="J282" s="2">
        <f t="shared" si="21"/>
        <v>72.3</v>
      </c>
      <c r="K282" s="2">
        <f t="shared" si="22"/>
        <v>4.7</v>
      </c>
      <c r="L282" s="2">
        <f t="shared" si="23"/>
        <v>67.099999999999994</v>
      </c>
      <c r="M282" s="2">
        <f t="shared" si="24"/>
        <v>72.400000000000006</v>
      </c>
    </row>
    <row r="283" spans="1:13" x14ac:dyDescent="0.3">
      <c r="A283" s="2">
        <f>Datos!A283</f>
        <v>395</v>
      </c>
      <c r="B283" s="2" t="str">
        <f>Datos!B283</f>
        <v>Male</v>
      </c>
      <c r="C283" s="2" t="str">
        <f>Datos!C283</f>
        <v>High School</v>
      </c>
      <c r="D283" s="2" t="str">
        <f>Datos!G283</f>
        <v>B</v>
      </c>
      <c r="E283" s="2">
        <f>Datos!I283</f>
        <v>3.9</v>
      </c>
      <c r="F283" s="2">
        <f>Datos!J283</f>
        <v>75.2</v>
      </c>
      <c r="G283" s="2">
        <f>Datos!L283</f>
        <v>67</v>
      </c>
      <c r="H283" s="2">
        <f>Datos!M283</f>
        <v>82.2</v>
      </c>
      <c r="I283" s="2" t="b">
        <f t="shared" si="20"/>
        <v>1</v>
      </c>
      <c r="J283" s="2">
        <f t="shared" si="21"/>
        <v>82.2</v>
      </c>
      <c r="K283" s="2">
        <f t="shared" si="22"/>
        <v>3.9</v>
      </c>
      <c r="L283" s="2">
        <f t="shared" si="23"/>
        <v>67</v>
      </c>
      <c r="M283" s="2">
        <f t="shared" si="24"/>
        <v>75.2</v>
      </c>
    </row>
    <row r="284" spans="1:13" x14ac:dyDescent="0.3">
      <c r="A284" s="2">
        <f>Datos!A284</f>
        <v>388</v>
      </c>
      <c r="B284" s="2" t="str">
        <f>Datos!B284</f>
        <v>Female</v>
      </c>
      <c r="C284" s="2" t="str">
        <f>Datos!C284</f>
        <v>Bachelors</v>
      </c>
      <c r="D284" s="2" t="str">
        <f>Datos!G284</f>
        <v>C</v>
      </c>
      <c r="E284" s="2">
        <f>Datos!I284</f>
        <v>4.3</v>
      </c>
      <c r="F284" s="2">
        <f>Datos!J284</f>
        <v>65.099999999999994</v>
      </c>
      <c r="G284" s="2">
        <f>Datos!L284</f>
        <v>78</v>
      </c>
      <c r="H284" s="2">
        <f>Datos!M284</f>
        <v>79.900000000000006</v>
      </c>
      <c r="I284" s="2" t="b">
        <f t="shared" si="20"/>
        <v>1</v>
      </c>
      <c r="J284" s="2">
        <f t="shared" si="21"/>
        <v>79.900000000000006</v>
      </c>
      <c r="K284" s="2">
        <f t="shared" si="22"/>
        <v>4.3</v>
      </c>
      <c r="L284" s="2">
        <f t="shared" si="23"/>
        <v>78</v>
      </c>
      <c r="M284" s="2">
        <f t="shared" si="24"/>
        <v>65.099999999999994</v>
      </c>
    </row>
    <row r="285" spans="1:13" x14ac:dyDescent="0.3">
      <c r="A285" s="2">
        <f>Datos!A285</f>
        <v>659</v>
      </c>
      <c r="B285" s="2" t="str">
        <f>Datos!B285</f>
        <v>Male</v>
      </c>
      <c r="C285" s="2" t="str">
        <f>Datos!C285</f>
        <v>High School</v>
      </c>
      <c r="D285" s="2" t="str">
        <f>Datos!G285</f>
        <v>C</v>
      </c>
      <c r="E285" s="2">
        <f>Datos!I285</f>
        <v>3.1</v>
      </c>
      <c r="F285" s="2">
        <f>Datos!J285</f>
        <v>87.9</v>
      </c>
      <c r="G285" s="2">
        <f>Datos!L285</f>
        <v>84</v>
      </c>
      <c r="H285" s="2">
        <f>Datos!M285</f>
        <v>76</v>
      </c>
      <c r="I285" s="2" t="b">
        <f t="shared" si="20"/>
        <v>1</v>
      </c>
      <c r="J285" s="2">
        <f t="shared" si="21"/>
        <v>76</v>
      </c>
      <c r="K285" s="2">
        <f t="shared" si="22"/>
        <v>3.1</v>
      </c>
      <c r="L285" s="2">
        <f t="shared" si="23"/>
        <v>84</v>
      </c>
      <c r="M285" s="2">
        <f t="shared" si="24"/>
        <v>87.9</v>
      </c>
    </row>
    <row r="286" spans="1:13" x14ac:dyDescent="0.3">
      <c r="A286" s="2">
        <f>Datos!A286</f>
        <v>778</v>
      </c>
      <c r="B286" s="2" t="str">
        <f>Datos!B286</f>
        <v>Female</v>
      </c>
      <c r="C286" s="2">
        <f>Datos!C286</f>
        <v>0</v>
      </c>
      <c r="D286" s="2" t="str">
        <f>Datos!G286</f>
        <v>C</v>
      </c>
      <c r="E286" s="2">
        <f>Datos!I286</f>
        <v>6.8</v>
      </c>
      <c r="F286" s="2">
        <f>Datos!J286</f>
        <v>65.2</v>
      </c>
      <c r="G286" s="2">
        <f>Datos!L286</f>
        <v>36.6</v>
      </c>
      <c r="H286" s="2">
        <f>Datos!M286</f>
        <v>78.7</v>
      </c>
      <c r="I286" s="2" t="b">
        <f t="shared" si="20"/>
        <v>1</v>
      </c>
      <c r="J286" s="2">
        <f t="shared" si="21"/>
        <v>78.7</v>
      </c>
      <c r="K286" s="2">
        <f t="shared" si="22"/>
        <v>6.8</v>
      </c>
      <c r="L286" s="2">
        <f t="shared" si="23"/>
        <v>36.6</v>
      </c>
      <c r="M286" s="2">
        <f t="shared" si="24"/>
        <v>65.2</v>
      </c>
    </row>
    <row r="287" spans="1:13" x14ac:dyDescent="0.3">
      <c r="A287" s="2">
        <f>Datos!A287</f>
        <v>45</v>
      </c>
      <c r="B287" s="2" t="str">
        <f>Datos!B287</f>
        <v>Female</v>
      </c>
      <c r="C287" s="2" t="str">
        <f>Datos!C287</f>
        <v>Bachelors</v>
      </c>
      <c r="D287" s="2" t="str">
        <f>Datos!G287</f>
        <v>C</v>
      </c>
      <c r="E287" s="2">
        <f>Datos!I287</f>
        <v>3.4</v>
      </c>
      <c r="F287" s="2">
        <f>Datos!J287</f>
        <v>75.599999999999994</v>
      </c>
      <c r="G287" s="2">
        <f>Datos!L287</f>
        <v>87.8</v>
      </c>
      <c r="H287" s="2">
        <f>Datos!M287</f>
        <v>79.3</v>
      </c>
      <c r="I287" s="2" t="b">
        <f t="shared" si="20"/>
        <v>1</v>
      </c>
      <c r="J287" s="2">
        <f t="shared" si="21"/>
        <v>79.3</v>
      </c>
      <c r="K287" s="2">
        <f t="shared" si="22"/>
        <v>3.4</v>
      </c>
      <c r="L287" s="2">
        <f t="shared" si="23"/>
        <v>87.8</v>
      </c>
      <c r="M287" s="2">
        <f t="shared" si="24"/>
        <v>75.599999999999994</v>
      </c>
    </row>
    <row r="288" spans="1:13" x14ac:dyDescent="0.3">
      <c r="A288" s="2">
        <f>Datos!A288</f>
        <v>661</v>
      </c>
      <c r="B288" s="2" t="str">
        <f>Datos!B288</f>
        <v>Female</v>
      </c>
      <c r="C288" s="2" t="str">
        <f>Datos!C288</f>
        <v>Bachelors</v>
      </c>
      <c r="D288" s="2" t="str">
        <f>Datos!G288</f>
        <v>F</v>
      </c>
      <c r="E288" s="2">
        <f>Datos!I288</f>
        <v>4.7</v>
      </c>
      <c r="F288" s="2">
        <f>Datos!J288</f>
        <v>84.1</v>
      </c>
      <c r="G288" s="2">
        <f>Datos!L288</f>
        <v>44.3</v>
      </c>
      <c r="H288" s="2">
        <f>Datos!M288</f>
        <v>55.1</v>
      </c>
      <c r="I288" s="2" t="b">
        <f t="shared" si="20"/>
        <v>1</v>
      </c>
      <c r="J288" s="2">
        <f t="shared" si="21"/>
        <v>55.1</v>
      </c>
      <c r="K288" s="2">
        <f t="shared" si="22"/>
        <v>4.7</v>
      </c>
      <c r="L288" s="2">
        <f t="shared" si="23"/>
        <v>44.3</v>
      </c>
      <c r="M288" s="2">
        <f t="shared" si="24"/>
        <v>84.1</v>
      </c>
    </row>
    <row r="289" spans="1:13" x14ac:dyDescent="0.3">
      <c r="A289" s="2">
        <f>Datos!A289</f>
        <v>601</v>
      </c>
      <c r="B289" s="2" t="str">
        <f>Datos!B289</f>
        <v>Female</v>
      </c>
      <c r="C289" s="2" t="str">
        <f>Datos!C289</f>
        <v>High School</v>
      </c>
      <c r="D289" s="2" t="str">
        <f>Datos!G289</f>
        <v>D</v>
      </c>
      <c r="E289" s="2">
        <f>Datos!I289</f>
        <v>1.7</v>
      </c>
      <c r="F289" s="2">
        <f>Datos!J289</f>
        <v>90.5</v>
      </c>
      <c r="G289" s="2">
        <f>Datos!L289</f>
        <v>56.2</v>
      </c>
      <c r="H289" s="2">
        <f>Datos!M289</f>
        <v>63.2</v>
      </c>
      <c r="I289" s="2" t="b">
        <f t="shared" si="20"/>
        <v>1</v>
      </c>
      <c r="J289" s="2">
        <f t="shared" si="21"/>
        <v>63.2</v>
      </c>
      <c r="K289" s="2">
        <f t="shared" si="22"/>
        <v>1.7</v>
      </c>
      <c r="L289" s="2">
        <f t="shared" si="23"/>
        <v>56.2</v>
      </c>
      <c r="M289" s="2">
        <f t="shared" si="24"/>
        <v>90.5</v>
      </c>
    </row>
    <row r="290" spans="1:13" x14ac:dyDescent="0.3">
      <c r="A290" s="2">
        <f>Datos!A290</f>
        <v>27</v>
      </c>
      <c r="B290" s="2" t="str">
        <f>Datos!B290</f>
        <v>Female</v>
      </c>
      <c r="C290" s="2" t="str">
        <f>Datos!C290</f>
        <v>PhD</v>
      </c>
      <c r="D290" s="2" t="str">
        <f>Datos!G290</f>
        <v>D</v>
      </c>
      <c r="E290" s="2">
        <f>Datos!I290</f>
        <v>3.5</v>
      </c>
      <c r="F290" s="2">
        <f>Datos!J290</f>
        <v>92.5</v>
      </c>
      <c r="G290" s="2">
        <f>Datos!L290</f>
        <v>49</v>
      </c>
      <c r="H290" s="2">
        <f>Datos!M290</f>
        <v>63.2</v>
      </c>
      <c r="I290" s="2" t="b">
        <f t="shared" si="20"/>
        <v>1</v>
      </c>
      <c r="J290" s="2">
        <f t="shared" si="21"/>
        <v>63.2</v>
      </c>
      <c r="K290" s="2">
        <f t="shared" si="22"/>
        <v>3.5</v>
      </c>
      <c r="L290" s="2">
        <f t="shared" si="23"/>
        <v>49</v>
      </c>
      <c r="M290" s="2">
        <f t="shared" si="24"/>
        <v>92.5</v>
      </c>
    </row>
    <row r="291" spans="1:13" x14ac:dyDescent="0.3">
      <c r="A291" s="2">
        <f>Datos!A291</f>
        <v>876</v>
      </c>
      <c r="B291" s="2" t="str">
        <f>Datos!B291</f>
        <v>Female</v>
      </c>
      <c r="C291" s="2" t="str">
        <f>Datos!C291</f>
        <v>Bachelors</v>
      </c>
      <c r="D291" s="2" t="str">
        <f>Datos!G291</f>
        <v>C</v>
      </c>
      <c r="E291" s="2">
        <f>Datos!I291</f>
        <v>3</v>
      </c>
      <c r="F291" s="2">
        <f>Datos!J291</f>
        <v>88</v>
      </c>
      <c r="G291" s="2">
        <f>Datos!L291</f>
        <v>56.5</v>
      </c>
      <c r="H291" s="2">
        <f>Datos!M291</f>
        <v>75.3</v>
      </c>
      <c r="I291" s="2" t="b">
        <f t="shared" si="20"/>
        <v>1</v>
      </c>
      <c r="J291" s="2">
        <f t="shared" si="21"/>
        <v>75.3</v>
      </c>
      <c r="K291" s="2">
        <f t="shared" si="22"/>
        <v>3</v>
      </c>
      <c r="L291" s="2">
        <f t="shared" si="23"/>
        <v>56.5</v>
      </c>
      <c r="M291" s="2">
        <f t="shared" si="24"/>
        <v>88</v>
      </c>
    </row>
    <row r="292" spans="1:13" x14ac:dyDescent="0.3">
      <c r="A292" s="2">
        <f>Datos!A292</f>
        <v>251</v>
      </c>
      <c r="B292" s="2" t="str">
        <f>Datos!B292</f>
        <v>Male</v>
      </c>
      <c r="C292" s="2" t="str">
        <f>Datos!C292</f>
        <v>High School</v>
      </c>
      <c r="D292" s="2" t="str">
        <f>Datos!G292</f>
        <v>A</v>
      </c>
      <c r="E292" s="2">
        <f>Datos!I292</f>
        <v>6.8</v>
      </c>
      <c r="F292" s="2">
        <f>Datos!J292</f>
        <v>83.3</v>
      </c>
      <c r="G292" s="2">
        <f>Datos!L292</f>
        <v>76.900000000000006</v>
      </c>
      <c r="H292" s="2">
        <f>Datos!M292</f>
        <v>100</v>
      </c>
      <c r="I292" s="2" t="b">
        <f t="shared" si="20"/>
        <v>1</v>
      </c>
      <c r="J292" s="2">
        <f t="shared" si="21"/>
        <v>100</v>
      </c>
      <c r="K292" s="2">
        <f t="shared" si="22"/>
        <v>6.8</v>
      </c>
      <c r="L292" s="2">
        <f t="shared" si="23"/>
        <v>76.900000000000006</v>
      </c>
      <c r="M292" s="2">
        <f t="shared" si="24"/>
        <v>83.3</v>
      </c>
    </row>
    <row r="293" spans="1:13" x14ac:dyDescent="0.3">
      <c r="A293" s="2">
        <f>Datos!A293</f>
        <v>479</v>
      </c>
      <c r="B293" s="2" t="str">
        <f>Datos!B293</f>
        <v>Female</v>
      </c>
      <c r="C293" s="2" t="str">
        <f>Datos!C293</f>
        <v>Masters</v>
      </c>
      <c r="D293" s="2" t="str">
        <f>Datos!G293</f>
        <v>D</v>
      </c>
      <c r="E293" s="2">
        <f>Datos!I293</f>
        <v>2.2000000000000002</v>
      </c>
      <c r="F293" s="2">
        <f>Datos!J293</f>
        <v>93.7</v>
      </c>
      <c r="G293" s="2">
        <f>Datos!L293</f>
        <v>86.2</v>
      </c>
      <c r="H293" s="2">
        <f>Datos!M293</f>
        <v>69.2</v>
      </c>
      <c r="I293" s="2" t="b">
        <f t="shared" si="20"/>
        <v>1</v>
      </c>
      <c r="J293" s="2">
        <f t="shared" si="21"/>
        <v>69.2</v>
      </c>
      <c r="K293" s="2">
        <f t="shared" si="22"/>
        <v>2.2000000000000002</v>
      </c>
      <c r="L293" s="2">
        <f t="shared" si="23"/>
        <v>86.2</v>
      </c>
      <c r="M293" s="2">
        <f t="shared" si="24"/>
        <v>93.7</v>
      </c>
    </row>
    <row r="294" spans="1:13" x14ac:dyDescent="0.3">
      <c r="A294" s="2">
        <f>Datos!A294</f>
        <v>834</v>
      </c>
      <c r="B294" s="2" t="str">
        <f>Datos!B294</f>
        <v>Female</v>
      </c>
      <c r="C294" s="2" t="str">
        <f>Datos!C294</f>
        <v>Bachelors</v>
      </c>
      <c r="D294" s="2" t="str">
        <f>Datos!G294</f>
        <v>B</v>
      </c>
      <c r="E294" s="2">
        <f>Datos!I294</f>
        <v>6.2</v>
      </c>
      <c r="F294" s="2">
        <f>Datos!J294</f>
        <v>82.2</v>
      </c>
      <c r="G294" s="2">
        <f>Datos!L294</f>
        <v>62.7</v>
      </c>
      <c r="H294" s="2">
        <f>Datos!M294</f>
        <v>80.7</v>
      </c>
      <c r="I294" s="2" t="b">
        <f t="shared" si="20"/>
        <v>1</v>
      </c>
      <c r="J294" s="2">
        <f t="shared" si="21"/>
        <v>80.7</v>
      </c>
      <c r="K294" s="2">
        <f t="shared" si="22"/>
        <v>6.2</v>
      </c>
      <c r="L294" s="2">
        <f t="shared" si="23"/>
        <v>62.7</v>
      </c>
      <c r="M294" s="2">
        <f t="shared" si="24"/>
        <v>82.2</v>
      </c>
    </row>
    <row r="295" spans="1:13" x14ac:dyDescent="0.3">
      <c r="A295" s="2">
        <f>Datos!A295</f>
        <v>791</v>
      </c>
      <c r="B295" s="2" t="str">
        <f>Datos!B295</f>
        <v>Female</v>
      </c>
      <c r="C295" s="2" t="str">
        <f>Datos!C295</f>
        <v>PhD</v>
      </c>
      <c r="D295" s="2" t="str">
        <f>Datos!G295</f>
        <v>C</v>
      </c>
      <c r="E295" s="2">
        <f>Datos!I295</f>
        <v>2.5</v>
      </c>
      <c r="F295" s="2">
        <f>Datos!J295</f>
        <v>80.8</v>
      </c>
      <c r="G295" s="2">
        <f>Datos!L295</f>
        <v>75.599999999999994</v>
      </c>
      <c r="H295" s="2">
        <f>Datos!M295</f>
        <v>71.400000000000006</v>
      </c>
      <c r="I295" s="2" t="b">
        <f t="shared" si="20"/>
        <v>1</v>
      </c>
      <c r="J295" s="2">
        <f t="shared" si="21"/>
        <v>71.400000000000006</v>
      </c>
      <c r="K295" s="2">
        <f t="shared" si="22"/>
        <v>2.5</v>
      </c>
      <c r="L295" s="2">
        <f t="shared" si="23"/>
        <v>75.599999999999994</v>
      </c>
      <c r="M295" s="2">
        <f t="shared" si="24"/>
        <v>80.8</v>
      </c>
    </row>
    <row r="296" spans="1:13" x14ac:dyDescent="0.3">
      <c r="A296" s="2">
        <f>Datos!A296</f>
        <v>733</v>
      </c>
      <c r="B296" s="2" t="str">
        <f>Datos!B296</f>
        <v>Male</v>
      </c>
      <c r="C296" s="2">
        <f>Datos!C296</f>
        <v>0</v>
      </c>
      <c r="D296" s="2" t="str">
        <f>Datos!G296</f>
        <v>B</v>
      </c>
      <c r="E296" s="2">
        <f>Datos!I296</f>
        <v>6.1</v>
      </c>
      <c r="F296" s="2">
        <f>Datos!J296</f>
        <v>72.7</v>
      </c>
      <c r="G296" s="2">
        <f>Datos!L296</f>
        <v>65.599999999999994</v>
      </c>
      <c r="H296" s="2">
        <f>Datos!M296</f>
        <v>87.9</v>
      </c>
      <c r="I296" s="2" t="b">
        <f t="shared" si="20"/>
        <v>1</v>
      </c>
      <c r="J296" s="2">
        <f t="shared" si="21"/>
        <v>87.9</v>
      </c>
      <c r="K296" s="2">
        <f t="shared" si="22"/>
        <v>6.1</v>
      </c>
      <c r="L296" s="2">
        <f t="shared" si="23"/>
        <v>65.599999999999994</v>
      </c>
      <c r="M296" s="2">
        <f t="shared" si="24"/>
        <v>72.7</v>
      </c>
    </row>
    <row r="297" spans="1:13" x14ac:dyDescent="0.3">
      <c r="A297" s="2">
        <f>Datos!A297</f>
        <v>358</v>
      </c>
      <c r="B297" s="2" t="str">
        <f>Datos!B297</f>
        <v>Male</v>
      </c>
      <c r="C297" s="2" t="str">
        <f>Datos!C297</f>
        <v>High School</v>
      </c>
      <c r="D297" s="2" t="str">
        <f>Datos!G297</f>
        <v>C</v>
      </c>
      <c r="E297" s="2">
        <f>Datos!I297</f>
        <v>2.2999999999999998</v>
      </c>
      <c r="F297" s="2">
        <f>Datos!J297</f>
        <v>93.4</v>
      </c>
      <c r="G297" s="2">
        <f>Datos!L297</f>
        <v>75.599999999999994</v>
      </c>
      <c r="H297" s="2">
        <f>Datos!M297</f>
        <v>78.3</v>
      </c>
      <c r="I297" s="2" t="b">
        <f t="shared" si="20"/>
        <v>1</v>
      </c>
      <c r="J297" s="2">
        <f t="shared" si="21"/>
        <v>78.3</v>
      </c>
      <c r="K297" s="2">
        <f t="shared" si="22"/>
        <v>2.2999999999999998</v>
      </c>
      <c r="L297" s="2">
        <f t="shared" si="23"/>
        <v>75.599999999999994</v>
      </c>
      <c r="M297" s="2">
        <f t="shared" si="24"/>
        <v>93.4</v>
      </c>
    </row>
    <row r="298" spans="1:13" x14ac:dyDescent="0.3">
      <c r="A298" s="2">
        <f>Datos!A298</f>
        <v>302</v>
      </c>
      <c r="B298" s="2" t="str">
        <f>Datos!B298</f>
        <v>Male</v>
      </c>
      <c r="C298" s="2" t="str">
        <f>Datos!C298</f>
        <v>High School</v>
      </c>
      <c r="D298" s="2" t="str">
        <f>Datos!G298</f>
        <v>D</v>
      </c>
      <c r="E298" s="2">
        <f>Datos!I298</f>
        <v>1.4</v>
      </c>
      <c r="F298" s="2">
        <f>Datos!J298</f>
        <v>95.1</v>
      </c>
      <c r="G298" s="2">
        <f>Datos!L298</f>
        <v>68.400000000000006</v>
      </c>
      <c r="H298" s="2">
        <f>Datos!M298</f>
        <v>63.1</v>
      </c>
      <c r="I298" s="2" t="b">
        <f t="shared" si="20"/>
        <v>1</v>
      </c>
      <c r="J298" s="2">
        <f t="shared" si="21"/>
        <v>63.1</v>
      </c>
      <c r="K298" s="2">
        <f t="shared" si="22"/>
        <v>1.4</v>
      </c>
      <c r="L298" s="2">
        <f t="shared" si="23"/>
        <v>68.400000000000006</v>
      </c>
      <c r="M298" s="2">
        <f t="shared" si="24"/>
        <v>95.1</v>
      </c>
    </row>
    <row r="299" spans="1:13" x14ac:dyDescent="0.3">
      <c r="A299" s="2">
        <f>Datos!A299</f>
        <v>475</v>
      </c>
      <c r="B299" s="2" t="str">
        <f>Datos!B299</f>
        <v>Female</v>
      </c>
      <c r="C299" s="2">
        <f>Datos!C299</f>
        <v>0</v>
      </c>
      <c r="D299" s="2" t="str">
        <f>Datos!G299</f>
        <v>C</v>
      </c>
      <c r="E299" s="2">
        <f>Datos!I299</f>
        <v>3.1</v>
      </c>
      <c r="F299" s="2">
        <f>Datos!J299</f>
        <v>95</v>
      </c>
      <c r="G299" s="2">
        <f>Datos!L299</f>
        <v>71.900000000000006</v>
      </c>
      <c r="H299" s="2">
        <f>Datos!M299</f>
        <v>73.5</v>
      </c>
      <c r="I299" s="2" t="b">
        <f t="shared" si="20"/>
        <v>1</v>
      </c>
      <c r="J299" s="2">
        <f t="shared" si="21"/>
        <v>73.5</v>
      </c>
      <c r="K299" s="2">
        <f t="shared" si="22"/>
        <v>3.1</v>
      </c>
      <c r="L299" s="2">
        <f t="shared" si="23"/>
        <v>71.900000000000006</v>
      </c>
      <c r="M299" s="2">
        <f t="shared" si="24"/>
        <v>95</v>
      </c>
    </row>
    <row r="300" spans="1:13" x14ac:dyDescent="0.3">
      <c r="A300" s="2">
        <f>Datos!A300</f>
        <v>561</v>
      </c>
      <c r="B300" s="2" t="str">
        <f>Datos!B300</f>
        <v>Female</v>
      </c>
      <c r="C300" s="2">
        <f>Datos!C300</f>
        <v>0</v>
      </c>
      <c r="D300" s="2" t="str">
        <f>Datos!G300</f>
        <v>B</v>
      </c>
      <c r="E300" s="2">
        <f>Datos!I300</f>
        <v>4.0999999999999996</v>
      </c>
      <c r="F300" s="2">
        <f>Datos!J300</f>
        <v>69.2</v>
      </c>
      <c r="G300" s="2">
        <f>Datos!L300</f>
        <v>71.2</v>
      </c>
      <c r="H300" s="2">
        <f>Datos!M300</f>
        <v>81.099999999999994</v>
      </c>
      <c r="I300" s="2" t="b">
        <f t="shared" si="20"/>
        <v>1</v>
      </c>
      <c r="J300" s="2">
        <f t="shared" si="21"/>
        <v>81.099999999999994</v>
      </c>
      <c r="K300" s="2">
        <f t="shared" si="22"/>
        <v>4.0999999999999996</v>
      </c>
      <c r="L300" s="2">
        <f t="shared" si="23"/>
        <v>71.2</v>
      </c>
      <c r="M300" s="2">
        <f t="shared" si="24"/>
        <v>69.2</v>
      </c>
    </row>
    <row r="301" spans="1:13" x14ac:dyDescent="0.3">
      <c r="A301" s="2">
        <f>Datos!A301</f>
        <v>717</v>
      </c>
      <c r="B301" s="2" t="str">
        <f>Datos!B301</f>
        <v>Male</v>
      </c>
      <c r="C301" s="2" t="str">
        <f>Datos!C301</f>
        <v>Masters</v>
      </c>
      <c r="D301" s="2" t="str">
        <f>Datos!G301</f>
        <v>C</v>
      </c>
      <c r="E301" s="2">
        <f>Datos!I301</f>
        <v>5.0999999999999996</v>
      </c>
      <c r="F301" s="2">
        <f>Datos!J301</f>
        <v>74.3</v>
      </c>
      <c r="G301" s="2">
        <f>Datos!L301</f>
        <v>92.2</v>
      </c>
      <c r="H301" s="2">
        <f>Datos!M301</f>
        <v>76.8</v>
      </c>
      <c r="I301" s="2" t="b">
        <f t="shared" si="20"/>
        <v>1</v>
      </c>
      <c r="J301" s="2">
        <f t="shared" si="21"/>
        <v>76.8</v>
      </c>
      <c r="K301" s="2">
        <f t="shared" si="22"/>
        <v>5.0999999999999996</v>
      </c>
      <c r="L301" s="2">
        <f t="shared" si="23"/>
        <v>92.2</v>
      </c>
      <c r="M301" s="2">
        <f t="shared" si="24"/>
        <v>74.3</v>
      </c>
    </row>
    <row r="302" spans="1:13" x14ac:dyDescent="0.3">
      <c r="A302" s="2">
        <f>Datos!A302</f>
        <v>635</v>
      </c>
      <c r="B302" s="2" t="str">
        <f>Datos!B302</f>
        <v>Male</v>
      </c>
      <c r="C302" s="2">
        <f>Datos!C302</f>
        <v>0</v>
      </c>
      <c r="D302" s="2" t="str">
        <f>Datos!G302</f>
        <v>D</v>
      </c>
      <c r="E302" s="2">
        <f>Datos!I302</f>
        <v>1.2</v>
      </c>
      <c r="F302" s="2">
        <f>Datos!J302</f>
        <v>91.7</v>
      </c>
      <c r="G302" s="2">
        <f>Datos!L302</f>
        <v>87.9</v>
      </c>
      <c r="H302" s="2">
        <f>Datos!M302</f>
        <v>68.7</v>
      </c>
      <c r="I302" s="2" t="b">
        <f t="shared" si="20"/>
        <v>1</v>
      </c>
      <c r="J302" s="2">
        <f t="shared" si="21"/>
        <v>68.7</v>
      </c>
      <c r="K302" s="2">
        <f t="shared" si="22"/>
        <v>1.2</v>
      </c>
      <c r="L302" s="2">
        <f t="shared" si="23"/>
        <v>87.9</v>
      </c>
      <c r="M302" s="2">
        <f t="shared" si="24"/>
        <v>91.7</v>
      </c>
    </row>
    <row r="303" spans="1:13" x14ac:dyDescent="0.3">
      <c r="A303" s="2">
        <f>Datos!A303</f>
        <v>49</v>
      </c>
      <c r="B303" s="2" t="str">
        <f>Datos!B303</f>
        <v>Male</v>
      </c>
      <c r="C303" s="2">
        <f>Datos!C303</f>
        <v>0</v>
      </c>
      <c r="D303" s="2" t="str">
        <f>Datos!G303</f>
        <v>F</v>
      </c>
      <c r="E303" s="2">
        <f>Datos!I303</f>
        <v>1.8</v>
      </c>
      <c r="F303" s="2">
        <f>Datos!J303</f>
        <v>69.400000000000006</v>
      </c>
      <c r="G303" s="2">
        <f>Datos!L303</f>
        <v>44.3</v>
      </c>
      <c r="H303" s="2">
        <f>Datos!M303</f>
        <v>45.1</v>
      </c>
      <c r="I303" s="2" t="b">
        <f t="shared" si="20"/>
        <v>1</v>
      </c>
      <c r="J303" s="2">
        <f t="shared" si="21"/>
        <v>45.1</v>
      </c>
      <c r="K303" s="2">
        <f t="shared" si="22"/>
        <v>1.8</v>
      </c>
      <c r="L303" s="2">
        <f t="shared" si="23"/>
        <v>44.3</v>
      </c>
      <c r="M303" s="2">
        <f t="shared" si="24"/>
        <v>69.400000000000006</v>
      </c>
    </row>
    <row r="304" spans="1:13" x14ac:dyDescent="0.3">
      <c r="A304" s="2">
        <f>Datos!A304</f>
        <v>751</v>
      </c>
      <c r="B304" s="2" t="str">
        <f>Datos!B304</f>
        <v>Male</v>
      </c>
      <c r="C304" s="2" t="str">
        <f>Datos!C304</f>
        <v>Bachelors</v>
      </c>
      <c r="D304" s="2" t="str">
        <f>Datos!G304</f>
        <v>C</v>
      </c>
      <c r="E304" s="2">
        <f>Datos!I304</f>
        <v>5.8</v>
      </c>
      <c r="F304" s="2">
        <f>Datos!J304</f>
        <v>78.7</v>
      </c>
      <c r="G304" s="2">
        <f>Datos!L304</f>
        <v>66</v>
      </c>
      <c r="H304" s="2">
        <f>Datos!M304</f>
        <v>79.900000000000006</v>
      </c>
      <c r="I304" s="2" t="b">
        <f t="shared" si="20"/>
        <v>1</v>
      </c>
      <c r="J304" s="2">
        <f t="shared" si="21"/>
        <v>79.900000000000006</v>
      </c>
      <c r="K304" s="2">
        <f t="shared" si="22"/>
        <v>5.8</v>
      </c>
      <c r="L304" s="2">
        <f t="shared" si="23"/>
        <v>66</v>
      </c>
      <c r="M304" s="2">
        <f t="shared" si="24"/>
        <v>78.7</v>
      </c>
    </row>
    <row r="305" spans="1:13" x14ac:dyDescent="0.3">
      <c r="A305" s="2">
        <f>Datos!A305</f>
        <v>483</v>
      </c>
      <c r="B305" s="2" t="str">
        <f>Datos!B305</f>
        <v>Male</v>
      </c>
      <c r="C305" s="2" t="str">
        <f>Datos!C305</f>
        <v>High School</v>
      </c>
      <c r="D305" s="2" t="str">
        <f>Datos!G305</f>
        <v>C</v>
      </c>
      <c r="E305" s="2">
        <f>Datos!I305</f>
        <v>3.9</v>
      </c>
      <c r="F305" s="2">
        <f>Datos!J305</f>
        <v>94.1</v>
      </c>
      <c r="G305" s="2">
        <f>Datos!L305</f>
        <v>88.5</v>
      </c>
      <c r="H305" s="2">
        <f>Datos!M305</f>
        <v>70.8</v>
      </c>
      <c r="I305" s="2" t="b">
        <f t="shared" si="20"/>
        <v>1</v>
      </c>
      <c r="J305" s="2">
        <f t="shared" si="21"/>
        <v>70.8</v>
      </c>
      <c r="K305" s="2">
        <f t="shared" si="22"/>
        <v>3.9</v>
      </c>
      <c r="L305" s="2">
        <f t="shared" si="23"/>
        <v>88.5</v>
      </c>
      <c r="M305" s="2">
        <f t="shared" si="24"/>
        <v>94.1</v>
      </c>
    </row>
    <row r="306" spans="1:13" x14ac:dyDescent="0.3">
      <c r="A306" s="2">
        <f>Datos!A306</f>
        <v>888</v>
      </c>
      <c r="B306" s="2" t="str">
        <f>Datos!B306</f>
        <v>Male</v>
      </c>
      <c r="C306" s="2" t="str">
        <f>Datos!C306</f>
        <v>PhD</v>
      </c>
      <c r="D306" s="2" t="str">
        <f>Datos!G306</f>
        <v>F</v>
      </c>
      <c r="E306" s="2">
        <f>Datos!I306</f>
        <v>2.2999999999999998</v>
      </c>
      <c r="F306" s="2">
        <f>Datos!J306</f>
        <v>65.900000000000006</v>
      </c>
      <c r="G306" s="2">
        <f>Datos!L306</f>
        <v>85.4</v>
      </c>
      <c r="H306" s="2">
        <f>Datos!M306</f>
        <v>56</v>
      </c>
      <c r="I306" s="2" t="b">
        <f t="shared" si="20"/>
        <v>1</v>
      </c>
      <c r="J306" s="2">
        <f t="shared" si="21"/>
        <v>56</v>
      </c>
      <c r="K306" s="2">
        <f t="shared" si="22"/>
        <v>2.2999999999999998</v>
      </c>
      <c r="L306" s="2">
        <f t="shared" si="23"/>
        <v>85.4</v>
      </c>
      <c r="M306" s="2">
        <f t="shared" si="24"/>
        <v>65.900000000000006</v>
      </c>
    </row>
    <row r="307" spans="1:13" x14ac:dyDescent="0.3">
      <c r="A307" s="2">
        <f>Datos!A307</f>
        <v>804</v>
      </c>
      <c r="B307" s="2" t="str">
        <f>Datos!B307</f>
        <v>Female</v>
      </c>
      <c r="C307" s="2" t="str">
        <f>Datos!C307</f>
        <v>PhD</v>
      </c>
      <c r="D307" s="2" t="str">
        <f>Datos!G307</f>
        <v>C</v>
      </c>
      <c r="E307" s="2">
        <f>Datos!I307</f>
        <v>6.2</v>
      </c>
      <c r="F307" s="2">
        <f>Datos!J307</f>
        <v>71.900000000000006</v>
      </c>
      <c r="G307" s="2">
        <f>Datos!L307</f>
        <v>86.2</v>
      </c>
      <c r="H307" s="2">
        <f>Datos!M307</f>
        <v>78.2</v>
      </c>
      <c r="I307" s="2" t="b">
        <f t="shared" si="20"/>
        <v>1</v>
      </c>
      <c r="J307" s="2">
        <f t="shared" si="21"/>
        <v>78.2</v>
      </c>
      <c r="K307" s="2">
        <f t="shared" si="22"/>
        <v>6.2</v>
      </c>
      <c r="L307" s="2">
        <f t="shared" si="23"/>
        <v>86.2</v>
      </c>
      <c r="M307" s="2">
        <f t="shared" si="24"/>
        <v>71.900000000000006</v>
      </c>
    </row>
    <row r="308" spans="1:13" x14ac:dyDescent="0.3">
      <c r="A308" s="2">
        <f>Datos!A308</f>
        <v>371</v>
      </c>
      <c r="B308" s="2" t="str">
        <f>Datos!B308</f>
        <v>Male</v>
      </c>
      <c r="C308" s="2" t="str">
        <f>Datos!C308</f>
        <v>Bachelors</v>
      </c>
      <c r="D308" s="2" t="str">
        <f>Datos!G308</f>
        <v>C</v>
      </c>
      <c r="E308" s="2">
        <f>Datos!I308</f>
        <v>6.2</v>
      </c>
      <c r="F308" s="2">
        <f>Datos!J308</f>
        <v>75.2</v>
      </c>
      <c r="G308" s="2">
        <f>Datos!L308</f>
        <v>41.2</v>
      </c>
      <c r="H308" s="2">
        <f>Datos!M308</f>
        <v>74.099999999999994</v>
      </c>
      <c r="I308" s="2" t="b">
        <f t="shared" si="20"/>
        <v>1</v>
      </c>
      <c r="J308" s="2">
        <f t="shared" si="21"/>
        <v>74.099999999999994</v>
      </c>
      <c r="K308" s="2">
        <f t="shared" si="22"/>
        <v>6.2</v>
      </c>
      <c r="L308" s="2">
        <f t="shared" si="23"/>
        <v>41.2</v>
      </c>
      <c r="M308" s="2">
        <f t="shared" si="24"/>
        <v>75.2</v>
      </c>
    </row>
    <row r="309" spans="1:13" x14ac:dyDescent="0.3">
      <c r="A309" s="2">
        <f>Datos!A309</f>
        <v>375</v>
      </c>
      <c r="B309" s="2" t="str">
        <f>Datos!B309</f>
        <v>Female</v>
      </c>
      <c r="C309" s="2" t="str">
        <f>Datos!C309</f>
        <v>PhD</v>
      </c>
      <c r="D309" s="2" t="str">
        <f>Datos!G309</f>
        <v>C</v>
      </c>
      <c r="E309" s="2">
        <f>Datos!I309</f>
        <v>1.6</v>
      </c>
      <c r="F309" s="2">
        <f>Datos!J309</f>
        <v>82.8</v>
      </c>
      <c r="G309" s="2">
        <f>Datos!L309</f>
        <v>92.3</v>
      </c>
      <c r="H309" s="2">
        <f>Datos!M309</f>
        <v>78.3</v>
      </c>
      <c r="I309" s="2" t="b">
        <f t="shared" si="20"/>
        <v>1</v>
      </c>
      <c r="J309" s="2">
        <f t="shared" si="21"/>
        <v>78.3</v>
      </c>
      <c r="K309" s="2">
        <f t="shared" si="22"/>
        <v>1.6</v>
      </c>
      <c r="L309" s="2">
        <f t="shared" si="23"/>
        <v>92.3</v>
      </c>
      <c r="M309" s="2">
        <f t="shared" si="24"/>
        <v>82.8</v>
      </c>
    </row>
    <row r="310" spans="1:13" x14ac:dyDescent="0.3">
      <c r="A310" s="2">
        <f>Datos!A310</f>
        <v>853</v>
      </c>
      <c r="B310" s="2" t="str">
        <f>Datos!B310</f>
        <v>Female</v>
      </c>
      <c r="C310" s="2" t="str">
        <f>Datos!C310</f>
        <v>Bachelors</v>
      </c>
      <c r="D310" s="2" t="str">
        <f>Datos!G310</f>
        <v>F</v>
      </c>
      <c r="E310" s="2">
        <f>Datos!I310</f>
        <v>4.9000000000000004</v>
      </c>
      <c r="F310" s="2">
        <f>Datos!J310</f>
        <v>78.099999999999994</v>
      </c>
      <c r="G310" s="2">
        <f>Datos!L310</f>
        <v>48.5</v>
      </c>
      <c r="H310" s="2">
        <f>Datos!M310</f>
        <v>59.1</v>
      </c>
      <c r="I310" s="2" t="b">
        <f t="shared" si="20"/>
        <v>1</v>
      </c>
      <c r="J310" s="2">
        <f t="shared" si="21"/>
        <v>59.1</v>
      </c>
      <c r="K310" s="2">
        <f t="shared" si="22"/>
        <v>4.9000000000000004</v>
      </c>
      <c r="L310" s="2">
        <f t="shared" si="23"/>
        <v>48.5</v>
      </c>
      <c r="M310" s="2">
        <f t="shared" si="24"/>
        <v>78.099999999999994</v>
      </c>
    </row>
    <row r="311" spans="1:13" x14ac:dyDescent="0.3">
      <c r="A311" s="2">
        <f>Datos!A311</f>
        <v>906</v>
      </c>
      <c r="B311" s="2" t="str">
        <f>Datos!B311</f>
        <v>Male</v>
      </c>
      <c r="C311" s="2" t="str">
        <f>Datos!C311</f>
        <v>High School</v>
      </c>
      <c r="D311" s="2" t="str">
        <f>Datos!G311</f>
        <v>C</v>
      </c>
      <c r="E311" s="2">
        <f>Datos!I311</f>
        <v>3</v>
      </c>
      <c r="F311" s="2">
        <f>Datos!J311</f>
        <v>88.5</v>
      </c>
      <c r="G311" s="2">
        <f>Datos!L311</f>
        <v>92.9</v>
      </c>
      <c r="H311" s="2">
        <f>Datos!M311</f>
        <v>79.3</v>
      </c>
      <c r="I311" s="2" t="b">
        <f t="shared" si="20"/>
        <v>1</v>
      </c>
      <c r="J311" s="2">
        <f t="shared" si="21"/>
        <v>79.3</v>
      </c>
      <c r="K311" s="2">
        <f t="shared" si="22"/>
        <v>3</v>
      </c>
      <c r="L311" s="2">
        <f t="shared" si="23"/>
        <v>92.9</v>
      </c>
      <c r="M311" s="2">
        <f t="shared" si="24"/>
        <v>88.5</v>
      </c>
    </row>
    <row r="312" spans="1:13" x14ac:dyDescent="0.3">
      <c r="A312" s="2">
        <f>Datos!A312</f>
        <v>207</v>
      </c>
      <c r="B312" s="2" t="str">
        <f>Datos!B312</f>
        <v>Female</v>
      </c>
      <c r="C312" s="2" t="str">
        <f>Datos!C312</f>
        <v>High School</v>
      </c>
      <c r="D312" s="2" t="str">
        <f>Datos!G312</f>
        <v>F</v>
      </c>
      <c r="E312" s="2">
        <f>Datos!I312</f>
        <v>2.1</v>
      </c>
      <c r="F312" s="2">
        <f>Datos!J312</f>
        <v>74.2</v>
      </c>
      <c r="G312" s="2">
        <f>Datos!L312</f>
        <v>73.3</v>
      </c>
      <c r="H312" s="2">
        <f>Datos!M312</f>
        <v>54.8</v>
      </c>
      <c r="I312" s="2" t="b">
        <f t="shared" si="20"/>
        <v>1</v>
      </c>
      <c r="J312" s="2">
        <f t="shared" si="21"/>
        <v>54.8</v>
      </c>
      <c r="K312" s="2">
        <f t="shared" si="22"/>
        <v>2.1</v>
      </c>
      <c r="L312" s="2">
        <f t="shared" si="23"/>
        <v>73.3</v>
      </c>
      <c r="M312" s="2">
        <f t="shared" si="24"/>
        <v>74.2</v>
      </c>
    </row>
    <row r="313" spans="1:13" x14ac:dyDescent="0.3">
      <c r="A313" s="2">
        <f>Datos!A313</f>
        <v>229</v>
      </c>
      <c r="B313" s="2" t="str">
        <f>Datos!B313</f>
        <v>Male</v>
      </c>
      <c r="C313" s="2" t="str">
        <f>Datos!C313</f>
        <v>Bachelors</v>
      </c>
      <c r="D313" s="2" t="str">
        <f>Datos!G313</f>
        <v>C</v>
      </c>
      <c r="E313" s="2">
        <f>Datos!I313</f>
        <v>6.9</v>
      </c>
      <c r="F313" s="2">
        <f>Datos!J313</f>
        <v>81.599999999999994</v>
      </c>
      <c r="G313" s="2">
        <f>Datos!L313</f>
        <v>65.2</v>
      </c>
      <c r="H313" s="2">
        <f>Datos!M313</f>
        <v>79.7</v>
      </c>
      <c r="I313" s="2" t="b">
        <f t="shared" si="20"/>
        <v>1</v>
      </c>
      <c r="J313" s="2">
        <f t="shared" si="21"/>
        <v>79.7</v>
      </c>
      <c r="K313" s="2">
        <f t="shared" si="22"/>
        <v>6.9</v>
      </c>
      <c r="L313" s="2">
        <f t="shared" si="23"/>
        <v>65.2</v>
      </c>
      <c r="M313" s="2">
        <f t="shared" si="24"/>
        <v>81.599999999999994</v>
      </c>
    </row>
    <row r="314" spans="1:13" x14ac:dyDescent="0.3">
      <c r="A314" s="2">
        <f>Datos!A314</f>
        <v>831</v>
      </c>
      <c r="B314" s="2" t="str">
        <f>Datos!B314</f>
        <v>Male</v>
      </c>
      <c r="C314" s="2">
        <f>Datos!C314</f>
        <v>0</v>
      </c>
      <c r="D314" s="2" t="str">
        <f>Datos!G314</f>
        <v>B</v>
      </c>
      <c r="E314" s="2">
        <f>Datos!I314</f>
        <v>0.6</v>
      </c>
      <c r="F314" s="2">
        <f>Datos!J314</f>
        <v>98.1</v>
      </c>
      <c r="G314" s="2">
        <f>Datos!L314</f>
        <v>79.599999999999994</v>
      </c>
      <c r="H314" s="2">
        <f>Datos!M314</f>
        <v>82.9</v>
      </c>
      <c r="I314" s="2" t="b">
        <f t="shared" si="20"/>
        <v>1</v>
      </c>
      <c r="J314" s="2">
        <f t="shared" si="21"/>
        <v>82.9</v>
      </c>
      <c r="K314" s="2">
        <f t="shared" si="22"/>
        <v>0.6</v>
      </c>
      <c r="L314" s="2">
        <f t="shared" si="23"/>
        <v>79.599999999999994</v>
      </c>
      <c r="M314" s="2">
        <f t="shared" si="24"/>
        <v>98.1</v>
      </c>
    </row>
    <row r="315" spans="1:13" x14ac:dyDescent="0.3">
      <c r="A315" s="2">
        <f>Datos!A315</f>
        <v>793</v>
      </c>
      <c r="B315" s="2" t="str">
        <f>Datos!B315</f>
        <v>Male</v>
      </c>
      <c r="C315" s="2" t="str">
        <f>Datos!C315</f>
        <v>High School</v>
      </c>
      <c r="D315" s="2" t="str">
        <f>Datos!G315</f>
        <v>B</v>
      </c>
      <c r="E315" s="2">
        <f>Datos!I315</f>
        <v>5.5</v>
      </c>
      <c r="F315" s="2">
        <f>Datos!J315</f>
        <v>90.5</v>
      </c>
      <c r="G315" s="2">
        <f>Datos!L315</f>
        <v>69.7</v>
      </c>
      <c r="H315" s="2">
        <f>Datos!M315</f>
        <v>89</v>
      </c>
      <c r="I315" s="2" t="b">
        <f t="shared" si="20"/>
        <v>1</v>
      </c>
      <c r="J315" s="2">
        <f t="shared" si="21"/>
        <v>89</v>
      </c>
      <c r="K315" s="2">
        <f t="shared" si="22"/>
        <v>5.5</v>
      </c>
      <c r="L315" s="2">
        <f t="shared" si="23"/>
        <v>69.7</v>
      </c>
      <c r="M315" s="2">
        <f t="shared" si="24"/>
        <v>90.5</v>
      </c>
    </row>
    <row r="316" spans="1:13" x14ac:dyDescent="0.3">
      <c r="A316" s="2">
        <f>Datos!A316</f>
        <v>655</v>
      </c>
      <c r="B316" s="2" t="str">
        <f>Datos!B316</f>
        <v>Male</v>
      </c>
      <c r="C316" s="2" t="str">
        <f>Datos!C316</f>
        <v>PhD</v>
      </c>
      <c r="D316" s="2" t="str">
        <f>Datos!G316</f>
        <v>D</v>
      </c>
      <c r="E316" s="2">
        <f>Datos!I316</f>
        <v>0.7</v>
      </c>
      <c r="F316" s="2">
        <f>Datos!J316</f>
        <v>69.8</v>
      </c>
      <c r="G316" s="2">
        <f>Datos!L316</f>
        <v>72.400000000000006</v>
      </c>
      <c r="H316" s="2">
        <f>Datos!M316</f>
        <v>65.5</v>
      </c>
      <c r="I316" s="2" t="b">
        <f t="shared" si="20"/>
        <v>1</v>
      </c>
      <c r="J316" s="2">
        <f t="shared" si="21"/>
        <v>65.5</v>
      </c>
      <c r="K316" s="2">
        <f t="shared" si="22"/>
        <v>0.7</v>
      </c>
      <c r="L316" s="2">
        <f t="shared" si="23"/>
        <v>72.400000000000006</v>
      </c>
      <c r="M316" s="2">
        <f t="shared" si="24"/>
        <v>69.8</v>
      </c>
    </row>
    <row r="317" spans="1:13" x14ac:dyDescent="0.3">
      <c r="A317" s="2">
        <f>Datos!A317</f>
        <v>805</v>
      </c>
      <c r="B317" s="2" t="str">
        <f>Datos!B317</f>
        <v>Female</v>
      </c>
      <c r="C317" s="2" t="str">
        <f>Datos!C317</f>
        <v>Bachelors</v>
      </c>
      <c r="D317" s="2" t="str">
        <f>Datos!G317</f>
        <v>C</v>
      </c>
      <c r="E317" s="2">
        <f>Datos!I317</f>
        <v>0.8</v>
      </c>
      <c r="F317" s="2">
        <f>Datos!J317</f>
        <v>80.7</v>
      </c>
      <c r="G317" s="2">
        <f>Datos!L317</f>
        <v>84.6</v>
      </c>
      <c r="H317" s="2">
        <f>Datos!M317</f>
        <v>75.599999999999994</v>
      </c>
      <c r="I317" s="2" t="b">
        <f t="shared" si="20"/>
        <v>1</v>
      </c>
      <c r="J317" s="2">
        <f t="shared" si="21"/>
        <v>75.599999999999994</v>
      </c>
      <c r="K317" s="2">
        <f t="shared" si="22"/>
        <v>0.8</v>
      </c>
      <c r="L317" s="2">
        <f t="shared" si="23"/>
        <v>84.6</v>
      </c>
      <c r="M317" s="2">
        <f t="shared" si="24"/>
        <v>80.7</v>
      </c>
    </row>
    <row r="318" spans="1:13" x14ac:dyDescent="0.3">
      <c r="A318" s="2">
        <f>Datos!A318</f>
        <v>241</v>
      </c>
      <c r="B318" s="2" t="str">
        <f>Datos!B318</f>
        <v>Female</v>
      </c>
      <c r="C318" s="2" t="str">
        <f>Datos!C318</f>
        <v>Bachelors</v>
      </c>
      <c r="D318" s="2" t="str">
        <f>Datos!G318</f>
        <v>B</v>
      </c>
      <c r="E318" s="2">
        <f>Datos!I318</f>
        <v>6.2</v>
      </c>
      <c r="F318" s="2">
        <f>Datos!J318</f>
        <v>74.5</v>
      </c>
      <c r="G318" s="2">
        <f>Datos!L318</f>
        <v>60.1</v>
      </c>
      <c r="H318" s="2">
        <f>Datos!M318</f>
        <v>85</v>
      </c>
      <c r="I318" s="2" t="b">
        <f t="shared" si="20"/>
        <v>1</v>
      </c>
      <c r="J318" s="2">
        <f t="shared" si="21"/>
        <v>85</v>
      </c>
      <c r="K318" s="2">
        <f t="shared" si="22"/>
        <v>6.2</v>
      </c>
      <c r="L318" s="2">
        <f t="shared" si="23"/>
        <v>60.1</v>
      </c>
      <c r="M318" s="2">
        <f t="shared" si="24"/>
        <v>74.5</v>
      </c>
    </row>
    <row r="319" spans="1:13" x14ac:dyDescent="0.3">
      <c r="A319" s="2">
        <f>Datos!A319</f>
        <v>157</v>
      </c>
      <c r="B319" s="2" t="str">
        <f>Datos!B319</f>
        <v>Male</v>
      </c>
      <c r="C319" s="2">
        <f>Datos!C319</f>
        <v>0</v>
      </c>
      <c r="D319" s="2" t="str">
        <f>Datos!G319</f>
        <v>B</v>
      </c>
      <c r="E319" s="2">
        <f>Datos!I319</f>
        <v>6.1</v>
      </c>
      <c r="F319" s="2">
        <f>Datos!J319</f>
        <v>89.8</v>
      </c>
      <c r="G319" s="2">
        <f>Datos!L319</f>
        <v>42.6</v>
      </c>
      <c r="H319" s="2">
        <f>Datos!M319</f>
        <v>83.4</v>
      </c>
      <c r="I319" s="2" t="b">
        <f t="shared" si="20"/>
        <v>1</v>
      </c>
      <c r="J319" s="2">
        <f t="shared" si="21"/>
        <v>83.4</v>
      </c>
      <c r="K319" s="2">
        <f t="shared" si="22"/>
        <v>6.1</v>
      </c>
      <c r="L319" s="2">
        <f t="shared" si="23"/>
        <v>42.6</v>
      </c>
      <c r="M319" s="2">
        <f t="shared" si="24"/>
        <v>89.8</v>
      </c>
    </row>
    <row r="320" spans="1:13" x14ac:dyDescent="0.3">
      <c r="A320" s="2">
        <f>Datos!A320</f>
        <v>584</v>
      </c>
      <c r="B320" s="2" t="str">
        <f>Datos!B320</f>
        <v>Female</v>
      </c>
      <c r="C320" s="2" t="str">
        <f>Datos!C320</f>
        <v>Bachelors</v>
      </c>
      <c r="D320" s="2" t="str">
        <f>Datos!G320</f>
        <v>D</v>
      </c>
      <c r="E320" s="2">
        <f>Datos!I320</f>
        <v>1.8</v>
      </c>
      <c r="F320" s="2">
        <f>Datos!J320</f>
        <v>87.8</v>
      </c>
      <c r="G320" s="2">
        <f>Datos!L320</f>
        <v>38</v>
      </c>
      <c r="H320" s="2">
        <f>Datos!M320</f>
        <v>63.6</v>
      </c>
      <c r="I320" s="2" t="b">
        <f t="shared" si="20"/>
        <v>1</v>
      </c>
      <c r="J320" s="2">
        <f t="shared" si="21"/>
        <v>63.6</v>
      </c>
      <c r="K320" s="2">
        <f t="shared" si="22"/>
        <v>1.8</v>
      </c>
      <c r="L320" s="2">
        <f t="shared" si="23"/>
        <v>38</v>
      </c>
      <c r="M320" s="2">
        <f t="shared" si="24"/>
        <v>87.8</v>
      </c>
    </row>
    <row r="321" spans="1:13" x14ac:dyDescent="0.3">
      <c r="A321" s="2">
        <f>Datos!A321</f>
        <v>137</v>
      </c>
      <c r="B321" s="2" t="str">
        <f>Datos!B321</f>
        <v>Female</v>
      </c>
      <c r="C321" s="2" t="str">
        <f>Datos!C321</f>
        <v>Bachelors</v>
      </c>
      <c r="D321" s="2" t="str">
        <f>Datos!G321</f>
        <v>D</v>
      </c>
      <c r="E321" s="2">
        <f>Datos!I321</f>
        <v>6.6</v>
      </c>
      <c r="F321" s="2">
        <f>Datos!J321</f>
        <v>67.099999999999994</v>
      </c>
      <c r="G321" s="2">
        <f>Datos!L321</f>
        <v>47.8</v>
      </c>
      <c r="H321" s="2">
        <f>Datos!M321</f>
        <v>67.099999999999994</v>
      </c>
      <c r="I321" s="2" t="b">
        <f t="shared" si="20"/>
        <v>1</v>
      </c>
      <c r="J321" s="2">
        <f t="shared" si="21"/>
        <v>67.099999999999994</v>
      </c>
      <c r="K321" s="2">
        <f t="shared" si="22"/>
        <v>6.6</v>
      </c>
      <c r="L321" s="2">
        <f t="shared" si="23"/>
        <v>47.8</v>
      </c>
      <c r="M321" s="2">
        <f t="shared" si="24"/>
        <v>67.099999999999994</v>
      </c>
    </row>
    <row r="322" spans="1:13" x14ac:dyDescent="0.3">
      <c r="A322" s="2">
        <f>Datos!A322</f>
        <v>432</v>
      </c>
      <c r="B322" s="2" t="str">
        <f>Datos!B322</f>
        <v>Male</v>
      </c>
      <c r="C322" s="2" t="str">
        <f>Datos!C322</f>
        <v>PhD</v>
      </c>
      <c r="D322" s="2" t="str">
        <f>Datos!G322</f>
        <v>C</v>
      </c>
      <c r="E322" s="2">
        <f>Datos!I322</f>
        <v>6.5</v>
      </c>
      <c r="F322" s="2">
        <f>Datos!J322</f>
        <v>73.900000000000006</v>
      </c>
      <c r="G322" s="2">
        <f>Datos!L322</f>
        <v>90.5</v>
      </c>
      <c r="H322" s="2">
        <f>Datos!M322</f>
        <v>73</v>
      </c>
      <c r="I322" s="2" t="b">
        <f t="shared" ref="I322:I385" si="25">AND(E322&gt;=0,E322&lt;=12,F322&gt;=0,F322&lt;=100,G322&gt;=0,G322&lt;=100,H322&gt;=0,H322&lt;=100)</f>
        <v>1</v>
      </c>
      <c r="J322" s="2">
        <f t="shared" ref="J322:J385" si="26">IF(I322,H322,"")</f>
        <v>73</v>
      </c>
      <c r="K322" s="2">
        <f t="shared" ref="K322:K385" si="27">IF(I322,E322,"")</f>
        <v>6.5</v>
      </c>
      <c r="L322" s="2">
        <f t="shared" ref="L322:L385" si="28">IF(I322,G322,"")</f>
        <v>90.5</v>
      </c>
      <c r="M322" s="2">
        <f t="shared" ref="M322:M385" si="29">IF(I322,F322,"")</f>
        <v>73.900000000000006</v>
      </c>
    </row>
    <row r="323" spans="1:13" x14ac:dyDescent="0.3">
      <c r="A323" s="2">
        <f>Datos!A323</f>
        <v>779</v>
      </c>
      <c r="B323" s="2" t="str">
        <f>Datos!B323</f>
        <v>Male</v>
      </c>
      <c r="C323" s="2" t="str">
        <f>Datos!C323</f>
        <v>Bachelors</v>
      </c>
      <c r="D323" s="2" t="str">
        <f>Datos!G323</f>
        <v>A</v>
      </c>
      <c r="E323" s="2">
        <f>Datos!I323</f>
        <v>6.9</v>
      </c>
      <c r="F323" s="2">
        <f>Datos!J323</f>
        <v>99.3</v>
      </c>
      <c r="G323" s="2">
        <f>Datos!L323</f>
        <v>71</v>
      </c>
      <c r="H323" s="2">
        <f>Datos!M323</f>
        <v>92</v>
      </c>
      <c r="I323" s="2" t="b">
        <f t="shared" si="25"/>
        <v>1</v>
      </c>
      <c r="J323" s="2">
        <f t="shared" si="26"/>
        <v>92</v>
      </c>
      <c r="K323" s="2">
        <f t="shared" si="27"/>
        <v>6.9</v>
      </c>
      <c r="L323" s="2">
        <f t="shared" si="28"/>
        <v>71</v>
      </c>
      <c r="M323" s="2">
        <f t="shared" si="29"/>
        <v>99.3</v>
      </c>
    </row>
    <row r="324" spans="1:13" x14ac:dyDescent="0.3">
      <c r="A324" s="2">
        <f>Datos!A324</f>
        <v>488</v>
      </c>
      <c r="B324" s="2" t="str">
        <f>Datos!B324</f>
        <v>Male</v>
      </c>
      <c r="C324" s="2" t="str">
        <f>Datos!C324</f>
        <v>Masters</v>
      </c>
      <c r="D324" s="2" t="str">
        <f>Datos!G324</f>
        <v>B</v>
      </c>
      <c r="E324" s="2">
        <f>Datos!I324</f>
        <v>2.8</v>
      </c>
      <c r="F324" s="2">
        <f>Datos!J324</f>
        <v>80.400000000000006</v>
      </c>
      <c r="G324" s="2">
        <f>Datos!L324</f>
        <v>82.9</v>
      </c>
      <c r="H324" s="2">
        <f>Datos!M324</f>
        <v>81.599999999999994</v>
      </c>
      <c r="I324" s="2" t="b">
        <f t="shared" si="25"/>
        <v>1</v>
      </c>
      <c r="J324" s="2">
        <f t="shared" si="26"/>
        <v>81.599999999999994</v>
      </c>
      <c r="K324" s="2">
        <f t="shared" si="27"/>
        <v>2.8</v>
      </c>
      <c r="L324" s="2">
        <f t="shared" si="28"/>
        <v>82.9</v>
      </c>
      <c r="M324" s="2">
        <f t="shared" si="29"/>
        <v>80.400000000000006</v>
      </c>
    </row>
    <row r="325" spans="1:13" x14ac:dyDescent="0.3">
      <c r="A325" s="2">
        <f>Datos!A325</f>
        <v>419</v>
      </c>
      <c r="B325" s="2" t="str">
        <f>Datos!B325</f>
        <v>Female</v>
      </c>
      <c r="C325" s="2" t="str">
        <f>Datos!C325</f>
        <v>PhD</v>
      </c>
      <c r="D325" s="2" t="str">
        <f>Datos!G325</f>
        <v>B</v>
      </c>
      <c r="E325" s="2">
        <f>Datos!I325</f>
        <v>6.7</v>
      </c>
      <c r="F325" s="2">
        <f>Datos!J325</f>
        <v>88.8</v>
      </c>
      <c r="G325" s="2">
        <f>Datos!L325</f>
        <v>39.700000000000003</v>
      </c>
      <c r="H325" s="2">
        <f>Datos!M325</f>
        <v>81.900000000000006</v>
      </c>
      <c r="I325" s="2" t="b">
        <f t="shared" si="25"/>
        <v>1</v>
      </c>
      <c r="J325" s="2">
        <f t="shared" si="26"/>
        <v>81.900000000000006</v>
      </c>
      <c r="K325" s="2">
        <f t="shared" si="27"/>
        <v>6.7</v>
      </c>
      <c r="L325" s="2">
        <f t="shared" si="28"/>
        <v>39.700000000000003</v>
      </c>
      <c r="M325" s="2">
        <f t="shared" si="29"/>
        <v>88.8</v>
      </c>
    </row>
    <row r="326" spans="1:13" x14ac:dyDescent="0.3">
      <c r="A326" s="2">
        <f>Datos!A326</f>
        <v>273</v>
      </c>
      <c r="B326" s="2" t="str">
        <f>Datos!B326</f>
        <v>Female</v>
      </c>
      <c r="C326" s="2" t="str">
        <f>Datos!C326</f>
        <v>Masters</v>
      </c>
      <c r="D326" s="2" t="str">
        <f>Datos!G326</f>
        <v>C</v>
      </c>
      <c r="E326" s="2">
        <f>Datos!I326</f>
        <v>4.7</v>
      </c>
      <c r="F326" s="2">
        <f>Datos!J326</f>
        <v>92.7</v>
      </c>
      <c r="G326" s="2">
        <f>Datos!L326</f>
        <v>51.4</v>
      </c>
      <c r="H326" s="2">
        <f>Datos!M326</f>
        <v>74.400000000000006</v>
      </c>
      <c r="I326" s="2" t="b">
        <f t="shared" si="25"/>
        <v>1</v>
      </c>
      <c r="J326" s="2">
        <f t="shared" si="26"/>
        <v>74.400000000000006</v>
      </c>
      <c r="K326" s="2">
        <f t="shared" si="27"/>
        <v>4.7</v>
      </c>
      <c r="L326" s="2">
        <f t="shared" si="28"/>
        <v>51.4</v>
      </c>
      <c r="M326" s="2">
        <f t="shared" si="29"/>
        <v>92.7</v>
      </c>
    </row>
    <row r="327" spans="1:13" x14ac:dyDescent="0.3">
      <c r="A327" s="2">
        <f>Datos!A327</f>
        <v>590</v>
      </c>
      <c r="B327" s="2" t="str">
        <f>Datos!B327</f>
        <v>Male</v>
      </c>
      <c r="C327" s="2" t="str">
        <f>Datos!C327</f>
        <v>Masters</v>
      </c>
      <c r="D327" s="2" t="str">
        <f>Datos!G327</f>
        <v>F</v>
      </c>
      <c r="E327" s="2">
        <f>Datos!I327</f>
        <v>2.7</v>
      </c>
      <c r="F327" s="2">
        <f>Datos!J327</f>
        <v>78.900000000000006</v>
      </c>
      <c r="G327" s="2">
        <f>Datos!L327</f>
        <v>40.200000000000003</v>
      </c>
      <c r="H327" s="2">
        <f>Datos!M327</f>
        <v>54.8</v>
      </c>
      <c r="I327" s="2" t="b">
        <f t="shared" si="25"/>
        <v>1</v>
      </c>
      <c r="J327" s="2">
        <f t="shared" si="26"/>
        <v>54.8</v>
      </c>
      <c r="K327" s="2">
        <f t="shared" si="27"/>
        <v>2.7</v>
      </c>
      <c r="L327" s="2">
        <f t="shared" si="28"/>
        <v>40.200000000000003</v>
      </c>
      <c r="M327" s="2">
        <f t="shared" si="29"/>
        <v>78.900000000000006</v>
      </c>
    </row>
    <row r="328" spans="1:13" x14ac:dyDescent="0.3">
      <c r="A328" s="2">
        <f>Datos!A328</f>
        <v>911</v>
      </c>
      <c r="B328" s="2" t="str">
        <f>Datos!B328</f>
        <v>Female</v>
      </c>
      <c r="C328" s="2" t="str">
        <f>Datos!C328</f>
        <v>Masters</v>
      </c>
      <c r="D328" s="2" t="str">
        <f>Datos!G328</f>
        <v>A</v>
      </c>
      <c r="E328" s="2">
        <f>Datos!I328</f>
        <v>6.7</v>
      </c>
      <c r="F328" s="2">
        <f>Datos!J328</f>
        <v>80</v>
      </c>
      <c r="G328" s="2">
        <f>Datos!L328</f>
        <v>66.75</v>
      </c>
      <c r="H328" s="2">
        <f>Datos!M328</f>
        <v>90.5</v>
      </c>
      <c r="I328" s="2" t="b">
        <f t="shared" si="25"/>
        <v>1</v>
      </c>
      <c r="J328" s="2">
        <f t="shared" si="26"/>
        <v>90.5</v>
      </c>
      <c r="K328" s="2">
        <f t="shared" si="27"/>
        <v>6.7</v>
      </c>
      <c r="L328" s="2">
        <f t="shared" si="28"/>
        <v>66.75</v>
      </c>
      <c r="M328" s="2">
        <f t="shared" si="29"/>
        <v>80</v>
      </c>
    </row>
    <row r="329" spans="1:13" x14ac:dyDescent="0.3">
      <c r="A329" s="2">
        <f>Datos!A329</f>
        <v>147</v>
      </c>
      <c r="B329" s="2" t="str">
        <f>Datos!B329</f>
        <v>Male</v>
      </c>
      <c r="C329" s="2">
        <f>Datos!C329</f>
        <v>0</v>
      </c>
      <c r="D329" s="2" t="str">
        <f>Datos!G329</f>
        <v>C</v>
      </c>
      <c r="E329" s="2">
        <f>Datos!I329</f>
        <v>5.3</v>
      </c>
      <c r="F329" s="2">
        <f>Datos!J329</f>
        <v>94.8</v>
      </c>
      <c r="G329" s="2">
        <f>Datos!L329</f>
        <v>54.8</v>
      </c>
      <c r="H329" s="2">
        <f>Datos!M329</f>
        <v>79.599999999999994</v>
      </c>
      <c r="I329" s="2" t="b">
        <f t="shared" si="25"/>
        <v>1</v>
      </c>
      <c r="J329" s="2">
        <f t="shared" si="26"/>
        <v>79.599999999999994</v>
      </c>
      <c r="K329" s="2">
        <f t="shared" si="27"/>
        <v>5.3</v>
      </c>
      <c r="L329" s="2">
        <f t="shared" si="28"/>
        <v>54.8</v>
      </c>
      <c r="M329" s="2">
        <f t="shared" si="29"/>
        <v>94.8</v>
      </c>
    </row>
    <row r="330" spans="1:13" x14ac:dyDescent="0.3">
      <c r="A330" s="2">
        <f>Datos!A330</f>
        <v>871</v>
      </c>
      <c r="B330" s="2" t="str">
        <f>Datos!B330</f>
        <v>Male</v>
      </c>
      <c r="C330" s="2" t="str">
        <f>Datos!C330</f>
        <v>High School</v>
      </c>
      <c r="D330" s="2" t="str">
        <f>Datos!G330</f>
        <v>A</v>
      </c>
      <c r="E330" s="2">
        <f>Datos!I330</f>
        <v>5.0999999999999996</v>
      </c>
      <c r="F330" s="2">
        <f>Datos!J330</f>
        <v>84.1</v>
      </c>
      <c r="G330" s="2">
        <f>Datos!L330</f>
        <v>82.5</v>
      </c>
      <c r="H330" s="2">
        <f>Datos!M330</f>
        <v>94.8</v>
      </c>
      <c r="I330" s="2" t="b">
        <f t="shared" si="25"/>
        <v>1</v>
      </c>
      <c r="J330" s="2">
        <f t="shared" si="26"/>
        <v>94.8</v>
      </c>
      <c r="K330" s="2">
        <f t="shared" si="27"/>
        <v>5.0999999999999996</v>
      </c>
      <c r="L330" s="2">
        <f t="shared" si="28"/>
        <v>82.5</v>
      </c>
      <c r="M330" s="2">
        <f t="shared" si="29"/>
        <v>84.1</v>
      </c>
    </row>
    <row r="331" spans="1:13" x14ac:dyDescent="0.3">
      <c r="A331" s="2">
        <f>Datos!A331</f>
        <v>883</v>
      </c>
      <c r="B331" s="2" t="str">
        <f>Datos!B331</f>
        <v>Male</v>
      </c>
      <c r="C331" s="2" t="str">
        <f>Datos!C331</f>
        <v>High School</v>
      </c>
      <c r="D331" s="2" t="str">
        <f>Datos!G331</f>
        <v>C</v>
      </c>
      <c r="E331" s="2">
        <f>Datos!I331</f>
        <v>2.2000000000000002</v>
      </c>
      <c r="F331" s="2">
        <f>Datos!J331</f>
        <v>83.5</v>
      </c>
      <c r="G331" s="2">
        <f>Datos!L331</f>
        <v>67</v>
      </c>
      <c r="H331" s="2">
        <f>Datos!M331</f>
        <v>70.2</v>
      </c>
      <c r="I331" s="2" t="b">
        <f t="shared" si="25"/>
        <v>1</v>
      </c>
      <c r="J331" s="2">
        <f t="shared" si="26"/>
        <v>70.2</v>
      </c>
      <c r="K331" s="2">
        <f t="shared" si="27"/>
        <v>2.2000000000000002</v>
      </c>
      <c r="L331" s="2">
        <f t="shared" si="28"/>
        <v>67</v>
      </c>
      <c r="M331" s="2">
        <f t="shared" si="29"/>
        <v>83.5</v>
      </c>
    </row>
    <row r="332" spans="1:13" x14ac:dyDescent="0.3">
      <c r="A332" s="2">
        <f>Datos!A332</f>
        <v>250</v>
      </c>
      <c r="B332" s="2" t="str">
        <f>Datos!B332</f>
        <v>Female</v>
      </c>
      <c r="C332" s="2" t="str">
        <f>Datos!C332</f>
        <v>High School</v>
      </c>
      <c r="D332" s="2" t="str">
        <f>Datos!G332</f>
        <v>D</v>
      </c>
      <c r="E332" s="2">
        <f>Datos!I332</f>
        <v>1.8</v>
      </c>
      <c r="F332" s="2">
        <f>Datos!J332</f>
        <v>74.2</v>
      </c>
      <c r="G332" s="2">
        <f>Datos!L332</f>
        <v>81.3</v>
      </c>
      <c r="H332" s="2">
        <f>Datos!M332</f>
        <v>69.8</v>
      </c>
      <c r="I332" s="2" t="b">
        <f t="shared" si="25"/>
        <v>1</v>
      </c>
      <c r="J332" s="2">
        <f t="shared" si="26"/>
        <v>69.8</v>
      </c>
      <c r="K332" s="2">
        <f t="shared" si="27"/>
        <v>1.8</v>
      </c>
      <c r="L332" s="2">
        <f t="shared" si="28"/>
        <v>81.3</v>
      </c>
      <c r="M332" s="2">
        <f t="shared" si="29"/>
        <v>74.2</v>
      </c>
    </row>
    <row r="333" spans="1:13" x14ac:dyDescent="0.3">
      <c r="A333" s="2">
        <f>Datos!A333</f>
        <v>103</v>
      </c>
      <c r="B333" s="2" t="str">
        <f>Datos!B333</f>
        <v>Female</v>
      </c>
      <c r="C333" s="2" t="str">
        <f>Datos!C333</f>
        <v>PhD</v>
      </c>
      <c r="D333" s="2" t="str">
        <f>Datos!G333</f>
        <v>C</v>
      </c>
      <c r="E333" s="2">
        <f>Datos!I333</f>
        <v>4.5</v>
      </c>
      <c r="F333" s="2">
        <f>Datos!J333</f>
        <v>84</v>
      </c>
      <c r="G333" s="2">
        <f>Datos!L333</f>
        <v>70.099999999999994</v>
      </c>
      <c r="H333" s="2">
        <f>Datos!M333</f>
        <v>70.2</v>
      </c>
      <c r="I333" s="2" t="b">
        <f t="shared" si="25"/>
        <v>1</v>
      </c>
      <c r="J333" s="2">
        <f t="shared" si="26"/>
        <v>70.2</v>
      </c>
      <c r="K333" s="2">
        <f t="shared" si="27"/>
        <v>4.5</v>
      </c>
      <c r="L333" s="2">
        <f t="shared" si="28"/>
        <v>70.099999999999994</v>
      </c>
      <c r="M333" s="2">
        <f t="shared" si="29"/>
        <v>84</v>
      </c>
    </row>
    <row r="334" spans="1:13" x14ac:dyDescent="0.3">
      <c r="A334" s="2">
        <f>Datos!A334</f>
        <v>405</v>
      </c>
      <c r="B334" s="2" t="str">
        <f>Datos!B334</f>
        <v>Male</v>
      </c>
      <c r="C334" s="2">
        <f>Datos!C334</f>
        <v>0</v>
      </c>
      <c r="D334" s="2" t="str">
        <f>Datos!G334</f>
        <v>C</v>
      </c>
      <c r="E334" s="2">
        <f>Datos!I334</f>
        <v>5.4</v>
      </c>
      <c r="F334" s="2">
        <f>Datos!J334</f>
        <v>77.3</v>
      </c>
      <c r="G334" s="2">
        <f>Datos!L334</f>
        <v>47.6</v>
      </c>
      <c r="H334" s="2">
        <f>Datos!M334</f>
        <v>75</v>
      </c>
      <c r="I334" s="2" t="b">
        <f t="shared" si="25"/>
        <v>1</v>
      </c>
      <c r="J334" s="2">
        <f t="shared" si="26"/>
        <v>75</v>
      </c>
      <c r="K334" s="2">
        <f t="shared" si="27"/>
        <v>5.4</v>
      </c>
      <c r="L334" s="2">
        <f t="shared" si="28"/>
        <v>47.6</v>
      </c>
      <c r="M334" s="2">
        <f t="shared" si="29"/>
        <v>77.3</v>
      </c>
    </row>
    <row r="335" spans="1:13" x14ac:dyDescent="0.3">
      <c r="A335" s="2">
        <f>Datos!A335</f>
        <v>738</v>
      </c>
      <c r="B335" s="2" t="str">
        <f>Datos!B335</f>
        <v>Female</v>
      </c>
      <c r="C335" s="2" t="str">
        <f>Datos!C335</f>
        <v>Masters</v>
      </c>
      <c r="D335" s="2" t="str">
        <f>Datos!G335</f>
        <v>A</v>
      </c>
      <c r="E335" s="2">
        <f>Datos!I335</f>
        <v>6.9</v>
      </c>
      <c r="F335" s="2">
        <f>Datos!J335</f>
        <v>88.4</v>
      </c>
      <c r="G335" s="2">
        <f>Datos!L335</f>
        <v>92.5</v>
      </c>
      <c r="H335" s="2">
        <f>Datos!M335</f>
        <v>100</v>
      </c>
      <c r="I335" s="2" t="b">
        <f t="shared" si="25"/>
        <v>1</v>
      </c>
      <c r="J335" s="2">
        <f t="shared" si="26"/>
        <v>100</v>
      </c>
      <c r="K335" s="2">
        <f t="shared" si="27"/>
        <v>6.9</v>
      </c>
      <c r="L335" s="2">
        <f t="shared" si="28"/>
        <v>92.5</v>
      </c>
      <c r="M335" s="2">
        <f t="shared" si="29"/>
        <v>88.4</v>
      </c>
    </row>
    <row r="336" spans="1:13" x14ac:dyDescent="0.3">
      <c r="A336" s="2">
        <f>Datos!A336</f>
        <v>643</v>
      </c>
      <c r="B336" s="2" t="str">
        <f>Datos!B336</f>
        <v>Male</v>
      </c>
      <c r="C336" s="2">
        <f>Datos!C336</f>
        <v>0</v>
      </c>
      <c r="D336" s="2" t="str">
        <f>Datos!G336</f>
        <v>D</v>
      </c>
      <c r="E336" s="2">
        <f>Datos!I336</f>
        <v>1.2</v>
      </c>
      <c r="F336" s="2">
        <f>Datos!J336</f>
        <v>92</v>
      </c>
      <c r="G336" s="2">
        <f>Datos!L336</f>
        <v>58.8</v>
      </c>
      <c r="H336" s="2">
        <f>Datos!M336</f>
        <v>64.900000000000006</v>
      </c>
      <c r="I336" s="2" t="b">
        <f t="shared" si="25"/>
        <v>1</v>
      </c>
      <c r="J336" s="2">
        <f t="shared" si="26"/>
        <v>64.900000000000006</v>
      </c>
      <c r="K336" s="2">
        <f t="shared" si="27"/>
        <v>1.2</v>
      </c>
      <c r="L336" s="2">
        <f t="shared" si="28"/>
        <v>58.8</v>
      </c>
      <c r="M336" s="2">
        <f t="shared" si="29"/>
        <v>92</v>
      </c>
    </row>
    <row r="337" spans="1:13" x14ac:dyDescent="0.3">
      <c r="A337" s="2">
        <f>Datos!A337</f>
        <v>7</v>
      </c>
      <c r="B337" s="2" t="str">
        <f>Datos!B337</f>
        <v>Male</v>
      </c>
      <c r="C337" s="2" t="str">
        <f>Datos!C337</f>
        <v>Masters</v>
      </c>
      <c r="D337" s="2" t="str">
        <f>Datos!G337</f>
        <v>C</v>
      </c>
      <c r="E337" s="2">
        <f>Datos!I337</f>
        <v>5.6</v>
      </c>
      <c r="F337" s="2">
        <f>Datos!J337</f>
        <v>81.099999999999994</v>
      </c>
      <c r="G337" s="2">
        <f>Datos!L337</f>
        <v>63.3</v>
      </c>
      <c r="H337" s="2">
        <f>Datos!M337</f>
        <v>71.099999999999994</v>
      </c>
      <c r="I337" s="2" t="b">
        <f t="shared" si="25"/>
        <v>1</v>
      </c>
      <c r="J337" s="2">
        <f t="shared" si="26"/>
        <v>71.099999999999994</v>
      </c>
      <c r="K337" s="2">
        <f t="shared" si="27"/>
        <v>5.6</v>
      </c>
      <c r="L337" s="2">
        <f t="shared" si="28"/>
        <v>63.3</v>
      </c>
      <c r="M337" s="2">
        <f t="shared" si="29"/>
        <v>81.099999999999994</v>
      </c>
    </row>
    <row r="338" spans="1:13" x14ac:dyDescent="0.3">
      <c r="A338" s="2">
        <f>Datos!A338</f>
        <v>343</v>
      </c>
      <c r="B338" s="2" t="str">
        <f>Datos!B338</f>
        <v>Male</v>
      </c>
      <c r="C338" s="2" t="str">
        <f>Datos!C338</f>
        <v>Masters</v>
      </c>
      <c r="D338" s="2" t="str">
        <f>Datos!G338</f>
        <v>C</v>
      </c>
      <c r="E338" s="2">
        <f>Datos!I338</f>
        <v>5.6</v>
      </c>
      <c r="F338" s="2">
        <f>Datos!J338</f>
        <v>83.5</v>
      </c>
      <c r="G338" s="2">
        <f>Datos!L338</f>
        <v>90.1</v>
      </c>
      <c r="H338" s="2">
        <f>Datos!M338</f>
        <v>78.599999999999994</v>
      </c>
      <c r="I338" s="2" t="b">
        <f t="shared" si="25"/>
        <v>1</v>
      </c>
      <c r="J338" s="2">
        <f t="shared" si="26"/>
        <v>78.599999999999994</v>
      </c>
      <c r="K338" s="2">
        <f t="shared" si="27"/>
        <v>5.6</v>
      </c>
      <c r="L338" s="2">
        <f t="shared" si="28"/>
        <v>90.1</v>
      </c>
      <c r="M338" s="2">
        <f t="shared" si="29"/>
        <v>83.5</v>
      </c>
    </row>
    <row r="339" spans="1:13" x14ac:dyDescent="0.3">
      <c r="A339" s="2">
        <f>Datos!A339</f>
        <v>747</v>
      </c>
      <c r="B339" s="2" t="str">
        <f>Datos!B339</f>
        <v>Female</v>
      </c>
      <c r="C339" s="2" t="str">
        <f>Datos!C339</f>
        <v>Bachelors</v>
      </c>
      <c r="D339" s="2" t="str">
        <f>Datos!G339</f>
        <v>A</v>
      </c>
      <c r="E339" s="2">
        <f>Datos!I339</f>
        <v>6.1</v>
      </c>
      <c r="F339" s="2">
        <f>Datos!J339</f>
        <v>92.9</v>
      </c>
      <c r="G339" s="2">
        <f>Datos!L339</f>
        <v>82.6</v>
      </c>
      <c r="H339" s="2">
        <f>Datos!M339</f>
        <v>96.1</v>
      </c>
      <c r="I339" s="2" t="b">
        <f t="shared" si="25"/>
        <v>1</v>
      </c>
      <c r="J339" s="2">
        <f t="shared" si="26"/>
        <v>96.1</v>
      </c>
      <c r="K339" s="2">
        <f t="shared" si="27"/>
        <v>6.1</v>
      </c>
      <c r="L339" s="2">
        <f t="shared" si="28"/>
        <v>82.6</v>
      </c>
      <c r="M339" s="2">
        <f t="shared" si="29"/>
        <v>92.9</v>
      </c>
    </row>
    <row r="340" spans="1:13" x14ac:dyDescent="0.3">
      <c r="A340" s="2">
        <f>Datos!A340</f>
        <v>905</v>
      </c>
      <c r="B340" s="2" t="str">
        <f>Datos!B340</f>
        <v>Male</v>
      </c>
      <c r="C340" s="2" t="str">
        <f>Datos!C340</f>
        <v>Masters</v>
      </c>
      <c r="D340" s="2" t="str">
        <f>Datos!G340</f>
        <v>B</v>
      </c>
      <c r="E340" s="2">
        <f>Datos!I340</f>
        <v>6.8</v>
      </c>
      <c r="F340" s="2">
        <f>Datos!J340</f>
        <v>95.5</v>
      </c>
      <c r="G340" s="2">
        <f>Datos!L340</f>
        <v>68.2</v>
      </c>
      <c r="H340" s="2">
        <f>Datos!M340</f>
        <v>83.6</v>
      </c>
      <c r="I340" s="2" t="b">
        <f t="shared" si="25"/>
        <v>1</v>
      </c>
      <c r="J340" s="2">
        <f t="shared" si="26"/>
        <v>83.6</v>
      </c>
      <c r="K340" s="2">
        <f t="shared" si="27"/>
        <v>6.8</v>
      </c>
      <c r="L340" s="2">
        <f t="shared" si="28"/>
        <v>68.2</v>
      </c>
      <c r="M340" s="2">
        <f t="shared" si="29"/>
        <v>95.5</v>
      </c>
    </row>
    <row r="341" spans="1:13" x14ac:dyDescent="0.3">
      <c r="A341" s="2">
        <f>Datos!A341</f>
        <v>294</v>
      </c>
      <c r="B341" s="2" t="str">
        <f>Datos!B341</f>
        <v>Female</v>
      </c>
      <c r="C341" s="2" t="str">
        <f>Datos!C341</f>
        <v>Masters</v>
      </c>
      <c r="D341" s="2" t="str">
        <f>Datos!G341</f>
        <v>A</v>
      </c>
      <c r="E341" s="2">
        <f>Datos!I341</f>
        <v>5.4</v>
      </c>
      <c r="F341" s="2">
        <f>Datos!J341</f>
        <v>85.1</v>
      </c>
      <c r="G341" s="2">
        <f>Datos!L341</f>
        <v>82.9</v>
      </c>
      <c r="H341" s="2">
        <f>Datos!M341</f>
        <v>94.9</v>
      </c>
      <c r="I341" s="2" t="b">
        <f t="shared" si="25"/>
        <v>1</v>
      </c>
      <c r="J341" s="2">
        <f t="shared" si="26"/>
        <v>94.9</v>
      </c>
      <c r="K341" s="2">
        <f t="shared" si="27"/>
        <v>5.4</v>
      </c>
      <c r="L341" s="2">
        <f t="shared" si="28"/>
        <v>82.9</v>
      </c>
      <c r="M341" s="2">
        <f t="shared" si="29"/>
        <v>85.1</v>
      </c>
    </row>
    <row r="342" spans="1:13" x14ac:dyDescent="0.3">
      <c r="A342" s="2">
        <f>Datos!A342</f>
        <v>126</v>
      </c>
      <c r="B342" s="2" t="str">
        <f>Datos!B342</f>
        <v>Female</v>
      </c>
      <c r="C342" s="2" t="str">
        <f>Datos!C342</f>
        <v>Masters</v>
      </c>
      <c r="D342" s="2" t="str">
        <f>Datos!G342</f>
        <v>A</v>
      </c>
      <c r="E342" s="2">
        <f>Datos!I342</f>
        <v>6.9</v>
      </c>
      <c r="F342" s="2">
        <f>Datos!J342</f>
        <v>100</v>
      </c>
      <c r="G342" s="2">
        <f>Datos!L342</f>
        <v>54.1</v>
      </c>
      <c r="H342" s="2">
        <f>Datos!M342</f>
        <v>95</v>
      </c>
      <c r="I342" s="2" t="b">
        <f t="shared" si="25"/>
        <v>1</v>
      </c>
      <c r="J342" s="2">
        <f t="shared" si="26"/>
        <v>95</v>
      </c>
      <c r="K342" s="2">
        <f t="shared" si="27"/>
        <v>6.9</v>
      </c>
      <c r="L342" s="2">
        <f t="shared" si="28"/>
        <v>54.1</v>
      </c>
      <c r="M342" s="2">
        <f t="shared" si="29"/>
        <v>100</v>
      </c>
    </row>
    <row r="343" spans="1:13" x14ac:dyDescent="0.3">
      <c r="A343" s="2">
        <f>Datos!A343</f>
        <v>55</v>
      </c>
      <c r="B343" s="2" t="str">
        <f>Datos!B343</f>
        <v>Male</v>
      </c>
      <c r="C343" s="2" t="str">
        <f>Datos!C343</f>
        <v>Bachelors</v>
      </c>
      <c r="D343" s="2" t="str">
        <f>Datos!G343</f>
        <v>C</v>
      </c>
      <c r="E343" s="2">
        <f>Datos!I343</f>
        <v>4.2</v>
      </c>
      <c r="F343" s="2">
        <f>Datos!J343</f>
        <v>89.6</v>
      </c>
      <c r="G343" s="2">
        <f>Datos!L343</f>
        <v>67</v>
      </c>
      <c r="H343" s="2">
        <f>Datos!M343</f>
        <v>72.599999999999994</v>
      </c>
      <c r="I343" s="2" t="b">
        <f t="shared" si="25"/>
        <v>1</v>
      </c>
      <c r="J343" s="2">
        <f t="shared" si="26"/>
        <v>72.599999999999994</v>
      </c>
      <c r="K343" s="2">
        <f t="shared" si="27"/>
        <v>4.2</v>
      </c>
      <c r="L343" s="2">
        <f t="shared" si="28"/>
        <v>67</v>
      </c>
      <c r="M343" s="2">
        <f t="shared" si="29"/>
        <v>89.6</v>
      </c>
    </row>
    <row r="344" spans="1:13" x14ac:dyDescent="0.3">
      <c r="A344" s="2">
        <f>Datos!A344</f>
        <v>47</v>
      </c>
      <c r="B344" s="2" t="str">
        <f>Datos!B344</f>
        <v>Male</v>
      </c>
      <c r="C344" s="2">
        <f>Datos!C344</f>
        <v>0</v>
      </c>
      <c r="D344" s="2" t="str">
        <f>Datos!G344</f>
        <v>D</v>
      </c>
      <c r="E344" s="2">
        <f>Datos!I344</f>
        <v>5.5</v>
      </c>
      <c r="F344" s="2">
        <f>Datos!J344</f>
        <v>71.900000000000006</v>
      </c>
      <c r="G344" s="2">
        <f>Datos!L344</f>
        <v>38.1</v>
      </c>
      <c r="H344" s="2">
        <f>Datos!M344</f>
        <v>61.3</v>
      </c>
      <c r="I344" s="2" t="b">
        <f t="shared" si="25"/>
        <v>1</v>
      </c>
      <c r="J344" s="2">
        <f t="shared" si="26"/>
        <v>61.3</v>
      </c>
      <c r="K344" s="2">
        <f t="shared" si="27"/>
        <v>5.5</v>
      </c>
      <c r="L344" s="2">
        <f t="shared" si="28"/>
        <v>38.1</v>
      </c>
      <c r="M344" s="2">
        <f t="shared" si="29"/>
        <v>71.900000000000006</v>
      </c>
    </row>
    <row r="345" spans="1:13" x14ac:dyDescent="0.3">
      <c r="A345" s="2">
        <f>Datos!A345</f>
        <v>227</v>
      </c>
      <c r="B345" s="2" t="str">
        <f>Datos!B345</f>
        <v>Male</v>
      </c>
      <c r="C345" s="2">
        <f>Datos!C345</f>
        <v>0</v>
      </c>
      <c r="D345" s="2" t="str">
        <f>Datos!G345</f>
        <v>B</v>
      </c>
      <c r="E345" s="2">
        <f>Datos!I345</f>
        <v>4.4000000000000004</v>
      </c>
      <c r="F345" s="2">
        <f>Datos!J345</f>
        <v>91.7</v>
      </c>
      <c r="G345" s="2">
        <f>Datos!L345</f>
        <v>93.9</v>
      </c>
      <c r="H345" s="2">
        <f>Datos!M345</f>
        <v>83.7</v>
      </c>
      <c r="I345" s="2" t="b">
        <f t="shared" si="25"/>
        <v>1</v>
      </c>
      <c r="J345" s="2">
        <f t="shared" si="26"/>
        <v>83.7</v>
      </c>
      <c r="K345" s="2">
        <f t="shared" si="27"/>
        <v>4.4000000000000004</v>
      </c>
      <c r="L345" s="2">
        <f t="shared" si="28"/>
        <v>93.9</v>
      </c>
      <c r="M345" s="2">
        <f t="shared" si="29"/>
        <v>91.7</v>
      </c>
    </row>
    <row r="346" spans="1:13" x14ac:dyDescent="0.3">
      <c r="A346" s="2">
        <f>Datos!A346</f>
        <v>299</v>
      </c>
      <c r="B346" s="2" t="str">
        <f>Datos!B346</f>
        <v>Female</v>
      </c>
      <c r="C346" s="2" t="str">
        <f>Datos!C346</f>
        <v>Masters</v>
      </c>
      <c r="D346" s="2" t="str">
        <f>Datos!G346</f>
        <v>C</v>
      </c>
      <c r="E346" s="2">
        <f>Datos!I346</f>
        <v>2.1</v>
      </c>
      <c r="F346" s="2">
        <f>Datos!J346</f>
        <v>88.5</v>
      </c>
      <c r="G346" s="2">
        <f>Datos!L346</f>
        <v>87.5</v>
      </c>
      <c r="H346" s="2">
        <f>Datos!M346</f>
        <v>79.599999999999994</v>
      </c>
      <c r="I346" s="2" t="b">
        <f t="shared" si="25"/>
        <v>1</v>
      </c>
      <c r="J346" s="2">
        <f t="shared" si="26"/>
        <v>79.599999999999994</v>
      </c>
      <c r="K346" s="2">
        <f t="shared" si="27"/>
        <v>2.1</v>
      </c>
      <c r="L346" s="2">
        <f t="shared" si="28"/>
        <v>87.5</v>
      </c>
      <c r="M346" s="2">
        <f t="shared" si="29"/>
        <v>88.5</v>
      </c>
    </row>
    <row r="347" spans="1:13" x14ac:dyDescent="0.3">
      <c r="A347" s="2">
        <f>Datos!A347</f>
        <v>40</v>
      </c>
      <c r="B347" s="2" t="str">
        <f>Datos!B347</f>
        <v>Male</v>
      </c>
      <c r="C347" s="2" t="str">
        <f>Datos!C347</f>
        <v>Bachelors</v>
      </c>
      <c r="D347" s="2" t="str">
        <f>Datos!G347</f>
        <v>B</v>
      </c>
      <c r="E347" s="2">
        <f>Datos!I347</f>
        <v>3.5</v>
      </c>
      <c r="F347" s="2">
        <f>Datos!J347</f>
        <v>83.3</v>
      </c>
      <c r="G347" s="2">
        <f>Datos!L347</f>
        <v>90.9</v>
      </c>
      <c r="H347" s="2">
        <f>Datos!M347</f>
        <v>87.5</v>
      </c>
      <c r="I347" s="2" t="b">
        <f t="shared" si="25"/>
        <v>1</v>
      </c>
      <c r="J347" s="2">
        <f t="shared" si="26"/>
        <v>87.5</v>
      </c>
      <c r="K347" s="2">
        <f t="shared" si="27"/>
        <v>3.5</v>
      </c>
      <c r="L347" s="2">
        <f t="shared" si="28"/>
        <v>90.9</v>
      </c>
      <c r="M347" s="2">
        <f t="shared" si="29"/>
        <v>83.3</v>
      </c>
    </row>
    <row r="348" spans="1:13" x14ac:dyDescent="0.3">
      <c r="A348" s="2">
        <f>Datos!A348</f>
        <v>382</v>
      </c>
      <c r="B348" s="2" t="str">
        <f>Datos!B348</f>
        <v>Male</v>
      </c>
      <c r="C348" s="2" t="str">
        <f>Datos!C348</f>
        <v>Bachelors</v>
      </c>
      <c r="D348" s="2" t="str">
        <f>Datos!G348</f>
        <v>F</v>
      </c>
      <c r="E348" s="2">
        <f>Datos!I348</f>
        <v>2.6</v>
      </c>
      <c r="F348" s="2">
        <f>Datos!J348</f>
        <v>76.3</v>
      </c>
      <c r="G348" s="2">
        <f>Datos!L348</f>
        <v>37.4</v>
      </c>
      <c r="H348" s="2">
        <f>Datos!M348</f>
        <v>44.2</v>
      </c>
      <c r="I348" s="2" t="b">
        <f t="shared" si="25"/>
        <v>1</v>
      </c>
      <c r="J348" s="2">
        <f t="shared" si="26"/>
        <v>44.2</v>
      </c>
      <c r="K348" s="2">
        <f t="shared" si="27"/>
        <v>2.6</v>
      </c>
      <c r="L348" s="2">
        <f t="shared" si="28"/>
        <v>37.4</v>
      </c>
      <c r="M348" s="2">
        <f t="shared" si="29"/>
        <v>76.3</v>
      </c>
    </row>
    <row r="349" spans="1:13" x14ac:dyDescent="0.3">
      <c r="A349" s="2">
        <f>Datos!A349</f>
        <v>177</v>
      </c>
      <c r="B349" s="2" t="str">
        <f>Datos!B349</f>
        <v>Female</v>
      </c>
      <c r="C349" s="2" t="str">
        <f>Datos!C349</f>
        <v>Bachelors</v>
      </c>
      <c r="D349" s="2" t="str">
        <f>Datos!G349</f>
        <v>D</v>
      </c>
      <c r="E349" s="2">
        <f>Datos!I349</f>
        <v>2.4</v>
      </c>
      <c r="F349" s="2">
        <f>Datos!J349</f>
        <v>70.900000000000006</v>
      </c>
      <c r="G349" s="2">
        <f>Datos!L349</f>
        <v>85</v>
      </c>
      <c r="H349" s="2">
        <f>Datos!M349</f>
        <v>64.5</v>
      </c>
      <c r="I349" s="2" t="b">
        <f t="shared" si="25"/>
        <v>1</v>
      </c>
      <c r="J349" s="2">
        <f t="shared" si="26"/>
        <v>64.5</v>
      </c>
      <c r="K349" s="2">
        <f t="shared" si="27"/>
        <v>2.4</v>
      </c>
      <c r="L349" s="2">
        <f t="shared" si="28"/>
        <v>85</v>
      </c>
      <c r="M349" s="2">
        <f t="shared" si="29"/>
        <v>70.900000000000006</v>
      </c>
    </row>
    <row r="350" spans="1:13" x14ac:dyDescent="0.3">
      <c r="A350" s="2">
        <f>Datos!A350</f>
        <v>741</v>
      </c>
      <c r="B350" s="2" t="str">
        <f>Datos!B350</f>
        <v>Female</v>
      </c>
      <c r="C350" s="2" t="str">
        <f>Datos!C350</f>
        <v>Bachelors</v>
      </c>
      <c r="D350" s="2" t="str">
        <f>Datos!G350</f>
        <v>F</v>
      </c>
      <c r="E350" s="2">
        <f>Datos!I350</f>
        <v>0.7</v>
      </c>
      <c r="F350" s="2">
        <f>Datos!J350</f>
        <v>81</v>
      </c>
      <c r="G350" s="2">
        <f>Datos!L350</f>
        <v>48.4</v>
      </c>
      <c r="H350" s="2">
        <f>Datos!M350</f>
        <v>49.6</v>
      </c>
      <c r="I350" s="2" t="b">
        <f t="shared" si="25"/>
        <v>1</v>
      </c>
      <c r="J350" s="2">
        <f t="shared" si="26"/>
        <v>49.6</v>
      </c>
      <c r="K350" s="2">
        <f t="shared" si="27"/>
        <v>0.7</v>
      </c>
      <c r="L350" s="2">
        <f t="shared" si="28"/>
        <v>48.4</v>
      </c>
      <c r="M350" s="2">
        <f t="shared" si="29"/>
        <v>81</v>
      </c>
    </row>
    <row r="351" spans="1:13" x14ac:dyDescent="0.3">
      <c r="A351" s="2">
        <f>Datos!A351</f>
        <v>259</v>
      </c>
      <c r="B351" s="2" t="str">
        <f>Datos!B351</f>
        <v>Male</v>
      </c>
      <c r="C351" s="2" t="str">
        <f>Datos!C351</f>
        <v>PhD</v>
      </c>
      <c r="D351" s="2" t="str">
        <f>Datos!G351</f>
        <v>C</v>
      </c>
      <c r="E351" s="2">
        <f>Datos!I351</f>
        <v>1.9</v>
      </c>
      <c r="F351" s="2">
        <f>Datos!J351</f>
        <v>71.900000000000006</v>
      </c>
      <c r="G351" s="2">
        <f>Datos!L351</f>
        <v>84.6</v>
      </c>
      <c r="H351" s="2">
        <f>Datos!M351</f>
        <v>71.599999999999994</v>
      </c>
      <c r="I351" s="2" t="b">
        <f t="shared" si="25"/>
        <v>1</v>
      </c>
      <c r="J351" s="2">
        <f t="shared" si="26"/>
        <v>71.599999999999994</v>
      </c>
      <c r="K351" s="2">
        <f t="shared" si="27"/>
        <v>1.9</v>
      </c>
      <c r="L351" s="2">
        <f t="shared" si="28"/>
        <v>84.6</v>
      </c>
      <c r="M351" s="2">
        <f t="shared" si="29"/>
        <v>71.900000000000006</v>
      </c>
    </row>
    <row r="352" spans="1:13" x14ac:dyDescent="0.3">
      <c r="A352" s="2">
        <f>Datos!A352</f>
        <v>579</v>
      </c>
      <c r="B352" s="2" t="str">
        <f>Datos!B352</f>
        <v>Female</v>
      </c>
      <c r="C352" s="2" t="str">
        <f>Datos!C352</f>
        <v>PhD</v>
      </c>
      <c r="D352" s="2" t="str">
        <f>Datos!G352</f>
        <v>F</v>
      </c>
      <c r="E352" s="2">
        <f>Datos!I352</f>
        <v>3.1</v>
      </c>
      <c r="F352" s="2">
        <f>Datos!J352</f>
        <v>80.7</v>
      </c>
      <c r="G352" s="2">
        <f>Datos!L352</f>
        <v>41.1</v>
      </c>
      <c r="H352" s="2">
        <f>Datos!M352</f>
        <v>73</v>
      </c>
      <c r="I352" s="2" t="b">
        <f t="shared" si="25"/>
        <v>1</v>
      </c>
      <c r="J352" s="2">
        <f t="shared" si="26"/>
        <v>73</v>
      </c>
      <c r="K352" s="2">
        <f t="shared" si="27"/>
        <v>3.1</v>
      </c>
      <c r="L352" s="2">
        <f t="shared" si="28"/>
        <v>41.1</v>
      </c>
      <c r="M352" s="2">
        <f t="shared" si="29"/>
        <v>80.7</v>
      </c>
    </row>
    <row r="353" spans="1:13" x14ac:dyDescent="0.3">
      <c r="A353" s="2">
        <f>Datos!A353</f>
        <v>217</v>
      </c>
      <c r="B353" s="2" t="str">
        <f>Datos!B353</f>
        <v>Female</v>
      </c>
      <c r="C353" s="2" t="str">
        <f>Datos!C353</f>
        <v>PhD</v>
      </c>
      <c r="D353" s="2" t="str">
        <f>Datos!G353</f>
        <v>C</v>
      </c>
      <c r="E353" s="2">
        <f>Datos!I353</f>
        <v>0.6</v>
      </c>
      <c r="F353" s="2">
        <f>Datos!J353</f>
        <v>97.4</v>
      </c>
      <c r="G353" s="2">
        <f>Datos!L353</f>
        <v>89.4</v>
      </c>
      <c r="H353" s="2">
        <f>Datos!M353</f>
        <v>71.3</v>
      </c>
      <c r="I353" s="2" t="b">
        <f t="shared" si="25"/>
        <v>1</v>
      </c>
      <c r="J353" s="2">
        <f t="shared" si="26"/>
        <v>71.3</v>
      </c>
      <c r="K353" s="2">
        <f t="shared" si="27"/>
        <v>0.6</v>
      </c>
      <c r="L353" s="2">
        <f t="shared" si="28"/>
        <v>89.4</v>
      </c>
      <c r="M353" s="2">
        <f t="shared" si="29"/>
        <v>97.4</v>
      </c>
    </row>
    <row r="354" spans="1:13" x14ac:dyDescent="0.3">
      <c r="A354" s="2">
        <f>Datos!A354</f>
        <v>175</v>
      </c>
      <c r="B354" s="2" t="str">
        <f>Datos!B354</f>
        <v>Male</v>
      </c>
      <c r="C354" s="2" t="str">
        <f>Datos!C354</f>
        <v>Bachelors</v>
      </c>
      <c r="D354" s="2" t="str">
        <f>Datos!G354</f>
        <v>D</v>
      </c>
      <c r="E354" s="2">
        <f>Datos!I354</f>
        <v>3.1</v>
      </c>
      <c r="F354" s="2">
        <f>Datos!J354</f>
        <v>84.9</v>
      </c>
      <c r="G354" s="2">
        <f>Datos!L354</f>
        <v>82.6</v>
      </c>
      <c r="H354" s="2">
        <f>Datos!M354</f>
        <v>67.599999999999994</v>
      </c>
      <c r="I354" s="2" t="b">
        <f t="shared" si="25"/>
        <v>1</v>
      </c>
      <c r="J354" s="2">
        <f t="shared" si="26"/>
        <v>67.599999999999994</v>
      </c>
      <c r="K354" s="2">
        <f t="shared" si="27"/>
        <v>3.1</v>
      </c>
      <c r="L354" s="2">
        <f t="shared" si="28"/>
        <v>82.6</v>
      </c>
      <c r="M354" s="2">
        <f t="shared" si="29"/>
        <v>84.9</v>
      </c>
    </row>
    <row r="355" spans="1:13" x14ac:dyDescent="0.3">
      <c r="A355" s="2">
        <f>Datos!A355</f>
        <v>861</v>
      </c>
      <c r="B355" s="2" t="str">
        <f>Datos!B355</f>
        <v>Male</v>
      </c>
      <c r="C355" s="2" t="str">
        <f>Datos!C355</f>
        <v>High School</v>
      </c>
      <c r="D355" s="2" t="str">
        <f>Datos!G355</f>
        <v>C</v>
      </c>
      <c r="E355" s="2">
        <f>Datos!I355</f>
        <v>4.2</v>
      </c>
      <c r="F355" s="2">
        <f>Datos!J355</f>
        <v>77.3</v>
      </c>
      <c r="G355" s="2">
        <f>Datos!L355</f>
        <v>67</v>
      </c>
      <c r="H355" s="2">
        <f>Datos!M355</f>
        <v>76</v>
      </c>
      <c r="I355" s="2" t="b">
        <f t="shared" si="25"/>
        <v>1</v>
      </c>
      <c r="J355" s="2">
        <f t="shared" si="26"/>
        <v>76</v>
      </c>
      <c r="K355" s="2">
        <f t="shared" si="27"/>
        <v>4.2</v>
      </c>
      <c r="L355" s="2">
        <f t="shared" si="28"/>
        <v>67</v>
      </c>
      <c r="M355" s="2">
        <f t="shared" si="29"/>
        <v>77.3</v>
      </c>
    </row>
    <row r="356" spans="1:13" x14ac:dyDescent="0.3">
      <c r="A356" s="2">
        <f>Datos!A356</f>
        <v>580</v>
      </c>
      <c r="B356" s="2" t="str">
        <f>Datos!B356</f>
        <v>Female</v>
      </c>
      <c r="C356" s="2">
        <f>Datos!C356</f>
        <v>0</v>
      </c>
      <c r="D356" s="2" t="str">
        <f>Datos!G356</f>
        <v>F</v>
      </c>
      <c r="E356" s="2">
        <f>Datos!I356</f>
        <v>1.2</v>
      </c>
      <c r="F356" s="2">
        <f>Datos!J356</f>
        <v>81.8</v>
      </c>
      <c r="G356" s="2">
        <f>Datos!L356</f>
        <v>49.2</v>
      </c>
      <c r="H356" s="2">
        <f>Datos!M356</f>
        <v>53.2</v>
      </c>
      <c r="I356" s="2" t="b">
        <f t="shared" si="25"/>
        <v>1</v>
      </c>
      <c r="J356" s="2">
        <f t="shared" si="26"/>
        <v>53.2</v>
      </c>
      <c r="K356" s="2">
        <f t="shared" si="27"/>
        <v>1.2</v>
      </c>
      <c r="L356" s="2">
        <f t="shared" si="28"/>
        <v>49.2</v>
      </c>
      <c r="M356" s="2">
        <f t="shared" si="29"/>
        <v>81.8</v>
      </c>
    </row>
    <row r="357" spans="1:13" x14ac:dyDescent="0.3">
      <c r="A357" s="2">
        <f>Datos!A357</f>
        <v>614</v>
      </c>
      <c r="B357" s="2" t="str">
        <f>Datos!B357</f>
        <v>Female</v>
      </c>
      <c r="C357" s="2" t="str">
        <f>Datos!C357</f>
        <v>PhD</v>
      </c>
      <c r="D357" s="2" t="str">
        <f>Datos!G357</f>
        <v>C</v>
      </c>
      <c r="E357" s="2">
        <f>Datos!I357</f>
        <v>2.7</v>
      </c>
      <c r="F357" s="2">
        <f>Datos!J357</f>
        <v>94.5</v>
      </c>
      <c r="G357" s="2">
        <f>Datos!L357</f>
        <v>52.9</v>
      </c>
      <c r="H357" s="2">
        <f>Datos!M357</f>
        <v>74.400000000000006</v>
      </c>
      <c r="I357" s="2" t="b">
        <f t="shared" si="25"/>
        <v>1</v>
      </c>
      <c r="J357" s="2">
        <f t="shared" si="26"/>
        <v>74.400000000000006</v>
      </c>
      <c r="K357" s="2">
        <f t="shared" si="27"/>
        <v>2.7</v>
      </c>
      <c r="L357" s="2">
        <f t="shared" si="28"/>
        <v>52.9</v>
      </c>
      <c r="M357" s="2">
        <f t="shared" si="29"/>
        <v>94.5</v>
      </c>
    </row>
    <row r="358" spans="1:13" x14ac:dyDescent="0.3">
      <c r="A358" s="2">
        <f>Datos!A358</f>
        <v>330</v>
      </c>
      <c r="B358" s="2" t="str">
        <f>Datos!B358</f>
        <v>Female</v>
      </c>
      <c r="C358" s="2" t="str">
        <f>Datos!C358</f>
        <v>Bachelors</v>
      </c>
      <c r="D358" s="2" t="str">
        <f>Datos!G358</f>
        <v>D</v>
      </c>
      <c r="E358" s="2">
        <f>Datos!I358</f>
        <v>2.6</v>
      </c>
      <c r="F358" s="2">
        <f>Datos!J358</f>
        <v>74.900000000000006</v>
      </c>
      <c r="G358" s="2">
        <f>Datos!L358</f>
        <v>42.7</v>
      </c>
      <c r="H358" s="2">
        <f>Datos!M358</f>
        <v>66</v>
      </c>
      <c r="I358" s="2" t="b">
        <f t="shared" si="25"/>
        <v>1</v>
      </c>
      <c r="J358" s="2">
        <f t="shared" si="26"/>
        <v>66</v>
      </c>
      <c r="K358" s="2">
        <f t="shared" si="27"/>
        <v>2.6</v>
      </c>
      <c r="L358" s="2">
        <f t="shared" si="28"/>
        <v>42.7</v>
      </c>
      <c r="M358" s="2">
        <f t="shared" si="29"/>
        <v>74.900000000000006</v>
      </c>
    </row>
    <row r="359" spans="1:13" x14ac:dyDescent="0.3">
      <c r="A359" s="2">
        <f>Datos!A359</f>
        <v>429</v>
      </c>
      <c r="B359" s="2" t="str">
        <f>Datos!B359</f>
        <v>Male</v>
      </c>
      <c r="C359" s="2" t="str">
        <f>Datos!C359</f>
        <v>Bachelors</v>
      </c>
      <c r="D359" s="2" t="str">
        <f>Datos!G359</f>
        <v>F</v>
      </c>
      <c r="E359" s="2">
        <f>Datos!I359</f>
        <v>0.7</v>
      </c>
      <c r="F359" s="2">
        <f>Datos!J359</f>
        <v>88.7</v>
      </c>
      <c r="G359" s="2">
        <f>Datos!L359</f>
        <v>67</v>
      </c>
      <c r="H359" s="2">
        <f>Datos!M359</f>
        <v>43.1</v>
      </c>
      <c r="I359" s="2" t="b">
        <f t="shared" si="25"/>
        <v>1</v>
      </c>
      <c r="J359" s="2">
        <f t="shared" si="26"/>
        <v>43.1</v>
      </c>
      <c r="K359" s="2">
        <f t="shared" si="27"/>
        <v>0.7</v>
      </c>
      <c r="L359" s="2">
        <f t="shared" si="28"/>
        <v>67</v>
      </c>
      <c r="M359" s="2">
        <f t="shared" si="29"/>
        <v>88.7</v>
      </c>
    </row>
    <row r="360" spans="1:13" x14ac:dyDescent="0.3">
      <c r="A360" s="2">
        <f>Datos!A360</f>
        <v>193</v>
      </c>
      <c r="B360" s="2" t="str">
        <f>Datos!B360</f>
        <v>Female</v>
      </c>
      <c r="C360" s="2">
        <f>Datos!C360</f>
        <v>0</v>
      </c>
      <c r="D360" s="2" t="str">
        <f>Datos!G360</f>
        <v>B</v>
      </c>
      <c r="E360" s="2">
        <f>Datos!I360</f>
        <v>5.4</v>
      </c>
      <c r="F360" s="2">
        <f>Datos!J360</f>
        <v>74</v>
      </c>
      <c r="G360" s="2">
        <f>Datos!L360</f>
        <v>66.900000000000006</v>
      </c>
      <c r="H360" s="2">
        <f>Datos!M360</f>
        <v>80</v>
      </c>
      <c r="I360" s="2" t="b">
        <f t="shared" si="25"/>
        <v>1</v>
      </c>
      <c r="J360" s="2">
        <f t="shared" si="26"/>
        <v>80</v>
      </c>
      <c r="K360" s="2">
        <f t="shared" si="27"/>
        <v>5.4</v>
      </c>
      <c r="L360" s="2">
        <f t="shared" si="28"/>
        <v>66.900000000000006</v>
      </c>
      <c r="M360" s="2">
        <f t="shared" si="29"/>
        <v>74</v>
      </c>
    </row>
    <row r="361" spans="1:13" x14ac:dyDescent="0.3">
      <c r="A361" s="2">
        <f>Datos!A361</f>
        <v>558</v>
      </c>
      <c r="B361" s="2" t="str">
        <f>Datos!B361</f>
        <v>Male</v>
      </c>
      <c r="C361" s="2" t="str">
        <f>Datos!C361</f>
        <v>Masters</v>
      </c>
      <c r="D361" s="2" t="str">
        <f>Datos!G361</f>
        <v>B</v>
      </c>
      <c r="E361" s="2">
        <f>Datos!I361</f>
        <v>4.5</v>
      </c>
      <c r="F361" s="2">
        <f>Datos!J361</f>
        <v>80.2</v>
      </c>
      <c r="G361" s="2">
        <f>Datos!L361</f>
        <v>86.1</v>
      </c>
      <c r="H361" s="2">
        <f>Datos!M361</f>
        <v>84.6</v>
      </c>
      <c r="I361" s="2" t="b">
        <f t="shared" si="25"/>
        <v>1</v>
      </c>
      <c r="J361" s="2">
        <f t="shared" si="26"/>
        <v>84.6</v>
      </c>
      <c r="K361" s="2">
        <f t="shared" si="27"/>
        <v>4.5</v>
      </c>
      <c r="L361" s="2">
        <f t="shared" si="28"/>
        <v>86.1</v>
      </c>
      <c r="M361" s="2">
        <f t="shared" si="29"/>
        <v>80.2</v>
      </c>
    </row>
    <row r="362" spans="1:13" x14ac:dyDescent="0.3">
      <c r="A362" s="2">
        <f>Datos!A362</f>
        <v>844</v>
      </c>
      <c r="B362" s="2" t="str">
        <f>Datos!B362</f>
        <v>Male</v>
      </c>
      <c r="C362" s="2" t="str">
        <f>Datos!C362</f>
        <v>PhD</v>
      </c>
      <c r="D362" s="2" t="str">
        <f>Datos!G362</f>
        <v>C</v>
      </c>
      <c r="E362" s="2">
        <f>Datos!I362</f>
        <v>5.6</v>
      </c>
      <c r="F362" s="2">
        <f>Datos!J362</f>
        <v>67.3</v>
      </c>
      <c r="G362" s="2">
        <f>Datos!L362</f>
        <v>75.099999999999994</v>
      </c>
      <c r="H362" s="2">
        <f>Datos!M362</f>
        <v>77.5</v>
      </c>
      <c r="I362" s="2" t="b">
        <f t="shared" si="25"/>
        <v>1</v>
      </c>
      <c r="J362" s="2">
        <f t="shared" si="26"/>
        <v>77.5</v>
      </c>
      <c r="K362" s="2">
        <f t="shared" si="27"/>
        <v>5.6</v>
      </c>
      <c r="L362" s="2">
        <f t="shared" si="28"/>
        <v>75.099999999999994</v>
      </c>
      <c r="M362" s="2">
        <f t="shared" si="29"/>
        <v>67.3</v>
      </c>
    </row>
    <row r="363" spans="1:13" x14ac:dyDescent="0.3">
      <c r="A363" s="2">
        <f>Datos!A363</f>
        <v>763</v>
      </c>
      <c r="B363" s="2" t="str">
        <f>Datos!B363</f>
        <v>Male</v>
      </c>
      <c r="C363" s="2" t="str">
        <f>Datos!C363</f>
        <v>High School</v>
      </c>
      <c r="D363" s="2" t="str">
        <f>Datos!G363</f>
        <v>F</v>
      </c>
      <c r="E363" s="2">
        <f>Datos!I363</f>
        <v>0.7</v>
      </c>
      <c r="F363" s="2">
        <f>Datos!J363</f>
        <v>76.5</v>
      </c>
      <c r="G363" s="2">
        <f>Datos!L363</f>
        <v>58.9</v>
      </c>
      <c r="H363" s="2">
        <f>Datos!M363</f>
        <v>53</v>
      </c>
      <c r="I363" s="2" t="b">
        <f t="shared" si="25"/>
        <v>1</v>
      </c>
      <c r="J363" s="2">
        <f t="shared" si="26"/>
        <v>53</v>
      </c>
      <c r="K363" s="2">
        <f t="shared" si="27"/>
        <v>0.7</v>
      </c>
      <c r="L363" s="2">
        <f t="shared" si="28"/>
        <v>58.9</v>
      </c>
      <c r="M363" s="2">
        <f t="shared" si="29"/>
        <v>76.5</v>
      </c>
    </row>
    <row r="364" spans="1:13" x14ac:dyDescent="0.3">
      <c r="A364" s="2">
        <f>Datos!A364</f>
        <v>484</v>
      </c>
      <c r="B364" s="2" t="str">
        <f>Datos!B364</f>
        <v>Female</v>
      </c>
      <c r="C364" s="2" t="str">
        <f>Datos!C364</f>
        <v>PhD</v>
      </c>
      <c r="D364" s="2" t="str">
        <f>Datos!G364</f>
        <v>C</v>
      </c>
      <c r="E364" s="2">
        <f>Datos!I364</f>
        <v>2.5</v>
      </c>
      <c r="F364" s="2">
        <f>Datos!J364</f>
        <v>82</v>
      </c>
      <c r="G364" s="2">
        <f>Datos!L364</f>
        <v>93.7</v>
      </c>
      <c r="H364" s="2">
        <f>Datos!M364</f>
        <v>77.099999999999994</v>
      </c>
      <c r="I364" s="2" t="b">
        <f t="shared" si="25"/>
        <v>1</v>
      </c>
      <c r="J364" s="2">
        <f t="shared" si="26"/>
        <v>77.099999999999994</v>
      </c>
      <c r="K364" s="2">
        <f t="shared" si="27"/>
        <v>2.5</v>
      </c>
      <c r="L364" s="2">
        <f t="shared" si="28"/>
        <v>93.7</v>
      </c>
      <c r="M364" s="2">
        <f t="shared" si="29"/>
        <v>82</v>
      </c>
    </row>
    <row r="365" spans="1:13" x14ac:dyDescent="0.3">
      <c r="A365" s="2">
        <f>Datos!A365</f>
        <v>366</v>
      </c>
      <c r="B365" s="2" t="str">
        <f>Datos!B365</f>
        <v>Female</v>
      </c>
      <c r="C365" s="2" t="str">
        <f>Datos!C365</f>
        <v>Masters</v>
      </c>
      <c r="D365" s="2" t="str">
        <f>Datos!G365</f>
        <v>C</v>
      </c>
      <c r="E365" s="2">
        <f>Datos!I365</f>
        <v>4.3</v>
      </c>
      <c r="F365" s="2">
        <f>Datos!J365</f>
        <v>82.2</v>
      </c>
      <c r="G365" s="2">
        <f>Datos!L365</f>
        <v>63.8</v>
      </c>
      <c r="H365" s="2">
        <f>Datos!M365</f>
        <v>76.599999999999994</v>
      </c>
      <c r="I365" s="2" t="b">
        <f t="shared" si="25"/>
        <v>1</v>
      </c>
      <c r="J365" s="2">
        <f t="shared" si="26"/>
        <v>76.599999999999994</v>
      </c>
      <c r="K365" s="2">
        <f t="shared" si="27"/>
        <v>4.3</v>
      </c>
      <c r="L365" s="2">
        <f t="shared" si="28"/>
        <v>63.8</v>
      </c>
      <c r="M365" s="2">
        <f t="shared" si="29"/>
        <v>82.2</v>
      </c>
    </row>
    <row r="366" spans="1:13" x14ac:dyDescent="0.3">
      <c r="A366" s="2">
        <f>Datos!A366</f>
        <v>256</v>
      </c>
      <c r="B366" s="2" t="str">
        <f>Datos!B366</f>
        <v>Female</v>
      </c>
      <c r="C366" s="2">
        <f>Datos!C366</f>
        <v>0</v>
      </c>
      <c r="D366" s="2" t="str">
        <f>Datos!G366</f>
        <v>B</v>
      </c>
      <c r="E366" s="2">
        <f>Datos!I366</f>
        <v>5.2</v>
      </c>
      <c r="F366" s="2">
        <f>Datos!J366</f>
        <v>98.2</v>
      </c>
      <c r="G366" s="2">
        <f>Datos!L366</f>
        <v>54.5</v>
      </c>
      <c r="H366" s="2">
        <f>Datos!M366</f>
        <v>46.5</v>
      </c>
      <c r="I366" s="2" t="b">
        <f t="shared" si="25"/>
        <v>1</v>
      </c>
      <c r="J366" s="2">
        <f t="shared" si="26"/>
        <v>46.5</v>
      </c>
      <c r="K366" s="2">
        <f t="shared" si="27"/>
        <v>5.2</v>
      </c>
      <c r="L366" s="2">
        <f t="shared" si="28"/>
        <v>54.5</v>
      </c>
      <c r="M366" s="2">
        <f t="shared" si="29"/>
        <v>98.2</v>
      </c>
    </row>
    <row r="367" spans="1:13" x14ac:dyDescent="0.3">
      <c r="A367" s="2">
        <f>Datos!A367</f>
        <v>858</v>
      </c>
      <c r="B367" s="2" t="str">
        <f>Datos!B367</f>
        <v>Female</v>
      </c>
      <c r="C367" s="2" t="str">
        <f>Datos!C367</f>
        <v>Bachelors</v>
      </c>
      <c r="D367" s="2" t="str">
        <f>Datos!G367</f>
        <v>D</v>
      </c>
      <c r="E367" s="2">
        <f>Datos!I367</f>
        <v>2.7</v>
      </c>
      <c r="F367" s="2">
        <f>Datos!J367</f>
        <v>73.400000000000006</v>
      </c>
      <c r="G367" s="2">
        <f>Datos!L367</f>
        <v>40.5</v>
      </c>
      <c r="H367" s="2">
        <f>Datos!M367</f>
        <v>65</v>
      </c>
      <c r="I367" s="2" t="b">
        <f t="shared" si="25"/>
        <v>1</v>
      </c>
      <c r="J367" s="2">
        <f t="shared" si="26"/>
        <v>65</v>
      </c>
      <c r="K367" s="2">
        <f t="shared" si="27"/>
        <v>2.7</v>
      </c>
      <c r="L367" s="2">
        <f t="shared" si="28"/>
        <v>40.5</v>
      </c>
      <c r="M367" s="2">
        <f t="shared" si="29"/>
        <v>73.400000000000006</v>
      </c>
    </row>
    <row r="368" spans="1:13" x14ac:dyDescent="0.3">
      <c r="A368" s="2">
        <f>Datos!A368</f>
        <v>275</v>
      </c>
      <c r="B368" s="2" t="str">
        <f>Datos!B368</f>
        <v>Male</v>
      </c>
      <c r="C368" s="2" t="str">
        <f>Datos!C368</f>
        <v>High School</v>
      </c>
      <c r="D368" s="2" t="str">
        <f>Datos!G368</f>
        <v>C</v>
      </c>
      <c r="E368" s="2">
        <f>Datos!I368</f>
        <v>3.4</v>
      </c>
      <c r="F368" s="2">
        <f>Datos!J368</f>
        <v>95.2</v>
      </c>
      <c r="G368" s="2">
        <f>Datos!L368</f>
        <v>43.6</v>
      </c>
      <c r="H368" s="2">
        <f>Datos!M368</f>
        <v>76.400000000000006</v>
      </c>
      <c r="I368" s="2" t="b">
        <f t="shared" si="25"/>
        <v>1</v>
      </c>
      <c r="J368" s="2">
        <f t="shared" si="26"/>
        <v>76.400000000000006</v>
      </c>
      <c r="K368" s="2">
        <f t="shared" si="27"/>
        <v>3.4</v>
      </c>
      <c r="L368" s="2">
        <f t="shared" si="28"/>
        <v>43.6</v>
      </c>
      <c r="M368" s="2">
        <f t="shared" si="29"/>
        <v>95.2</v>
      </c>
    </row>
    <row r="369" spans="1:13" x14ac:dyDescent="0.3">
      <c r="A369" s="2">
        <f>Datos!A369</f>
        <v>692</v>
      </c>
      <c r="B369" s="2" t="str">
        <f>Datos!B369</f>
        <v>Female</v>
      </c>
      <c r="C369" s="2" t="str">
        <f>Datos!C369</f>
        <v>Bachelors</v>
      </c>
      <c r="D369" s="2" t="str">
        <f>Datos!G369</f>
        <v>A</v>
      </c>
      <c r="E369" s="2">
        <f>Datos!I369</f>
        <v>4.8</v>
      </c>
      <c r="F369" s="2">
        <f>Datos!J369</f>
        <v>94.3</v>
      </c>
      <c r="G369" s="2">
        <f>Datos!L369</f>
        <v>66.75</v>
      </c>
      <c r="H369" s="2">
        <f>Datos!M369</f>
        <v>90.4</v>
      </c>
      <c r="I369" s="2" t="b">
        <f t="shared" si="25"/>
        <v>1</v>
      </c>
      <c r="J369" s="2">
        <f t="shared" si="26"/>
        <v>90.4</v>
      </c>
      <c r="K369" s="2">
        <f t="shared" si="27"/>
        <v>4.8</v>
      </c>
      <c r="L369" s="2">
        <f t="shared" si="28"/>
        <v>66.75</v>
      </c>
      <c r="M369" s="2">
        <f t="shared" si="29"/>
        <v>94.3</v>
      </c>
    </row>
    <row r="370" spans="1:13" x14ac:dyDescent="0.3">
      <c r="A370" s="2">
        <f>Datos!A370</f>
        <v>127</v>
      </c>
      <c r="B370" s="2" t="str">
        <f>Datos!B370</f>
        <v>Male</v>
      </c>
      <c r="C370" s="2" t="str">
        <f>Datos!C370</f>
        <v>Bachelors</v>
      </c>
      <c r="D370" s="2" t="str">
        <f>Datos!G370</f>
        <v>D</v>
      </c>
      <c r="E370" s="2">
        <f>Datos!I370</f>
        <v>0.8</v>
      </c>
      <c r="F370" s="2">
        <f>Datos!J370</f>
        <v>88.5</v>
      </c>
      <c r="G370" s="2">
        <f>Datos!L370</f>
        <v>60</v>
      </c>
      <c r="H370" s="2">
        <f>Datos!M370</f>
        <v>63.4</v>
      </c>
      <c r="I370" s="2" t="b">
        <f t="shared" si="25"/>
        <v>1</v>
      </c>
      <c r="J370" s="2">
        <f t="shared" si="26"/>
        <v>63.4</v>
      </c>
      <c r="K370" s="2">
        <f t="shared" si="27"/>
        <v>0.8</v>
      </c>
      <c r="L370" s="2">
        <f t="shared" si="28"/>
        <v>60</v>
      </c>
      <c r="M370" s="2">
        <f t="shared" si="29"/>
        <v>88.5</v>
      </c>
    </row>
    <row r="371" spans="1:13" x14ac:dyDescent="0.3">
      <c r="A371" s="2">
        <f>Datos!A371</f>
        <v>62</v>
      </c>
      <c r="B371" s="2" t="str">
        <f>Datos!B371</f>
        <v>Female</v>
      </c>
      <c r="C371" s="2">
        <f>Datos!C371</f>
        <v>0</v>
      </c>
      <c r="D371" s="2" t="str">
        <f>Datos!G371</f>
        <v>F</v>
      </c>
      <c r="E371" s="2">
        <f>Datos!I371</f>
        <v>1.7</v>
      </c>
      <c r="F371" s="2">
        <f>Datos!J371</f>
        <v>96.7</v>
      </c>
      <c r="G371" s="2">
        <f>Datos!L371</f>
        <v>70.2</v>
      </c>
      <c r="H371" s="2">
        <f>Datos!M371</f>
        <v>50.4</v>
      </c>
      <c r="I371" s="2" t="b">
        <f t="shared" si="25"/>
        <v>1</v>
      </c>
      <c r="J371" s="2">
        <f t="shared" si="26"/>
        <v>50.4</v>
      </c>
      <c r="K371" s="2">
        <f t="shared" si="27"/>
        <v>1.7</v>
      </c>
      <c r="L371" s="2">
        <f t="shared" si="28"/>
        <v>70.2</v>
      </c>
      <c r="M371" s="2">
        <f t="shared" si="29"/>
        <v>96.7</v>
      </c>
    </row>
    <row r="372" spans="1:13" x14ac:dyDescent="0.3">
      <c r="A372" s="2">
        <f>Datos!A372</f>
        <v>527</v>
      </c>
      <c r="B372" s="2" t="str">
        <f>Datos!B372</f>
        <v>Male</v>
      </c>
      <c r="C372" s="2">
        <f>Datos!C372</f>
        <v>0</v>
      </c>
      <c r="D372" s="2" t="str">
        <f>Datos!G372</f>
        <v>F</v>
      </c>
      <c r="E372" s="2">
        <f>Datos!I372</f>
        <v>3.4</v>
      </c>
      <c r="F372" s="2">
        <f>Datos!J372</f>
        <v>86.6</v>
      </c>
      <c r="G372" s="2">
        <f>Datos!L372</f>
        <v>56.8</v>
      </c>
      <c r="H372" s="2">
        <f>Datos!M372</f>
        <v>54.6</v>
      </c>
      <c r="I372" s="2" t="b">
        <f t="shared" si="25"/>
        <v>1</v>
      </c>
      <c r="J372" s="2">
        <f t="shared" si="26"/>
        <v>54.6</v>
      </c>
      <c r="K372" s="2">
        <f t="shared" si="27"/>
        <v>3.4</v>
      </c>
      <c r="L372" s="2">
        <f t="shared" si="28"/>
        <v>56.8</v>
      </c>
      <c r="M372" s="2">
        <f t="shared" si="29"/>
        <v>86.6</v>
      </c>
    </row>
    <row r="373" spans="1:13" x14ac:dyDescent="0.3">
      <c r="A373" s="2">
        <f>Datos!A373</f>
        <v>183</v>
      </c>
      <c r="B373" s="2" t="str">
        <f>Datos!B373</f>
        <v>Female</v>
      </c>
      <c r="C373" s="2">
        <f>Datos!C373</f>
        <v>0</v>
      </c>
      <c r="D373" s="2" t="str">
        <f>Datos!G373</f>
        <v>C</v>
      </c>
      <c r="E373" s="2">
        <f>Datos!I373</f>
        <v>3.5</v>
      </c>
      <c r="F373" s="2">
        <f>Datos!J373</f>
        <v>72</v>
      </c>
      <c r="G373" s="2">
        <f>Datos!L373</f>
        <v>89.5</v>
      </c>
      <c r="H373" s="2">
        <f>Datos!M373</f>
        <v>72.599999999999994</v>
      </c>
      <c r="I373" s="2" t="b">
        <f t="shared" si="25"/>
        <v>1</v>
      </c>
      <c r="J373" s="2">
        <f t="shared" si="26"/>
        <v>72.599999999999994</v>
      </c>
      <c r="K373" s="2">
        <f t="shared" si="27"/>
        <v>3.5</v>
      </c>
      <c r="L373" s="2">
        <f t="shared" si="28"/>
        <v>89.5</v>
      </c>
      <c r="M373" s="2">
        <f t="shared" si="29"/>
        <v>72</v>
      </c>
    </row>
    <row r="374" spans="1:13" x14ac:dyDescent="0.3">
      <c r="A374" s="2">
        <f>Datos!A374</f>
        <v>520</v>
      </c>
      <c r="B374" s="2" t="str">
        <f>Datos!B374</f>
        <v>Male</v>
      </c>
      <c r="C374" s="2" t="str">
        <f>Datos!C374</f>
        <v>Masters</v>
      </c>
      <c r="D374" s="2" t="str">
        <f>Datos!G374</f>
        <v>B</v>
      </c>
      <c r="E374" s="2">
        <f>Datos!I374</f>
        <v>5.3</v>
      </c>
      <c r="F374" s="2">
        <f>Datos!J374</f>
        <v>99.9</v>
      </c>
      <c r="G374" s="2">
        <f>Datos!L374</f>
        <v>78.7</v>
      </c>
      <c r="H374" s="2">
        <f>Datos!M374</f>
        <v>82.4</v>
      </c>
      <c r="I374" s="2" t="b">
        <f t="shared" si="25"/>
        <v>1</v>
      </c>
      <c r="J374" s="2">
        <f t="shared" si="26"/>
        <v>82.4</v>
      </c>
      <c r="K374" s="2">
        <f t="shared" si="27"/>
        <v>5.3</v>
      </c>
      <c r="L374" s="2">
        <f t="shared" si="28"/>
        <v>78.7</v>
      </c>
      <c r="M374" s="2">
        <f t="shared" si="29"/>
        <v>99.9</v>
      </c>
    </row>
    <row r="375" spans="1:13" x14ac:dyDescent="0.3">
      <c r="A375" s="2">
        <f>Datos!A375</f>
        <v>569</v>
      </c>
      <c r="B375" s="2" t="str">
        <f>Datos!B375</f>
        <v>Male</v>
      </c>
      <c r="C375" s="2" t="str">
        <f>Datos!C375</f>
        <v>Bachelors</v>
      </c>
      <c r="D375" s="2" t="str">
        <f>Datos!G375</f>
        <v>C</v>
      </c>
      <c r="E375" s="2">
        <f>Datos!I375</f>
        <v>4.0999999999999996</v>
      </c>
      <c r="F375" s="2">
        <f>Datos!J375</f>
        <v>66.5</v>
      </c>
      <c r="G375" s="2">
        <f>Datos!L375</f>
        <v>53</v>
      </c>
      <c r="H375" s="2">
        <f>Datos!M375</f>
        <v>70.7</v>
      </c>
      <c r="I375" s="2" t="b">
        <f t="shared" si="25"/>
        <v>1</v>
      </c>
      <c r="J375" s="2">
        <f t="shared" si="26"/>
        <v>70.7</v>
      </c>
      <c r="K375" s="2">
        <f t="shared" si="27"/>
        <v>4.0999999999999996</v>
      </c>
      <c r="L375" s="2">
        <f t="shared" si="28"/>
        <v>53</v>
      </c>
      <c r="M375" s="2">
        <f t="shared" si="29"/>
        <v>66.5</v>
      </c>
    </row>
    <row r="376" spans="1:13" x14ac:dyDescent="0.3">
      <c r="A376" s="2">
        <f>Datos!A376</f>
        <v>286</v>
      </c>
      <c r="B376" s="2" t="str">
        <f>Datos!B376</f>
        <v>Male</v>
      </c>
      <c r="C376" s="2" t="str">
        <f>Datos!C376</f>
        <v>High School</v>
      </c>
      <c r="D376" s="2" t="str">
        <f>Datos!G376</f>
        <v>B</v>
      </c>
      <c r="E376" s="2">
        <f>Datos!I376</f>
        <v>7</v>
      </c>
      <c r="F376" s="2">
        <f>Datos!J376</f>
        <v>65.599999999999994</v>
      </c>
      <c r="G376" s="2">
        <f>Datos!L376</f>
        <v>72.2</v>
      </c>
      <c r="H376" s="2">
        <f>Datos!M376</f>
        <v>85.5</v>
      </c>
      <c r="I376" s="2" t="b">
        <f t="shared" si="25"/>
        <v>1</v>
      </c>
      <c r="J376" s="2">
        <f t="shared" si="26"/>
        <v>85.5</v>
      </c>
      <c r="K376" s="2">
        <f t="shared" si="27"/>
        <v>7</v>
      </c>
      <c r="L376" s="2">
        <f t="shared" si="28"/>
        <v>72.2</v>
      </c>
      <c r="M376" s="2">
        <f t="shared" si="29"/>
        <v>65.599999999999994</v>
      </c>
    </row>
    <row r="377" spans="1:13" x14ac:dyDescent="0.3">
      <c r="A377" s="2">
        <f>Datos!A377</f>
        <v>839</v>
      </c>
      <c r="B377" s="2" t="str">
        <f>Datos!B377</f>
        <v>Female</v>
      </c>
      <c r="C377" s="2" t="str">
        <f>Datos!C377</f>
        <v>PhD</v>
      </c>
      <c r="D377" s="2" t="str">
        <f>Datos!G377</f>
        <v>D</v>
      </c>
      <c r="E377" s="2">
        <f>Datos!I377</f>
        <v>2.4</v>
      </c>
      <c r="F377" s="2">
        <f>Datos!J377</f>
        <v>69.2</v>
      </c>
      <c r="G377" s="2">
        <f>Datos!L377</f>
        <v>66.75</v>
      </c>
      <c r="H377" s="2">
        <f>Datos!M377</f>
        <v>63.4</v>
      </c>
      <c r="I377" s="2" t="b">
        <f t="shared" si="25"/>
        <v>1</v>
      </c>
      <c r="J377" s="2">
        <f t="shared" si="26"/>
        <v>63.4</v>
      </c>
      <c r="K377" s="2">
        <f t="shared" si="27"/>
        <v>2.4</v>
      </c>
      <c r="L377" s="2">
        <f t="shared" si="28"/>
        <v>66.75</v>
      </c>
      <c r="M377" s="2">
        <f t="shared" si="29"/>
        <v>69.2</v>
      </c>
    </row>
    <row r="378" spans="1:13" x14ac:dyDescent="0.3">
      <c r="A378" s="2">
        <f>Datos!A378</f>
        <v>80</v>
      </c>
      <c r="B378" s="2" t="str">
        <f>Datos!B378</f>
        <v>Male</v>
      </c>
      <c r="C378" s="2" t="str">
        <f>Datos!C378</f>
        <v>Masters</v>
      </c>
      <c r="D378" s="2" t="str">
        <f>Datos!G378</f>
        <v>D</v>
      </c>
      <c r="E378" s="2">
        <f>Datos!I378</f>
        <v>1.7</v>
      </c>
      <c r="F378" s="2">
        <f>Datos!J378</f>
        <v>84.7</v>
      </c>
      <c r="G378" s="2">
        <f>Datos!L378</f>
        <v>61</v>
      </c>
      <c r="H378" s="2">
        <f>Datos!M378</f>
        <v>64.900000000000006</v>
      </c>
      <c r="I378" s="2" t="b">
        <f t="shared" si="25"/>
        <v>1</v>
      </c>
      <c r="J378" s="2">
        <f t="shared" si="26"/>
        <v>64.900000000000006</v>
      </c>
      <c r="K378" s="2">
        <f t="shared" si="27"/>
        <v>1.7</v>
      </c>
      <c r="L378" s="2">
        <f t="shared" si="28"/>
        <v>61</v>
      </c>
      <c r="M378" s="2">
        <f t="shared" si="29"/>
        <v>84.7</v>
      </c>
    </row>
    <row r="379" spans="1:13" x14ac:dyDescent="0.3">
      <c r="A379" s="2">
        <f>Datos!A379</f>
        <v>758</v>
      </c>
      <c r="B379" s="2" t="str">
        <f>Datos!B379</f>
        <v>Female</v>
      </c>
      <c r="C379" s="2" t="str">
        <f>Datos!C379</f>
        <v>Bachelors</v>
      </c>
      <c r="D379" s="2" t="str">
        <f>Datos!G379</f>
        <v>C</v>
      </c>
      <c r="E379" s="2">
        <f>Datos!I379</f>
        <v>4.5</v>
      </c>
      <c r="F379" s="2">
        <f>Datos!J379</f>
        <v>74</v>
      </c>
      <c r="G379" s="2">
        <f>Datos!L379</f>
        <v>73.2</v>
      </c>
      <c r="H379" s="2">
        <f>Datos!M379</f>
        <v>76.7</v>
      </c>
      <c r="I379" s="2" t="b">
        <f t="shared" si="25"/>
        <v>1</v>
      </c>
      <c r="J379" s="2">
        <f t="shared" si="26"/>
        <v>76.7</v>
      </c>
      <c r="K379" s="2">
        <f t="shared" si="27"/>
        <v>4.5</v>
      </c>
      <c r="L379" s="2">
        <f t="shared" si="28"/>
        <v>73.2</v>
      </c>
      <c r="M379" s="2">
        <f t="shared" si="29"/>
        <v>74</v>
      </c>
    </row>
    <row r="380" spans="1:13" x14ac:dyDescent="0.3">
      <c r="A380" s="2">
        <f>Datos!A380</f>
        <v>438</v>
      </c>
      <c r="B380" s="2" t="str">
        <f>Datos!B380</f>
        <v>Female</v>
      </c>
      <c r="C380" s="2">
        <f>Datos!C380</f>
        <v>0</v>
      </c>
      <c r="D380" s="2" t="str">
        <f>Datos!G380</f>
        <v>C</v>
      </c>
      <c r="E380" s="2">
        <f>Datos!I380</f>
        <v>4.5</v>
      </c>
      <c r="F380" s="2">
        <f>Datos!J380</f>
        <v>71.2</v>
      </c>
      <c r="G380" s="2">
        <f>Datos!L380</f>
        <v>52.7</v>
      </c>
      <c r="H380" s="2">
        <f>Datos!M380</f>
        <v>75.7</v>
      </c>
      <c r="I380" s="2" t="b">
        <f t="shared" si="25"/>
        <v>1</v>
      </c>
      <c r="J380" s="2">
        <f t="shared" si="26"/>
        <v>75.7</v>
      </c>
      <c r="K380" s="2">
        <f t="shared" si="27"/>
        <v>4.5</v>
      </c>
      <c r="L380" s="2">
        <f t="shared" si="28"/>
        <v>52.7</v>
      </c>
      <c r="M380" s="2">
        <f t="shared" si="29"/>
        <v>71.2</v>
      </c>
    </row>
    <row r="381" spans="1:13" x14ac:dyDescent="0.3">
      <c r="A381" s="2">
        <f>Datos!A381</f>
        <v>60</v>
      </c>
      <c r="B381" s="2" t="str">
        <f>Datos!B381</f>
        <v>Female</v>
      </c>
      <c r="C381" s="2" t="str">
        <f>Datos!C381</f>
        <v>Masters</v>
      </c>
      <c r="D381" s="2" t="str">
        <f>Datos!G381</f>
        <v>D</v>
      </c>
      <c r="E381" s="2">
        <f>Datos!I381</f>
        <v>0.6</v>
      </c>
      <c r="F381" s="2">
        <f>Datos!J381</f>
        <v>72.3</v>
      </c>
      <c r="G381" s="2">
        <f>Datos!L381</f>
        <v>94.3</v>
      </c>
      <c r="H381" s="2">
        <f>Datos!M381</f>
        <v>61.2</v>
      </c>
      <c r="I381" s="2" t="b">
        <f t="shared" si="25"/>
        <v>1</v>
      </c>
      <c r="J381" s="2">
        <f t="shared" si="26"/>
        <v>61.2</v>
      </c>
      <c r="K381" s="2">
        <f t="shared" si="27"/>
        <v>0.6</v>
      </c>
      <c r="L381" s="2">
        <f t="shared" si="28"/>
        <v>94.3</v>
      </c>
      <c r="M381" s="2">
        <f t="shared" si="29"/>
        <v>72.3</v>
      </c>
    </row>
    <row r="382" spans="1:13" x14ac:dyDescent="0.3">
      <c r="A382" s="2">
        <f>Datos!A382</f>
        <v>29</v>
      </c>
      <c r="B382" s="2" t="str">
        <f>Datos!B382</f>
        <v>Female</v>
      </c>
      <c r="C382" s="2" t="str">
        <f>Datos!C382</f>
        <v>High School</v>
      </c>
      <c r="D382" s="2" t="str">
        <f>Datos!G382</f>
        <v>C</v>
      </c>
      <c r="E382" s="2">
        <f>Datos!I382</f>
        <v>2</v>
      </c>
      <c r="F382" s="2">
        <f>Datos!J382</f>
        <v>91.1</v>
      </c>
      <c r="G382" s="2">
        <f>Datos!L382</f>
        <v>43.8</v>
      </c>
      <c r="H382" s="2">
        <f>Datos!M382</f>
        <v>73.7</v>
      </c>
      <c r="I382" s="2" t="b">
        <f t="shared" si="25"/>
        <v>1</v>
      </c>
      <c r="J382" s="2">
        <f t="shared" si="26"/>
        <v>73.7</v>
      </c>
      <c r="K382" s="2">
        <f t="shared" si="27"/>
        <v>2</v>
      </c>
      <c r="L382" s="2">
        <f t="shared" si="28"/>
        <v>43.8</v>
      </c>
      <c r="M382" s="2">
        <f t="shared" si="29"/>
        <v>91.1</v>
      </c>
    </row>
    <row r="383" spans="1:13" x14ac:dyDescent="0.3">
      <c r="A383" s="2">
        <f>Datos!A383</f>
        <v>359</v>
      </c>
      <c r="B383" s="2" t="str">
        <f>Datos!B383</f>
        <v>Male</v>
      </c>
      <c r="C383" s="2" t="str">
        <f>Datos!C383</f>
        <v>Masters</v>
      </c>
      <c r="D383" s="2" t="str">
        <f>Datos!G383</f>
        <v>D</v>
      </c>
      <c r="E383" s="2">
        <f>Datos!I383</f>
        <v>3.6</v>
      </c>
      <c r="F383" s="2">
        <f>Datos!J383</f>
        <v>80.400000000000006</v>
      </c>
      <c r="G383" s="2">
        <f>Datos!L383</f>
        <v>43</v>
      </c>
      <c r="H383" s="2">
        <f>Datos!M383</f>
        <v>63.8</v>
      </c>
      <c r="I383" s="2" t="b">
        <f t="shared" si="25"/>
        <v>1</v>
      </c>
      <c r="J383" s="2">
        <f t="shared" si="26"/>
        <v>63.8</v>
      </c>
      <c r="K383" s="2">
        <f t="shared" si="27"/>
        <v>3.6</v>
      </c>
      <c r="L383" s="2">
        <f t="shared" si="28"/>
        <v>43</v>
      </c>
      <c r="M383" s="2">
        <f t="shared" si="29"/>
        <v>80.400000000000006</v>
      </c>
    </row>
    <row r="384" spans="1:13" x14ac:dyDescent="0.3">
      <c r="A384" s="2">
        <f>Datos!A384</f>
        <v>507</v>
      </c>
      <c r="B384" s="2" t="str">
        <f>Datos!B384</f>
        <v>Male</v>
      </c>
      <c r="C384" s="2">
        <f>Datos!C384</f>
        <v>0</v>
      </c>
      <c r="D384" s="2" t="str">
        <f>Datos!G384</f>
        <v>B</v>
      </c>
      <c r="E384" s="2">
        <f>Datos!I384</f>
        <v>4.8</v>
      </c>
      <c r="F384" s="2">
        <f>Datos!J384</f>
        <v>91.4</v>
      </c>
      <c r="G384" s="2">
        <f>Datos!L384</f>
        <v>87.6</v>
      </c>
      <c r="H384" s="2">
        <f>Datos!M384</f>
        <v>81.599999999999994</v>
      </c>
      <c r="I384" s="2" t="b">
        <f t="shared" si="25"/>
        <v>1</v>
      </c>
      <c r="J384" s="2">
        <f t="shared" si="26"/>
        <v>81.599999999999994</v>
      </c>
      <c r="K384" s="2">
        <f t="shared" si="27"/>
        <v>4.8</v>
      </c>
      <c r="L384" s="2">
        <f t="shared" si="28"/>
        <v>87.6</v>
      </c>
      <c r="M384" s="2">
        <f t="shared" si="29"/>
        <v>91.4</v>
      </c>
    </row>
    <row r="385" spans="1:13" x14ac:dyDescent="0.3">
      <c r="A385" s="2">
        <f>Datos!A385</f>
        <v>551</v>
      </c>
      <c r="B385" s="2" t="str">
        <f>Datos!B385</f>
        <v>Female</v>
      </c>
      <c r="C385" s="2">
        <f>Datos!C385</f>
        <v>0</v>
      </c>
      <c r="D385" s="2" t="str">
        <f>Datos!G385</f>
        <v>F</v>
      </c>
      <c r="E385" s="2">
        <f>Datos!I385</f>
        <v>3.7</v>
      </c>
      <c r="F385" s="2">
        <f>Datos!J385</f>
        <v>73.5</v>
      </c>
      <c r="G385" s="2">
        <f>Datos!L385</f>
        <v>36.9</v>
      </c>
      <c r="H385" s="2">
        <f>Datos!M385</f>
        <v>53.9</v>
      </c>
      <c r="I385" s="2" t="b">
        <f t="shared" si="25"/>
        <v>1</v>
      </c>
      <c r="J385" s="2">
        <f t="shared" si="26"/>
        <v>53.9</v>
      </c>
      <c r="K385" s="2">
        <f t="shared" si="27"/>
        <v>3.7</v>
      </c>
      <c r="L385" s="2">
        <f t="shared" si="28"/>
        <v>36.9</v>
      </c>
      <c r="M385" s="2">
        <f t="shared" si="29"/>
        <v>73.5</v>
      </c>
    </row>
    <row r="386" spans="1:13" x14ac:dyDescent="0.3">
      <c r="A386" s="2">
        <f>Datos!A386</f>
        <v>530</v>
      </c>
      <c r="B386" s="2" t="str">
        <f>Datos!B386</f>
        <v>Female</v>
      </c>
      <c r="C386" s="2">
        <f>Datos!C386</f>
        <v>0</v>
      </c>
      <c r="D386" s="2" t="str">
        <f>Datos!G386</f>
        <v>D</v>
      </c>
      <c r="E386" s="2">
        <f>Datos!I386</f>
        <v>3.4</v>
      </c>
      <c r="F386" s="2">
        <f>Datos!J386</f>
        <v>65.2</v>
      </c>
      <c r="G386" s="2">
        <f>Datos!L386</f>
        <v>74.3</v>
      </c>
      <c r="H386" s="2">
        <f>Datos!M386</f>
        <v>73</v>
      </c>
      <c r="I386" s="2" t="b">
        <f t="shared" ref="I386:I449" si="30">AND(E386&gt;=0,E386&lt;=12,F386&gt;=0,F386&lt;=100,G386&gt;=0,G386&lt;=100,H386&gt;=0,H386&lt;=100)</f>
        <v>1</v>
      </c>
      <c r="J386" s="2">
        <f t="shared" ref="J386:J449" si="31">IF(I386,H386,"")</f>
        <v>73</v>
      </c>
      <c r="K386" s="2">
        <f t="shared" ref="K386:K449" si="32">IF(I386,E386,"")</f>
        <v>3.4</v>
      </c>
      <c r="L386" s="2">
        <f t="shared" ref="L386:L449" si="33">IF(I386,G386,"")</f>
        <v>74.3</v>
      </c>
      <c r="M386" s="2">
        <f t="shared" ref="M386:M449" si="34">IF(I386,F386,"")</f>
        <v>65.2</v>
      </c>
    </row>
    <row r="387" spans="1:13" x14ac:dyDescent="0.3">
      <c r="A387" s="2">
        <f>Datos!A387</f>
        <v>400</v>
      </c>
      <c r="B387" s="2" t="str">
        <f>Datos!B387</f>
        <v>Male</v>
      </c>
      <c r="C387" s="2" t="str">
        <f>Datos!C387</f>
        <v>Bachelors</v>
      </c>
      <c r="D387" s="2" t="str">
        <f>Datos!G387</f>
        <v>F</v>
      </c>
      <c r="E387" s="2">
        <f>Datos!I387</f>
        <v>2.4</v>
      </c>
      <c r="F387" s="2">
        <f>Datos!J387</f>
        <v>69.599999999999994</v>
      </c>
      <c r="G387" s="2">
        <f>Datos!L387</f>
        <v>43.6</v>
      </c>
      <c r="H387" s="2">
        <f>Datos!M387</f>
        <v>46.9</v>
      </c>
      <c r="I387" s="2" t="b">
        <f t="shared" si="30"/>
        <v>1</v>
      </c>
      <c r="J387" s="2">
        <f t="shared" si="31"/>
        <v>46.9</v>
      </c>
      <c r="K387" s="2">
        <f t="shared" si="32"/>
        <v>2.4</v>
      </c>
      <c r="L387" s="2">
        <f t="shared" si="33"/>
        <v>43.6</v>
      </c>
      <c r="M387" s="2">
        <f t="shared" si="34"/>
        <v>69.599999999999994</v>
      </c>
    </row>
    <row r="388" spans="1:13" x14ac:dyDescent="0.3">
      <c r="A388" s="2">
        <f>Datos!A388</f>
        <v>606</v>
      </c>
      <c r="B388" s="2" t="str">
        <f>Datos!B388</f>
        <v>Male</v>
      </c>
      <c r="C388" s="2" t="str">
        <f>Datos!C388</f>
        <v>Masters</v>
      </c>
      <c r="D388" s="2" t="str">
        <f>Datos!G388</f>
        <v>F</v>
      </c>
      <c r="E388" s="2">
        <f>Datos!I388</f>
        <v>1.7</v>
      </c>
      <c r="F388" s="2">
        <f>Datos!J388</f>
        <v>67.2</v>
      </c>
      <c r="G388" s="2">
        <f>Datos!L388</f>
        <v>38.299999999999997</v>
      </c>
      <c r="H388" s="2">
        <f>Datos!M388</f>
        <v>59.4</v>
      </c>
      <c r="I388" s="2" t="b">
        <f t="shared" si="30"/>
        <v>1</v>
      </c>
      <c r="J388" s="2">
        <f t="shared" si="31"/>
        <v>59.4</v>
      </c>
      <c r="K388" s="2">
        <f t="shared" si="32"/>
        <v>1.7</v>
      </c>
      <c r="L388" s="2">
        <f t="shared" si="33"/>
        <v>38.299999999999997</v>
      </c>
      <c r="M388" s="2">
        <f t="shared" si="34"/>
        <v>67.2</v>
      </c>
    </row>
    <row r="389" spans="1:13" x14ac:dyDescent="0.3">
      <c r="A389" s="2">
        <f>Datos!A389</f>
        <v>469</v>
      </c>
      <c r="B389" s="2" t="str">
        <f>Datos!B389</f>
        <v>Male</v>
      </c>
      <c r="C389" s="2">
        <f>Datos!C389</f>
        <v>0</v>
      </c>
      <c r="D389" s="2" t="str">
        <f>Datos!G389</f>
        <v>D</v>
      </c>
      <c r="E389" s="2">
        <f>Datos!I389</f>
        <v>2.7</v>
      </c>
      <c r="F389" s="2">
        <f>Datos!J389</f>
        <v>70.3</v>
      </c>
      <c r="G389" s="2">
        <f>Datos!L389</f>
        <v>68.400000000000006</v>
      </c>
      <c r="H389" s="2">
        <f>Datos!M389</f>
        <v>63.4</v>
      </c>
      <c r="I389" s="2" t="b">
        <f t="shared" si="30"/>
        <v>1</v>
      </c>
      <c r="J389" s="2">
        <f t="shared" si="31"/>
        <v>63.4</v>
      </c>
      <c r="K389" s="2">
        <f t="shared" si="32"/>
        <v>2.7</v>
      </c>
      <c r="L389" s="2">
        <f t="shared" si="33"/>
        <v>68.400000000000006</v>
      </c>
      <c r="M389" s="2">
        <f t="shared" si="34"/>
        <v>70.3</v>
      </c>
    </row>
    <row r="390" spans="1:13" x14ac:dyDescent="0.3">
      <c r="A390" s="2">
        <f>Datos!A390</f>
        <v>26</v>
      </c>
      <c r="B390" s="2" t="str">
        <f>Datos!B390</f>
        <v>Male</v>
      </c>
      <c r="C390" s="2">
        <f>Datos!C390</f>
        <v>0</v>
      </c>
      <c r="D390" s="2" t="str">
        <f>Datos!G390</f>
        <v>D</v>
      </c>
      <c r="E390" s="2">
        <f>Datos!I390</f>
        <v>4.0999999999999996</v>
      </c>
      <c r="F390" s="2">
        <f>Datos!J390</f>
        <v>87.2</v>
      </c>
      <c r="G390" s="2">
        <f>Datos!L390</f>
        <v>70.8</v>
      </c>
      <c r="H390" s="2">
        <f>Datos!M390</f>
        <v>68.900000000000006</v>
      </c>
      <c r="I390" s="2" t="b">
        <f t="shared" si="30"/>
        <v>1</v>
      </c>
      <c r="J390" s="2">
        <f t="shared" si="31"/>
        <v>68.900000000000006</v>
      </c>
      <c r="K390" s="2">
        <f t="shared" si="32"/>
        <v>4.0999999999999996</v>
      </c>
      <c r="L390" s="2">
        <f t="shared" si="33"/>
        <v>70.8</v>
      </c>
      <c r="M390" s="2">
        <f t="shared" si="34"/>
        <v>87.2</v>
      </c>
    </row>
    <row r="391" spans="1:13" x14ac:dyDescent="0.3">
      <c r="A391" s="2">
        <f>Datos!A391</f>
        <v>318</v>
      </c>
      <c r="B391" s="2" t="str">
        <f>Datos!B391</f>
        <v>Male</v>
      </c>
      <c r="C391" s="2" t="str">
        <f>Datos!C391</f>
        <v>Masters</v>
      </c>
      <c r="D391" s="2" t="str">
        <f>Datos!G391</f>
        <v>D</v>
      </c>
      <c r="E391" s="2">
        <f>Datos!I391</f>
        <v>3.3</v>
      </c>
      <c r="F391" s="2">
        <f>Datos!J391</f>
        <v>83.5</v>
      </c>
      <c r="G391" s="2">
        <f>Datos!L391</f>
        <v>41.3</v>
      </c>
      <c r="H391" s="2">
        <f>Datos!M391</f>
        <v>63.1</v>
      </c>
      <c r="I391" s="2" t="b">
        <f t="shared" si="30"/>
        <v>1</v>
      </c>
      <c r="J391" s="2">
        <f t="shared" si="31"/>
        <v>63.1</v>
      </c>
      <c r="K391" s="2">
        <f t="shared" si="32"/>
        <v>3.3</v>
      </c>
      <c r="L391" s="2">
        <f t="shared" si="33"/>
        <v>41.3</v>
      </c>
      <c r="M391" s="2">
        <f t="shared" si="34"/>
        <v>83.5</v>
      </c>
    </row>
    <row r="392" spans="1:13" x14ac:dyDescent="0.3">
      <c r="A392" s="2">
        <f>Datos!A392</f>
        <v>373</v>
      </c>
      <c r="B392" s="2" t="str">
        <f>Datos!B392</f>
        <v>Male</v>
      </c>
      <c r="C392" s="2" t="str">
        <f>Datos!C392</f>
        <v>Bachelors</v>
      </c>
      <c r="D392" s="2" t="str">
        <f>Datos!G392</f>
        <v>C</v>
      </c>
      <c r="E392" s="2">
        <f>Datos!I392</f>
        <v>2.8</v>
      </c>
      <c r="F392" s="2">
        <f>Datos!J392</f>
        <v>84.6</v>
      </c>
      <c r="G392" s="2">
        <f>Datos!L392</f>
        <v>55.8</v>
      </c>
      <c r="H392" s="2">
        <f>Datos!M392</f>
        <v>72.099999999999994</v>
      </c>
      <c r="I392" s="2" t="b">
        <f t="shared" si="30"/>
        <v>1</v>
      </c>
      <c r="J392" s="2">
        <f t="shared" si="31"/>
        <v>72.099999999999994</v>
      </c>
      <c r="K392" s="2">
        <f t="shared" si="32"/>
        <v>2.8</v>
      </c>
      <c r="L392" s="2">
        <f t="shared" si="33"/>
        <v>55.8</v>
      </c>
      <c r="M392" s="2">
        <f t="shared" si="34"/>
        <v>84.6</v>
      </c>
    </row>
    <row r="393" spans="1:13" x14ac:dyDescent="0.3">
      <c r="A393" s="2">
        <f>Datos!A393</f>
        <v>119</v>
      </c>
      <c r="B393" s="2" t="str">
        <f>Datos!B393</f>
        <v>Female</v>
      </c>
      <c r="C393" s="2" t="str">
        <f>Datos!C393</f>
        <v>PhD</v>
      </c>
      <c r="D393" s="2" t="str">
        <f>Datos!G393</f>
        <v>C</v>
      </c>
      <c r="E393" s="2">
        <f>Datos!I393</f>
        <v>3.1</v>
      </c>
      <c r="F393" s="2">
        <f>Datos!J393</f>
        <v>89</v>
      </c>
      <c r="G393" s="2">
        <f>Datos!L393</f>
        <v>61.6</v>
      </c>
      <c r="H393" s="2">
        <f>Datos!M393</f>
        <v>70.8</v>
      </c>
      <c r="I393" s="2" t="b">
        <f t="shared" si="30"/>
        <v>1</v>
      </c>
      <c r="J393" s="2">
        <f t="shared" si="31"/>
        <v>70.8</v>
      </c>
      <c r="K393" s="2">
        <f t="shared" si="32"/>
        <v>3.1</v>
      </c>
      <c r="L393" s="2">
        <f t="shared" si="33"/>
        <v>61.6</v>
      </c>
      <c r="M393" s="2">
        <f t="shared" si="34"/>
        <v>89</v>
      </c>
    </row>
    <row r="394" spans="1:13" x14ac:dyDescent="0.3">
      <c r="A394" s="2">
        <f>Datos!A394</f>
        <v>413</v>
      </c>
      <c r="B394" s="2" t="str">
        <f>Datos!B394</f>
        <v>Male</v>
      </c>
      <c r="C394" s="2" t="str">
        <f>Datos!C394</f>
        <v>Masters</v>
      </c>
      <c r="D394" s="2" t="str">
        <f>Datos!G394</f>
        <v>A</v>
      </c>
      <c r="E394" s="2">
        <f>Datos!I394</f>
        <v>5.7</v>
      </c>
      <c r="F394" s="2">
        <f>Datos!J394</f>
        <v>97.7</v>
      </c>
      <c r="G394" s="2">
        <f>Datos!L394</f>
        <v>60.9</v>
      </c>
      <c r="H394" s="2">
        <f>Datos!M394</f>
        <v>92.2</v>
      </c>
      <c r="I394" s="2" t="b">
        <f t="shared" si="30"/>
        <v>1</v>
      </c>
      <c r="J394" s="2">
        <f t="shared" si="31"/>
        <v>92.2</v>
      </c>
      <c r="K394" s="2">
        <f t="shared" si="32"/>
        <v>5.7</v>
      </c>
      <c r="L394" s="2">
        <f t="shared" si="33"/>
        <v>60.9</v>
      </c>
      <c r="M394" s="2">
        <f t="shared" si="34"/>
        <v>97.7</v>
      </c>
    </row>
    <row r="395" spans="1:13" x14ac:dyDescent="0.3">
      <c r="A395" s="2">
        <f>Datos!A395</f>
        <v>786</v>
      </c>
      <c r="B395" s="2" t="str">
        <f>Datos!B395</f>
        <v>Female</v>
      </c>
      <c r="C395" s="2" t="str">
        <f>Datos!C395</f>
        <v>High School</v>
      </c>
      <c r="D395" s="2" t="str">
        <f>Datos!G395</f>
        <v>C</v>
      </c>
      <c r="E395" s="2">
        <f>Datos!I395</f>
        <v>4.5999999999999996</v>
      </c>
      <c r="F395" s="2">
        <f>Datos!J395</f>
        <v>91.5</v>
      </c>
      <c r="G395" s="2">
        <f>Datos!L395</f>
        <v>63.8</v>
      </c>
      <c r="H395" s="2">
        <f>Datos!M395</f>
        <v>71.5</v>
      </c>
      <c r="I395" s="2" t="b">
        <f t="shared" si="30"/>
        <v>1</v>
      </c>
      <c r="J395" s="2">
        <f t="shared" si="31"/>
        <v>71.5</v>
      </c>
      <c r="K395" s="2">
        <f t="shared" si="32"/>
        <v>4.5999999999999996</v>
      </c>
      <c r="L395" s="2">
        <f t="shared" si="33"/>
        <v>63.8</v>
      </c>
      <c r="M395" s="2">
        <f t="shared" si="34"/>
        <v>91.5</v>
      </c>
    </row>
    <row r="396" spans="1:13" x14ac:dyDescent="0.3">
      <c r="A396" s="2">
        <f>Datos!A396</f>
        <v>735</v>
      </c>
      <c r="B396" s="2" t="str">
        <f>Datos!B396</f>
        <v>Male</v>
      </c>
      <c r="C396" s="2" t="str">
        <f>Datos!C396</f>
        <v>Bachelors</v>
      </c>
      <c r="D396" s="2" t="str">
        <f>Datos!G396</f>
        <v>C</v>
      </c>
      <c r="E396" s="2">
        <f>Datos!I396</f>
        <v>0.6</v>
      </c>
      <c r="F396" s="2">
        <f>Datos!J396</f>
        <v>96.8</v>
      </c>
      <c r="G396" s="2">
        <f>Datos!L396</f>
        <v>75.599999999999994</v>
      </c>
      <c r="H396" s="2">
        <f>Datos!M396</f>
        <v>72.3</v>
      </c>
      <c r="I396" s="2" t="b">
        <f t="shared" si="30"/>
        <v>1</v>
      </c>
      <c r="J396" s="2">
        <f t="shared" si="31"/>
        <v>72.3</v>
      </c>
      <c r="K396" s="2">
        <f t="shared" si="32"/>
        <v>0.6</v>
      </c>
      <c r="L396" s="2">
        <f t="shared" si="33"/>
        <v>75.599999999999994</v>
      </c>
      <c r="M396" s="2">
        <f t="shared" si="34"/>
        <v>96.8</v>
      </c>
    </row>
    <row r="397" spans="1:13" x14ac:dyDescent="0.3">
      <c r="A397" s="2">
        <f>Datos!A397</f>
        <v>108</v>
      </c>
      <c r="B397" s="2" t="str">
        <f>Datos!B397</f>
        <v>Female</v>
      </c>
      <c r="C397" s="2" t="str">
        <f>Datos!C397</f>
        <v>PhD</v>
      </c>
      <c r="D397" s="2" t="str">
        <f>Datos!G397</f>
        <v>C</v>
      </c>
      <c r="E397" s="2">
        <f>Datos!I397</f>
        <v>1.6</v>
      </c>
      <c r="F397" s="2">
        <f>Datos!J397</f>
        <v>84.4</v>
      </c>
      <c r="G397" s="2">
        <f>Datos!L397</f>
        <v>90</v>
      </c>
      <c r="H397" s="2">
        <f>Datos!M397</f>
        <v>75.099999999999994</v>
      </c>
      <c r="I397" s="2" t="b">
        <f t="shared" si="30"/>
        <v>1</v>
      </c>
      <c r="J397" s="2">
        <f t="shared" si="31"/>
        <v>75.099999999999994</v>
      </c>
      <c r="K397" s="2">
        <f t="shared" si="32"/>
        <v>1.6</v>
      </c>
      <c r="L397" s="2">
        <f t="shared" si="33"/>
        <v>90</v>
      </c>
      <c r="M397" s="2">
        <f t="shared" si="34"/>
        <v>84.4</v>
      </c>
    </row>
    <row r="398" spans="1:13" x14ac:dyDescent="0.3">
      <c r="A398" s="2">
        <f>Datos!A398</f>
        <v>295</v>
      </c>
      <c r="B398" s="2" t="str">
        <f>Datos!B398</f>
        <v>Male</v>
      </c>
      <c r="C398" s="2" t="str">
        <f>Datos!C398</f>
        <v>PhD</v>
      </c>
      <c r="D398" s="2" t="str">
        <f>Datos!G398</f>
        <v>C</v>
      </c>
      <c r="E398" s="2">
        <f>Datos!I398</f>
        <v>7</v>
      </c>
      <c r="F398" s="2">
        <f>Datos!J398</f>
        <v>79.7</v>
      </c>
      <c r="G398" s="2">
        <f>Datos!L398</f>
        <v>58.7</v>
      </c>
      <c r="H398" s="2">
        <f>Datos!M398</f>
        <v>76.7</v>
      </c>
      <c r="I398" s="2" t="b">
        <f t="shared" si="30"/>
        <v>1</v>
      </c>
      <c r="J398" s="2">
        <f t="shared" si="31"/>
        <v>76.7</v>
      </c>
      <c r="K398" s="2">
        <f t="shared" si="32"/>
        <v>7</v>
      </c>
      <c r="L398" s="2">
        <f t="shared" si="33"/>
        <v>58.7</v>
      </c>
      <c r="M398" s="2">
        <f t="shared" si="34"/>
        <v>79.7</v>
      </c>
    </row>
    <row r="399" spans="1:13" x14ac:dyDescent="0.3">
      <c r="A399" s="2">
        <f>Datos!A399</f>
        <v>511</v>
      </c>
      <c r="B399" s="2" t="str">
        <f>Datos!B399</f>
        <v>Male</v>
      </c>
      <c r="C399" s="2" t="str">
        <f>Datos!C399</f>
        <v>Masters</v>
      </c>
      <c r="D399" s="2" t="str">
        <f>Datos!G399</f>
        <v>A</v>
      </c>
      <c r="E399" s="2">
        <f>Datos!I399</f>
        <v>6.5</v>
      </c>
      <c r="F399" s="2">
        <f>Datos!J399</f>
        <v>99.5</v>
      </c>
      <c r="G399" s="2">
        <f>Datos!L399</f>
        <v>67</v>
      </c>
      <c r="H399" s="2">
        <f>Datos!M399</f>
        <v>90.3</v>
      </c>
      <c r="I399" s="2" t="b">
        <f t="shared" si="30"/>
        <v>1</v>
      </c>
      <c r="J399" s="2">
        <f t="shared" si="31"/>
        <v>90.3</v>
      </c>
      <c r="K399" s="2">
        <f t="shared" si="32"/>
        <v>6.5</v>
      </c>
      <c r="L399" s="2">
        <f t="shared" si="33"/>
        <v>67</v>
      </c>
      <c r="M399" s="2">
        <f t="shared" si="34"/>
        <v>99.5</v>
      </c>
    </row>
    <row r="400" spans="1:13" x14ac:dyDescent="0.3">
      <c r="A400" s="2">
        <f>Datos!A400</f>
        <v>528</v>
      </c>
      <c r="B400" s="2" t="str">
        <f>Datos!B400</f>
        <v>Female</v>
      </c>
      <c r="C400" s="2" t="str">
        <f>Datos!C400</f>
        <v>PhD</v>
      </c>
      <c r="D400" s="2" t="str">
        <f>Datos!G400</f>
        <v>C</v>
      </c>
      <c r="E400" s="2">
        <f>Datos!I400</f>
        <v>4</v>
      </c>
      <c r="F400" s="2">
        <f>Datos!J400</f>
        <v>79.5</v>
      </c>
      <c r="G400" s="2">
        <f>Datos!L400</f>
        <v>65.2</v>
      </c>
      <c r="H400" s="2">
        <f>Datos!M400</f>
        <v>73.5</v>
      </c>
      <c r="I400" s="2" t="b">
        <f t="shared" si="30"/>
        <v>1</v>
      </c>
      <c r="J400" s="2">
        <f t="shared" si="31"/>
        <v>73.5</v>
      </c>
      <c r="K400" s="2">
        <f t="shared" si="32"/>
        <v>4</v>
      </c>
      <c r="L400" s="2">
        <f t="shared" si="33"/>
        <v>65.2</v>
      </c>
      <c r="M400" s="2">
        <f t="shared" si="34"/>
        <v>79.5</v>
      </c>
    </row>
    <row r="401" spans="1:13" x14ac:dyDescent="0.3">
      <c r="A401" s="2">
        <f>Datos!A401</f>
        <v>19</v>
      </c>
      <c r="B401" s="2" t="str">
        <f>Datos!B401</f>
        <v>Female</v>
      </c>
      <c r="C401" s="2" t="str">
        <f>Datos!C401</f>
        <v>High School</v>
      </c>
      <c r="D401" s="2" t="str">
        <f>Datos!G401</f>
        <v>C</v>
      </c>
      <c r="E401" s="2">
        <f>Datos!I401</f>
        <v>0.7</v>
      </c>
      <c r="F401" s="2">
        <f>Datos!J401</f>
        <v>84.4</v>
      </c>
      <c r="G401" s="2">
        <f>Datos!L401</f>
        <v>92.2</v>
      </c>
      <c r="H401" s="2">
        <f>Datos!M401</f>
        <v>70.599999999999994</v>
      </c>
      <c r="I401" s="2" t="b">
        <f t="shared" si="30"/>
        <v>1</v>
      </c>
      <c r="J401" s="2">
        <f t="shared" si="31"/>
        <v>70.599999999999994</v>
      </c>
      <c r="K401" s="2">
        <f t="shared" si="32"/>
        <v>0.7</v>
      </c>
      <c r="L401" s="2">
        <f t="shared" si="33"/>
        <v>92.2</v>
      </c>
      <c r="M401" s="2">
        <f t="shared" si="34"/>
        <v>84.4</v>
      </c>
    </row>
    <row r="402" spans="1:13" x14ac:dyDescent="0.3">
      <c r="A402" s="2">
        <f>Datos!A402</f>
        <v>230</v>
      </c>
      <c r="B402" s="2" t="str">
        <f>Datos!B402</f>
        <v>Female</v>
      </c>
      <c r="C402" s="2" t="str">
        <f>Datos!C402</f>
        <v>Bachelors</v>
      </c>
      <c r="D402" s="2" t="str">
        <f>Datos!G402</f>
        <v>A</v>
      </c>
      <c r="E402" s="2">
        <f>Datos!I402</f>
        <v>6.5</v>
      </c>
      <c r="F402" s="2">
        <f>Datos!J402</f>
        <v>82.6</v>
      </c>
      <c r="G402" s="2">
        <f>Datos!L402</f>
        <v>61.9</v>
      </c>
      <c r="H402" s="2">
        <f>Datos!M402</f>
        <v>92.8</v>
      </c>
      <c r="I402" s="2" t="b">
        <f t="shared" si="30"/>
        <v>1</v>
      </c>
      <c r="J402" s="2">
        <f t="shared" si="31"/>
        <v>92.8</v>
      </c>
      <c r="K402" s="2">
        <f t="shared" si="32"/>
        <v>6.5</v>
      </c>
      <c r="L402" s="2">
        <f t="shared" si="33"/>
        <v>61.9</v>
      </c>
      <c r="M402" s="2">
        <f t="shared" si="34"/>
        <v>82.6</v>
      </c>
    </row>
    <row r="403" spans="1:13" x14ac:dyDescent="0.3">
      <c r="A403" s="2">
        <f>Datos!A403</f>
        <v>173</v>
      </c>
      <c r="B403" s="2" t="str">
        <f>Datos!B403</f>
        <v>Male</v>
      </c>
      <c r="C403" s="2" t="str">
        <f>Datos!C403</f>
        <v>Bachelors</v>
      </c>
      <c r="D403" s="2" t="str">
        <f>Datos!G403</f>
        <v>F</v>
      </c>
      <c r="E403" s="2">
        <f>Datos!I403</f>
        <v>2.5</v>
      </c>
      <c r="F403" s="2">
        <f>Datos!J403</f>
        <v>77.900000000000006</v>
      </c>
      <c r="G403" s="2">
        <f>Datos!L403</f>
        <v>73.599999999999994</v>
      </c>
      <c r="H403" s="2">
        <f>Datos!M403</f>
        <v>55.3</v>
      </c>
      <c r="I403" s="2" t="b">
        <f t="shared" si="30"/>
        <v>1</v>
      </c>
      <c r="J403" s="2">
        <f t="shared" si="31"/>
        <v>55.3</v>
      </c>
      <c r="K403" s="2">
        <f t="shared" si="32"/>
        <v>2.5</v>
      </c>
      <c r="L403" s="2">
        <f t="shared" si="33"/>
        <v>73.599999999999994</v>
      </c>
      <c r="M403" s="2">
        <f t="shared" si="34"/>
        <v>77.900000000000006</v>
      </c>
    </row>
    <row r="404" spans="1:13" x14ac:dyDescent="0.3">
      <c r="A404" s="2">
        <f>Datos!A404</f>
        <v>910</v>
      </c>
      <c r="B404" s="2" t="str">
        <f>Datos!B404</f>
        <v>Female</v>
      </c>
      <c r="C404" s="2" t="str">
        <f>Datos!C404</f>
        <v>High School</v>
      </c>
      <c r="D404" s="2" t="str">
        <f>Datos!G404</f>
        <v>F</v>
      </c>
      <c r="E404" s="2">
        <f>Datos!I404</f>
        <v>0.6</v>
      </c>
      <c r="F404" s="2">
        <f>Datos!J404</f>
        <v>99.3</v>
      </c>
      <c r="G404" s="2">
        <f>Datos!L404</f>
        <v>58.9</v>
      </c>
      <c r="H404" s="2">
        <f>Datos!M404</f>
        <v>48.6</v>
      </c>
      <c r="I404" s="2" t="b">
        <f t="shared" si="30"/>
        <v>1</v>
      </c>
      <c r="J404" s="2">
        <f t="shared" si="31"/>
        <v>48.6</v>
      </c>
      <c r="K404" s="2">
        <f t="shared" si="32"/>
        <v>0.6</v>
      </c>
      <c r="L404" s="2">
        <f t="shared" si="33"/>
        <v>58.9</v>
      </c>
      <c r="M404" s="2">
        <f t="shared" si="34"/>
        <v>99.3</v>
      </c>
    </row>
    <row r="405" spans="1:13" x14ac:dyDescent="0.3">
      <c r="A405" s="2">
        <f>Datos!A405</f>
        <v>396</v>
      </c>
      <c r="B405" s="2" t="str">
        <f>Datos!B405</f>
        <v>Female</v>
      </c>
      <c r="C405" s="2" t="str">
        <f>Datos!C405</f>
        <v>Bachelors</v>
      </c>
      <c r="D405" s="2" t="str">
        <f>Datos!G405</f>
        <v>A</v>
      </c>
      <c r="E405" s="2">
        <f>Datos!I405</f>
        <v>6.4</v>
      </c>
      <c r="F405" s="2">
        <f>Datos!J405</f>
        <v>71.5</v>
      </c>
      <c r="G405" s="2">
        <f>Datos!L405</f>
        <v>85.2</v>
      </c>
      <c r="H405" s="2">
        <f>Datos!M405</f>
        <v>95.9</v>
      </c>
      <c r="I405" s="2" t="b">
        <f t="shared" si="30"/>
        <v>1</v>
      </c>
      <c r="J405" s="2">
        <f t="shared" si="31"/>
        <v>95.9</v>
      </c>
      <c r="K405" s="2">
        <f t="shared" si="32"/>
        <v>6.4</v>
      </c>
      <c r="L405" s="2">
        <f t="shared" si="33"/>
        <v>85.2</v>
      </c>
      <c r="M405" s="2">
        <f t="shared" si="34"/>
        <v>71.5</v>
      </c>
    </row>
    <row r="406" spans="1:13" x14ac:dyDescent="0.3">
      <c r="A406" s="2">
        <f>Datos!A406</f>
        <v>428</v>
      </c>
      <c r="B406" s="2" t="str">
        <f>Datos!B406</f>
        <v>Female</v>
      </c>
      <c r="C406" s="2" t="str">
        <f>Datos!C406</f>
        <v>High School</v>
      </c>
      <c r="D406" s="2" t="str">
        <f>Datos!G406</f>
        <v>C</v>
      </c>
      <c r="E406" s="2">
        <f>Datos!I406</f>
        <v>2.9</v>
      </c>
      <c r="F406" s="2">
        <f>Datos!J406</f>
        <v>78.7</v>
      </c>
      <c r="G406" s="2">
        <f>Datos!L406</f>
        <v>77.400000000000006</v>
      </c>
      <c r="H406" s="2">
        <f>Datos!M406</f>
        <v>71.2</v>
      </c>
      <c r="I406" s="2" t="b">
        <f t="shared" si="30"/>
        <v>1</v>
      </c>
      <c r="J406" s="2">
        <f t="shared" si="31"/>
        <v>71.2</v>
      </c>
      <c r="K406" s="2">
        <f t="shared" si="32"/>
        <v>2.9</v>
      </c>
      <c r="L406" s="2">
        <f t="shared" si="33"/>
        <v>77.400000000000006</v>
      </c>
      <c r="M406" s="2">
        <f t="shared" si="34"/>
        <v>78.7</v>
      </c>
    </row>
    <row r="407" spans="1:13" x14ac:dyDescent="0.3">
      <c r="A407" s="2">
        <f>Datos!A407</f>
        <v>326</v>
      </c>
      <c r="B407" s="2" t="str">
        <f>Datos!B407</f>
        <v>Male</v>
      </c>
      <c r="C407" s="2" t="str">
        <f>Datos!C407</f>
        <v>Masters</v>
      </c>
      <c r="D407" s="2" t="str">
        <f>Datos!G407</f>
        <v>D</v>
      </c>
      <c r="E407" s="2">
        <f>Datos!I407</f>
        <v>4.4000000000000004</v>
      </c>
      <c r="F407" s="2">
        <f>Datos!J407</f>
        <v>72.3</v>
      </c>
      <c r="G407" s="2">
        <f>Datos!L407</f>
        <v>54.3</v>
      </c>
      <c r="H407" s="2">
        <f>Datos!M407</f>
        <v>64</v>
      </c>
      <c r="I407" s="2" t="b">
        <f t="shared" si="30"/>
        <v>1</v>
      </c>
      <c r="J407" s="2">
        <f t="shared" si="31"/>
        <v>64</v>
      </c>
      <c r="K407" s="2">
        <f t="shared" si="32"/>
        <v>4.4000000000000004</v>
      </c>
      <c r="L407" s="2">
        <f t="shared" si="33"/>
        <v>54.3</v>
      </c>
      <c r="M407" s="2">
        <f t="shared" si="34"/>
        <v>72.3</v>
      </c>
    </row>
    <row r="408" spans="1:13" x14ac:dyDescent="0.3">
      <c r="A408" s="2">
        <f>Datos!A408</f>
        <v>337</v>
      </c>
      <c r="B408" s="2" t="str">
        <f>Datos!B408</f>
        <v>Male</v>
      </c>
      <c r="C408" s="2" t="str">
        <f>Datos!C408</f>
        <v>Masters</v>
      </c>
      <c r="D408" s="2" t="str">
        <f>Datos!G408</f>
        <v>B</v>
      </c>
      <c r="E408" s="2">
        <f>Datos!I408</f>
        <v>3</v>
      </c>
      <c r="F408" s="2">
        <f>Datos!J408</f>
        <v>83.5</v>
      </c>
      <c r="G408" s="2">
        <f>Datos!L408</f>
        <v>77.400000000000006</v>
      </c>
      <c r="H408" s="2">
        <f>Datos!M408</f>
        <v>84.5</v>
      </c>
      <c r="I408" s="2" t="b">
        <f t="shared" si="30"/>
        <v>1</v>
      </c>
      <c r="J408" s="2">
        <f t="shared" si="31"/>
        <v>84.5</v>
      </c>
      <c r="K408" s="2">
        <f t="shared" si="32"/>
        <v>3</v>
      </c>
      <c r="L408" s="2">
        <f t="shared" si="33"/>
        <v>77.400000000000006</v>
      </c>
      <c r="M408" s="2">
        <f t="shared" si="34"/>
        <v>83.5</v>
      </c>
    </row>
    <row r="409" spans="1:13" x14ac:dyDescent="0.3">
      <c r="A409" s="2">
        <f>Datos!A409</f>
        <v>306</v>
      </c>
      <c r="B409" s="2" t="str">
        <f>Datos!B409</f>
        <v>Female</v>
      </c>
      <c r="C409" s="2" t="str">
        <f>Datos!C409</f>
        <v>Bachelors</v>
      </c>
      <c r="D409" s="2" t="str">
        <f>Datos!G409</f>
        <v>C</v>
      </c>
      <c r="E409" s="2">
        <f>Datos!I409</f>
        <v>0.7</v>
      </c>
      <c r="F409" s="2">
        <f>Datos!J409</f>
        <v>72.900000000000006</v>
      </c>
      <c r="G409" s="2">
        <f>Datos!L409</f>
        <v>82.9</v>
      </c>
      <c r="H409" s="2">
        <f>Datos!M409</f>
        <v>74</v>
      </c>
      <c r="I409" s="2" t="b">
        <f t="shared" si="30"/>
        <v>1</v>
      </c>
      <c r="J409" s="2">
        <f t="shared" si="31"/>
        <v>74</v>
      </c>
      <c r="K409" s="2">
        <f t="shared" si="32"/>
        <v>0.7</v>
      </c>
      <c r="L409" s="2">
        <f t="shared" si="33"/>
        <v>82.9</v>
      </c>
      <c r="M409" s="2">
        <f t="shared" si="34"/>
        <v>72.900000000000006</v>
      </c>
    </row>
    <row r="410" spans="1:13" x14ac:dyDescent="0.3">
      <c r="A410" s="2">
        <f>Datos!A410</f>
        <v>810</v>
      </c>
      <c r="B410" s="2" t="str">
        <f>Datos!B410</f>
        <v>Male</v>
      </c>
      <c r="C410" s="2" t="str">
        <f>Datos!C410</f>
        <v>Masters</v>
      </c>
      <c r="D410" s="2" t="str">
        <f>Datos!G410</f>
        <v>D</v>
      </c>
      <c r="E410" s="2">
        <f>Datos!I410</f>
        <v>3.5</v>
      </c>
      <c r="F410" s="2">
        <f>Datos!J410</f>
        <v>88.1</v>
      </c>
      <c r="G410" s="2">
        <f>Datos!L410</f>
        <v>39.4</v>
      </c>
      <c r="H410" s="2">
        <f>Datos!M410</f>
        <v>65.099999999999994</v>
      </c>
      <c r="I410" s="2" t="b">
        <f t="shared" si="30"/>
        <v>1</v>
      </c>
      <c r="J410" s="2">
        <f t="shared" si="31"/>
        <v>65.099999999999994</v>
      </c>
      <c r="K410" s="2">
        <f t="shared" si="32"/>
        <v>3.5</v>
      </c>
      <c r="L410" s="2">
        <f t="shared" si="33"/>
        <v>39.4</v>
      </c>
      <c r="M410" s="2">
        <f t="shared" si="34"/>
        <v>88.1</v>
      </c>
    </row>
    <row r="411" spans="1:13" x14ac:dyDescent="0.3">
      <c r="A411" s="2">
        <f>Datos!A411</f>
        <v>882</v>
      </c>
      <c r="B411" s="2" t="str">
        <f>Datos!B411</f>
        <v>Male</v>
      </c>
      <c r="C411" s="2" t="str">
        <f>Datos!C411</f>
        <v>Bachelors</v>
      </c>
      <c r="D411" s="2" t="str">
        <f>Datos!G411</f>
        <v>B</v>
      </c>
      <c r="E411" s="2">
        <f>Datos!I411</f>
        <v>2.4</v>
      </c>
      <c r="F411" s="2">
        <f>Datos!J411</f>
        <v>96.7</v>
      </c>
      <c r="G411" s="2">
        <f>Datos!L411</f>
        <v>85.3</v>
      </c>
      <c r="H411" s="2">
        <f>Datos!M411</f>
        <v>82.3</v>
      </c>
      <c r="I411" s="2" t="b">
        <f t="shared" si="30"/>
        <v>1</v>
      </c>
      <c r="J411" s="2">
        <f t="shared" si="31"/>
        <v>82.3</v>
      </c>
      <c r="K411" s="2">
        <f t="shared" si="32"/>
        <v>2.4</v>
      </c>
      <c r="L411" s="2">
        <f t="shared" si="33"/>
        <v>85.3</v>
      </c>
      <c r="M411" s="2">
        <f t="shared" si="34"/>
        <v>96.7</v>
      </c>
    </row>
    <row r="412" spans="1:13" x14ac:dyDescent="0.3">
      <c r="A412" s="2">
        <f>Datos!A412</f>
        <v>33</v>
      </c>
      <c r="B412" s="2" t="str">
        <f>Datos!B412</f>
        <v>Female</v>
      </c>
      <c r="C412" s="2">
        <f>Datos!C412</f>
        <v>0</v>
      </c>
      <c r="D412" s="2" t="str">
        <f>Datos!G412</f>
        <v>A</v>
      </c>
      <c r="E412" s="2">
        <f>Datos!I412</f>
        <v>5.9</v>
      </c>
      <c r="F412" s="2">
        <f>Datos!J412</f>
        <v>66.8</v>
      </c>
      <c r="G412" s="2">
        <f>Datos!L412</f>
        <v>93.8</v>
      </c>
      <c r="H412" s="2">
        <f>Datos!M412</f>
        <v>73</v>
      </c>
      <c r="I412" s="2" t="b">
        <f t="shared" si="30"/>
        <v>1</v>
      </c>
      <c r="J412" s="2">
        <f t="shared" si="31"/>
        <v>73</v>
      </c>
      <c r="K412" s="2">
        <f t="shared" si="32"/>
        <v>5.9</v>
      </c>
      <c r="L412" s="2">
        <f t="shared" si="33"/>
        <v>93.8</v>
      </c>
      <c r="M412" s="2">
        <f t="shared" si="34"/>
        <v>66.8</v>
      </c>
    </row>
    <row r="413" spans="1:13" x14ac:dyDescent="0.3">
      <c r="A413" s="2">
        <f>Datos!A413</f>
        <v>537</v>
      </c>
      <c r="B413" s="2" t="str">
        <f>Datos!B413</f>
        <v>Female</v>
      </c>
      <c r="C413" s="2" t="str">
        <f>Datos!C413</f>
        <v>PhD</v>
      </c>
      <c r="D413" s="2" t="str">
        <f>Datos!G413</f>
        <v>F</v>
      </c>
      <c r="E413" s="2">
        <f>Datos!I413</f>
        <v>1</v>
      </c>
      <c r="F413" s="2">
        <f>Datos!J413</f>
        <v>65.400000000000006</v>
      </c>
      <c r="G413" s="2">
        <f>Datos!L413</f>
        <v>51.5</v>
      </c>
      <c r="H413" s="2">
        <f>Datos!M413</f>
        <v>54.9</v>
      </c>
      <c r="I413" s="2" t="b">
        <f t="shared" si="30"/>
        <v>1</v>
      </c>
      <c r="J413" s="2">
        <f t="shared" si="31"/>
        <v>54.9</v>
      </c>
      <c r="K413" s="2">
        <f t="shared" si="32"/>
        <v>1</v>
      </c>
      <c r="L413" s="2">
        <f t="shared" si="33"/>
        <v>51.5</v>
      </c>
      <c r="M413" s="2">
        <f t="shared" si="34"/>
        <v>65.400000000000006</v>
      </c>
    </row>
    <row r="414" spans="1:13" x14ac:dyDescent="0.3">
      <c r="A414" s="2">
        <f>Datos!A414</f>
        <v>851</v>
      </c>
      <c r="B414" s="2" t="str">
        <f>Datos!B414</f>
        <v>Male</v>
      </c>
      <c r="C414" s="2" t="str">
        <f>Datos!C414</f>
        <v>Masters</v>
      </c>
      <c r="D414" s="2" t="str">
        <f>Datos!G414</f>
        <v>C</v>
      </c>
      <c r="E414" s="2">
        <f>Datos!I414</f>
        <v>3.8</v>
      </c>
      <c r="F414" s="2">
        <f>Datos!J414</f>
        <v>99.7</v>
      </c>
      <c r="G414" s="2">
        <f>Datos!L414</f>
        <v>66.7</v>
      </c>
      <c r="H414" s="2">
        <f>Datos!M414</f>
        <v>74.2</v>
      </c>
      <c r="I414" s="2" t="b">
        <f t="shared" si="30"/>
        <v>1</v>
      </c>
      <c r="J414" s="2">
        <f t="shared" si="31"/>
        <v>74.2</v>
      </c>
      <c r="K414" s="2">
        <f t="shared" si="32"/>
        <v>3.8</v>
      </c>
      <c r="L414" s="2">
        <f t="shared" si="33"/>
        <v>66.7</v>
      </c>
      <c r="M414" s="2">
        <f t="shared" si="34"/>
        <v>99.7</v>
      </c>
    </row>
    <row r="415" spans="1:13" x14ac:dyDescent="0.3">
      <c r="A415" s="2">
        <f>Datos!A415</f>
        <v>180</v>
      </c>
      <c r="B415" s="2" t="str">
        <f>Datos!B415</f>
        <v>Female</v>
      </c>
      <c r="C415" s="2" t="str">
        <f>Datos!C415</f>
        <v>PhD</v>
      </c>
      <c r="D415" s="2" t="str">
        <f>Datos!G415</f>
        <v>D</v>
      </c>
      <c r="E415" s="2">
        <f>Datos!I415</f>
        <v>1.9</v>
      </c>
      <c r="F415" s="2">
        <f>Datos!J415</f>
        <v>65.2</v>
      </c>
      <c r="G415" s="2">
        <f>Datos!L415</f>
        <v>66.099999999999994</v>
      </c>
      <c r="H415" s="2">
        <f>Datos!M415</f>
        <v>65.099999999999994</v>
      </c>
      <c r="I415" s="2" t="b">
        <f t="shared" si="30"/>
        <v>1</v>
      </c>
      <c r="J415" s="2">
        <f t="shared" si="31"/>
        <v>65.099999999999994</v>
      </c>
      <c r="K415" s="2">
        <f t="shared" si="32"/>
        <v>1.9</v>
      </c>
      <c r="L415" s="2">
        <f t="shared" si="33"/>
        <v>66.099999999999994</v>
      </c>
      <c r="M415" s="2">
        <f t="shared" si="34"/>
        <v>65.2</v>
      </c>
    </row>
    <row r="416" spans="1:13" x14ac:dyDescent="0.3">
      <c r="A416" s="2">
        <f>Datos!A416</f>
        <v>838</v>
      </c>
      <c r="B416" s="2" t="str">
        <f>Datos!B416</f>
        <v>Female</v>
      </c>
      <c r="C416" s="2" t="str">
        <f>Datos!C416</f>
        <v>Masters</v>
      </c>
      <c r="D416" s="2" t="str">
        <f>Datos!G416</f>
        <v>C</v>
      </c>
      <c r="E416" s="2">
        <f>Datos!I416</f>
        <v>2.4</v>
      </c>
      <c r="F416" s="2">
        <f>Datos!J416</f>
        <v>72.7</v>
      </c>
      <c r="G416" s="2">
        <f>Datos!L416</f>
        <v>86.3</v>
      </c>
      <c r="H416" s="2">
        <f>Datos!M416</f>
        <v>72.8</v>
      </c>
      <c r="I416" s="2" t="b">
        <f t="shared" si="30"/>
        <v>1</v>
      </c>
      <c r="J416" s="2">
        <f t="shared" si="31"/>
        <v>72.8</v>
      </c>
      <c r="K416" s="2">
        <f t="shared" si="32"/>
        <v>2.4</v>
      </c>
      <c r="L416" s="2">
        <f t="shared" si="33"/>
        <v>86.3</v>
      </c>
      <c r="M416" s="2">
        <f t="shared" si="34"/>
        <v>72.7</v>
      </c>
    </row>
    <row r="417" spans="1:13" x14ac:dyDescent="0.3">
      <c r="A417" s="2">
        <f>Datos!A417</f>
        <v>671</v>
      </c>
      <c r="B417" s="2" t="str">
        <f>Datos!B417</f>
        <v>Female</v>
      </c>
      <c r="C417" s="2" t="str">
        <f>Datos!C417</f>
        <v>High School</v>
      </c>
      <c r="D417" s="2" t="str">
        <f>Datos!G417</f>
        <v>F</v>
      </c>
      <c r="E417" s="2">
        <f>Datos!I417</f>
        <v>1.1000000000000001</v>
      </c>
      <c r="F417" s="2">
        <f>Datos!J417</f>
        <v>74.3</v>
      </c>
      <c r="G417" s="2">
        <f>Datos!L417</f>
        <v>48.5</v>
      </c>
      <c r="H417" s="2">
        <f>Datos!M417</f>
        <v>54.7</v>
      </c>
      <c r="I417" s="2" t="b">
        <f t="shared" si="30"/>
        <v>1</v>
      </c>
      <c r="J417" s="2">
        <f t="shared" si="31"/>
        <v>54.7</v>
      </c>
      <c r="K417" s="2">
        <f t="shared" si="32"/>
        <v>1.1000000000000001</v>
      </c>
      <c r="L417" s="2">
        <f t="shared" si="33"/>
        <v>48.5</v>
      </c>
      <c r="M417" s="2">
        <f t="shared" si="34"/>
        <v>74.3</v>
      </c>
    </row>
    <row r="418" spans="1:13" x14ac:dyDescent="0.3">
      <c r="A418" s="2">
        <f>Datos!A418</f>
        <v>865</v>
      </c>
      <c r="B418" s="2" t="str">
        <f>Datos!B418</f>
        <v>Female</v>
      </c>
      <c r="C418" s="2" t="str">
        <f>Datos!C418</f>
        <v>Masters</v>
      </c>
      <c r="D418" s="2" t="str">
        <f>Datos!G418</f>
        <v>C</v>
      </c>
      <c r="E418" s="2">
        <f>Datos!I418</f>
        <v>5.3</v>
      </c>
      <c r="F418" s="2">
        <f>Datos!J418</f>
        <v>73.5</v>
      </c>
      <c r="G418" s="2">
        <f>Datos!L418</f>
        <v>83.3</v>
      </c>
      <c r="H418" s="2">
        <f>Datos!M418</f>
        <v>78.900000000000006</v>
      </c>
      <c r="I418" s="2" t="b">
        <f t="shared" si="30"/>
        <v>1</v>
      </c>
      <c r="J418" s="2">
        <f t="shared" si="31"/>
        <v>78.900000000000006</v>
      </c>
      <c r="K418" s="2">
        <f t="shared" si="32"/>
        <v>5.3</v>
      </c>
      <c r="L418" s="2">
        <f t="shared" si="33"/>
        <v>83.3</v>
      </c>
      <c r="M418" s="2">
        <f t="shared" si="34"/>
        <v>73.5</v>
      </c>
    </row>
    <row r="419" spans="1:13" x14ac:dyDescent="0.3">
      <c r="A419" s="2">
        <f>Datos!A419</f>
        <v>420</v>
      </c>
      <c r="B419" s="2" t="str">
        <f>Datos!B419</f>
        <v>Male</v>
      </c>
      <c r="C419" s="2" t="str">
        <f>Datos!C419</f>
        <v>PhD</v>
      </c>
      <c r="D419" s="2" t="str">
        <f>Datos!G419</f>
        <v>C</v>
      </c>
      <c r="E419" s="2">
        <f>Datos!I419</f>
        <v>1.1000000000000001</v>
      </c>
      <c r="F419" s="2">
        <f>Datos!J419</f>
        <v>94.3</v>
      </c>
      <c r="G419" s="2">
        <f>Datos!L419</f>
        <v>92.6</v>
      </c>
      <c r="H419" s="2">
        <f>Datos!M419</f>
        <v>78</v>
      </c>
      <c r="I419" s="2" t="b">
        <f t="shared" si="30"/>
        <v>1</v>
      </c>
      <c r="J419" s="2">
        <f t="shared" si="31"/>
        <v>78</v>
      </c>
      <c r="K419" s="2">
        <f t="shared" si="32"/>
        <v>1.1000000000000001</v>
      </c>
      <c r="L419" s="2">
        <f t="shared" si="33"/>
        <v>92.6</v>
      </c>
      <c r="M419" s="2">
        <f t="shared" si="34"/>
        <v>94.3</v>
      </c>
    </row>
    <row r="420" spans="1:13" x14ac:dyDescent="0.3">
      <c r="A420" s="2">
        <f>Datos!A420</f>
        <v>231</v>
      </c>
      <c r="B420" s="2" t="str">
        <f>Datos!B420</f>
        <v>Male</v>
      </c>
      <c r="C420" s="2" t="str">
        <f>Datos!C420</f>
        <v>PhD</v>
      </c>
      <c r="D420" s="2" t="str">
        <f>Datos!G420</f>
        <v>C</v>
      </c>
      <c r="E420" s="2">
        <f>Datos!I420</f>
        <v>3</v>
      </c>
      <c r="F420" s="2">
        <f>Datos!J420</f>
        <v>83.5</v>
      </c>
      <c r="G420" s="2">
        <f>Datos!L420</f>
        <v>58.5</v>
      </c>
      <c r="H420" s="2">
        <f>Datos!M420</f>
        <v>77.099999999999994</v>
      </c>
      <c r="I420" s="2" t="b">
        <f t="shared" si="30"/>
        <v>1</v>
      </c>
      <c r="J420" s="2">
        <f t="shared" si="31"/>
        <v>77.099999999999994</v>
      </c>
      <c r="K420" s="2">
        <f t="shared" si="32"/>
        <v>3</v>
      </c>
      <c r="L420" s="2">
        <f t="shared" si="33"/>
        <v>58.5</v>
      </c>
      <c r="M420" s="2">
        <f t="shared" si="34"/>
        <v>83.5</v>
      </c>
    </row>
    <row r="421" spans="1:13" x14ac:dyDescent="0.3">
      <c r="A421" s="2">
        <f>Datos!A421</f>
        <v>848</v>
      </c>
      <c r="B421" s="2" t="str">
        <f>Datos!B421</f>
        <v>Female</v>
      </c>
      <c r="C421" s="2" t="str">
        <f>Datos!C421</f>
        <v>PhD</v>
      </c>
      <c r="D421" s="2" t="str">
        <f>Datos!G421</f>
        <v>D</v>
      </c>
      <c r="E421" s="2">
        <f>Datos!I421</f>
        <v>2.6</v>
      </c>
      <c r="F421" s="2">
        <f>Datos!J421</f>
        <v>89.7</v>
      </c>
      <c r="G421" s="2">
        <f>Datos!L421</f>
        <v>54</v>
      </c>
      <c r="H421" s="2">
        <f>Datos!M421</f>
        <v>63.2</v>
      </c>
      <c r="I421" s="2" t="b">
        <f t="shared" si="30"/>
        <v>1</v>
      </c>
      <c r="J421" s="2">
        <f t="shared" si="31"/>
        <v>63.2</v>
      </c>
      <c r="K421" s="2">
        <f t="shared" si="32"/>
        <v>2.6</v>
      </c>
      <c r="L421" s="2">
        <f t="shared" si="33"/>
        <v>54</v>
      </c>
      <c r="M421" s="2">
        <f t="shared" si="34"/>
        <v>89.7</v>
      </c>
    </row>
    <row r="422" spans="1:13" x14ac:dyDescent="0.3">
      <c r="A422" s="2">
        <f>Datos!A422</f>
        <v>862</v>
      </c>
      <c r="B422" s="2" t="str">
        <f>Datos!B422</f>
        <v>Male</v>
      </c>
      <c r="C422" s="2" t="str">
        <f>Datos!C422</f>
        <v>High School</v>
      </c>
      <c r="D422" s="2" t="str">
        <f>Datos!G422</f>
        <v>B</v>
      </c>
      <c r="E422" s="2">
        <f>Datos!I422</f>
        <v>6.9</v>
      </c>
      <c r="F422" s="2">
        <f>Datos!J422</f>
        <v>89.2</v>
      </c>
      <c r="G422" s="2">
        <f>Datos!L422</f>
        <v>76</v>
      </c>
      <c r="H422" s="2">
        <f>Datos!M422</f>
        <v>82.7</v>
      </c>
      <c r="I422" s="2" t="b">
        <f t="shared" si="30"/>
        <v>1</v>
      </c>
      <c r="J422" s="2">
        <f t="shared" si="31"/>
        <v>82.7</v>
      </c>
      <c r="K422" s="2">
        <f t="shared" si="32"/>
        <v>6.9</v>
      </c>
      <c r="L422" s="2">
        <f t="shared" si="33"/>
        <v>76</v>
      </c>
      <c r="M422" s="2">
        <f t="shared" si="34"/>
        <v>89.2</v>
      </c>
    </row>
    <row r="423" spans="1:13" x14ac:dyDescent="0.3">
      <c r="A423" s="2">
        <f>Datos!A423</f>
        <v>104</v>
      </c>
      <c r="B423" s="2" t="str">
        <f>Datos!B423</f>
        <v>Female</v>
      </c>
      <c r="C423" s="2" t="str">
        <f>Datos!C423</f>
        <v>Bachelors</v>
      </c>
      <c r="D423" s="2" t="str">
        <f>Datos!G423</f>
        <v>D</v>
      </c>
      <c r="E423" s="2">
        <f>Datos!I423</f>
        <v>2.9</v>
      </c>
      <c r="F423" s="2">
        <f>Datos!J423</f>
        <v>79.2</v>
      </c>
      <c r="G423" s="2">
        <f>Datos!L423</f>
        <v>42.2</v>
      </c>
      <c r="H423" s="2">
        <f>Datos!M423</f>
        <v>73</v>
      </c>
      <c r="I423" s="2" t="b">
        <f t="shared" si="30"/>
        <v>1</v>
      </c>
      <c r="J423" s="2">
        <f t="shared" si="31"/>
        <v>73</v>
      </c>
      <c r="K423" s="2">
        <f t="shared" si="32"/>
        <v>2.9</v>
      </c>
      <c r="L423" s="2">
        <f t="shared" si="33"/>
        <v>42.2</v>
      </c>
      <c r="M423" s="2">
        <f t="shared" si="34"/>
        <v>79.2</v>
      </c>
    </row>
    <row r="424" spans="1:13" x14ac:dyDescent="0.3">
      <c r="A424" s="2">
        <f>Datos!A424</f>
        <v>740</v>
      </c>
      <c r="B424" s="2" t="str">
        <f>Datos!B424</f>
        <v>Male</v>
      </c>
      <c r="C424" s="2">
        <f>Datos!C424</f>
        <v>0</v>
      </c>
      <c r="D424" s="2" t="str">
        <f>Datos!G424</f>
        <v>D</v>
      </c>
      <c r="E424" s="2">
        <f>Datos!I424</f>
        <v>6</v>
      </c>
      <c r="F424" s="2">
        <f>Datos!J424</f>
        <v>77.900000000000006</v>
      </c>
      <c r="G424" s="2">
        <f>Datos!L424</f>
        <v>43.2</v>
      </c>
      <c r="H424" s="2">
        <f>Datos!M424</f>
        <v>68.900000000000006</v>
      </c>
      <c r="I424" s="2" t="b">
        <f t="shared" si="30"/>
        <v>1</v>
      </c>
      <c r="J424" s="2">
        <f t="shared" si="31"/>
        <v>68.900000000000006</v>
      </c>
      <c r="K424" s="2">
        <f t="shared" si="32"/>
        <v>6</v>
      </c>
      <c r="L424" s="2">
        <f t="shared" si="33"/>
        <v>43.2</v>
      </c>
      <c r="M424" s="2">
        <f t="shared" si="34"/>
        <v>77.900000000000006</v>
      </c>
    </row>
    <row r="425" spans="1:13" x14ac:dyDescent="0.3">
      <c r="A425" s="2">
        <f>Datos!A425</f>
        <v>849</v>
      </c>
      <c r="B425" s="2" t="str">
        <f>Datos!B425</f>
        <v>Female</v>
      </c>
      <c r="C425" s="2" t="str">
        <f>Datos!C425</f>
        <v>PhD</v>
      </c>
      <c r="D425" s="2" t="str">
        <f>Datos!G425</f>
        <v>D</v>
      </c>
      <c r="E425" s="2">
        <f>Datos!I425</f>
        <v>1.9</v>
      </c>
      <c r="F425" s="2">
        <f>Datos!J425</f>
        <v>83.5</v>
      </c>
      <c r="G425" s="2">
        <f>Datos!L425</f>
        <v>81.599999999999994</v>
      </c>
      <c r="H425" s="2">
        <f>Datos!M425</f>
        <v>68.599999999999994</v>
      </c>
      <c r="I425" s="2" t="b">
        <f t="shared" si="30"/>
        <v>1</v>
      </c>
      <c r="J425" s="2">
        <f t="shared" si="31"/>
        <v>68.599999999999994</v>
      </c>
      <c r="K425" s="2">
        <f t="shared" si="32"/>
        <v>1.9</v>
      </c>
      <c r="L425" s="2">
        <f t="shared" si="33"/>
        <v>81.599999999999994</v>
      </c>
      <c r="M425" s="2">
        <f t="shared" si="34"/>
        <v>83.5</v>
      </c>
    </row>
    <row r="426" spans="1:13" x14ac:dyDescent="0.3">
      <c r="A426" s="2">
        <f>Datos!A426</f>
        <v>132</v>
      </c>
      <c r="B426" s="2" t="str">
        <f>Datos!B426</f>
        <v>Female</v>
      </c>
      <c r="C426" s="2">
        <f>Datos!C426</f>
        <v>0</v>
      </c>
      <c r="D426" s="2" t="str">
        <f>Datos!G426</f>
        <v>C</v>
      </c>
      <c r="E426" s="2">
        <f>Datos!I426</f>
        <v>1.6</v>
      </c>
      <c r="F426" s="2">
        <f>Datos!J426</f>
        <v>71.099999999999994</v>
      </c>
      <c r="G426" s="2">
        <f>Datos!L426</f>
        <v>74.2</v>
      </c>
      <c r="H426" s="2">
        <f>Datos!M426</f>
        <v>71.3</v>
      </c>
      <c r="I426" s="2" t="b">
        <f t="shared" si="30"/>
        <v>1</v>
      </c>
      <c r="J426" s="2">
        <f t="shared" si="31"/>
        <v>71.3</v>
      </c>
      <c r="K426" s="2">
        <f t="shared" si="32"/>
        <v>1.6</v>
      </c>
      <c r="L426" s="2">
        <f t="shared" si="33"/>
        <v>74.2</v>
      </c>
      <c r="M426" s="2">
        <f t="shared" si="34"/>
        <v>71.099999999999994</v>
      </c>
    </row>
    <row r="427" spans="1:13" x14ac:dyDescent="0.3">
      <c r="A427" s="2">
        <f>Datos!A427</f>
        <v>409</v>
      </c>
      <c r="B427" s="2" t="str">
        <f>Datos!B427</f>
        <v>Male</v>
      </c>
      <c r="C427" s="2" t="str">
        <f>Datos!C427</f>
        <v>Masters</v>
      </c>
      <c r="D427" s="2" t="str">
        <f>Datos!G427</f>
        <v>B</v>
      </c>
      <c r="E427" s="2">
        <f>Datos!I427</f>
        <v>1.6</v>
      </c>
      <c r="F427" s="2">
        <f>Datos!J427</f>
        <v>79.900000000000006</v>
      </c>
      <c r="G427" s="2">
        <f>Datos!L427</f>
        <v>92.1</v>
      </c>
      <c r="H427" s="2">
        <f>Datos!M427</f>
        <v>81</v>
      </c>
      <c r="I427" s="2" t="b">
        <f t="shared" si="30"/>
        <v>1</v>
      </c>
      <c r="J427" s="2">
        <f t="shared" si="31"/>
        <v>81</v>
      </c>
      <c r="K427" s="2">
        <f t="shared" si="32"/>
        <v>1.6</v>
      </c>
      <c r="L427" s="2">
        <f t="shared" si="33"/>
        <v>92.1</v>
      </c>
      <c r="M427" s="2">
        <f t="shared" si="34"/>
        <v>79.900000000000006</v>
      </c>
    </row>
    <row r="428" spans="1:13" x14ac:dyDescent="0.3">
      <c r="A428" s="2">
        <f>Datos!A428</f>
        <v>949</v>
      </c>
      <c r="B428" s="2" t="str">
        <f>Datos!B428</f>
        <v>Male</v>
      </c>
      <c r="C428" s="2" t="str">
        <f>Datos!C428</f>
        <v>Masters</v>
      </c>
      <c r="D428" s="2" t="str">
        <f>Datos!G428</f>
        <v>B</v>
      </c>
      <c r="E428" s="2">
        <f>Datos!I428</f>
        <v>4.7</v>
      </c>
      <c r="F428" s="2">
        <f>Datos!J428</f>
        <v>93</v>
      </c>
      <c r="G428" s="2">
        <f>Datos!L428</f>
        <v>79.2</v>
      </c>
      <c r="H428" s="2">
        <f>Datos!M428</f>
        <v>82.8</v>
      </c>
      <c r="I428" s="2" t="b">
        <f t="shared" si="30"/>
        <v>1</v>
      </c>
      <c r="J428" s="2">
        <f t="shared" si="31"/>
        <v>82.8</v>
      </c>
      <c r="K428" s="2">
        <f t="shared" si="32"/>
        <v>4.7</v>
      </c>
      <c r="L428" s="2">
        <f t="shared" si="33"/>
        <v>79.2</v>
      </c>
      <c r="M428" s="2">
        <f t="shared" si="34"/>
        <v>93</v>
      </c>
    </row>
    <row r="429" spans="1:13" x14ac:dyDescent="0.3">
      <c r="A429" s="2">
        <f>Datos!A429</f>
        <v>923</v>
      </c>
      <c r="B429" s="2" t="str">
        <f>Datos!B429</f>
        <v>Male</v>
      </c>
      <c r="C429" s="2" t="str">
        <f>Datos!C429</f>
        <v>PhD</v>
      </c>
      <c r="D429" s="2" t="str">
        <f>Datos!G429</f>
        <v>A</v>
      </c>
      <c r="E429" s="2">
        <f>Datos!I429</f>
        <v>6.2</v>
      </c>
      <c r="F429" s="2">
        <f>Datos!J429</f>
        <v>75.7</v>
      </c>
      <c r="G429" s="2">
        <f>Datos!L429</f>
        <v>67</v>
      </c>
      <c r="H429" s="2">
        <f>Datos!M429</f>
        <v>99.1</v>
      </c>
      <c r="I429" s="2" t="b">
        <f t="shared" si="30"/>
        <v>1</v>
      </c>
      <c r="J429" s="2">
        <f t="shared" si="31"/>
        <v>99.1</v>
      </c>
      <c r="K429" s="2">
        <f t="shared" si="32"/>
        <v>6.2</v>
      </c>
      <c r="L429" s="2">
        <f t="shared" si="33"/>
        <v>67</v>
      </c>
      <c r="M429" s="2">
        <f t="shared" si="34"/>
        <v>75.7</v>
      </c>
    </row>
    <row r="430" spans="1:13" x14ac:dyDescent="0.3">
      <c r="A430" s="2">
        <f>Datos!A430</f>
        <v>500</v>
      </c>
      <c r="B430" s="2" t="str">
        <f>Datos!B430</f>
        <v>Female</v>
      </c>
      <c r="C430" s="2" t="str">
        <f>Datos!C430</f>
        <v>Bachelors</v>
      </c>
      <c r="D430" s="2" t="str">
        <f>Datos!G430</f>
        <v>B</v>
      </c>
      <c r="E430" s="2">
        <f>Datos!I430</f>
        <v>4.5</v>
      </c>
      <c r="F430" s="2">
        <f>Datos!J430</f>
        <v>81.099999999999994</v>
      </c>
      <c r="G430" s="2">
        <f>Datos!L430</f>
        <v>80.400000000000006</v>
      </c>
      <c r="H430" s="2">
        <f>Datos!M430</f>
        <v>85.7</v>
      </c>
      <c r="I430" s="2" t="b">
        <f t="shared" si="30"/>
        <v>1</v>
      </c>
      <c r="J430" s="2">
        <f t="shared" si="31"/>
        <v>85.7</v>
      </c>
      <c r="K430" s="2">
        <f t="shared" si="32"/>
        <v>4.5</v>
      </c>
      <c r="L430" s="2">
        <f t="shared" si="33"/>
        <v>80.400000000000006</v>
      </c>
      <c r="M430" s="2">
        <f t="shared" si="34"/>
        <v>81.099999999999994</v>
      </c>
    </row>
    <row r="431" spans="1:13" x14ac:dyDescent="0.3">
      <c r="A431" s="2">
        <f>Datos!A431</f>
        <v>917</v>
      </c>
      <c r="B431" s="2" t="str">
        <f>Datos!B431</f>
        <v>Female</v>
      </c>
      <c r="C431" s="2" t="str">
        <f>Datos!C431</f>
        <v>PhD</v>
      </c>
      <c r="D431" s="2" t="str">
        <f>Datos!G431</f>
        <v>B</v>
      </c>
      <c r="E431" s="2">
        <f>Datos!I431</f>
        <v>6.6</v>
      </c>
      <c r="F431" s="2">
        <f>Datos!J431</f>
        <v>88.3</v>
      </c>
      <c r="G431" s="2">
        <f>Datos!L431</f>
        <v>66.75</v>
      </c>
      <c r="H431" s="2">
        <f>Datos!M431</f>
        <v>80.7</v>
      </c>
      <c r="I431" s="2" t="b">
        <f t="shared" si="30"/>
        <v>1</v>
      </c>
      <c r="J431" s="2">
        <f t="shared" si="31"/>
        <v>80.7</v>
      </c>
      <c r="K431" s="2">
        <f t="shared" si="32"/>
        <v>6.6</v>
      </c>
      <c r="L431" s="2">
        <f t="shared" si="33"/>
        <v>66.75</v>
      </c>
      <c r="M431" s="2">
        <f t="shared" si="34"/>
        <v>88.3</v>
      </c>
    </row>
    <row r="432" spans="1:13" x14ac:dyDescent="0.3">
      <c r="A432" s="2">
        <f>Datos!A432</f>
        <v>703</v>
      </c>
      <c r="B432" s="2" t="str">
        <f>Datos!B432</f>
        <v>Female</v>
      </c>
      <c r="C432" s="2" t="str">
        <f>Datos!C432</f>
        <v>High School</v>
      </c>
      <c r="D432" s="2" t="str">
        <f>Datos!G432</f>
        <v>B</v>
      </c>
      <c r="E432" s="2">
        <f>Datos!I432</f>
        <v>3.3</v>
      </c>
      <c r="F432" s="2">
        <f>Datos!J432</f>
        <v>76.8</v>
      </c>
      <c r="G432" s="2">
        <f>Datos!L432</f>
        <v>87.8</v>
      </c>
      <c r="H432" s="2">
        <f>Datos!M432</f>
        <v>84.7</v>
      </c>
      <c r="I432" s="2" t="b">
        <f t="shared" si="30"/>
        <v>1</v>
      </c>
      <c r="J432" s="2">
        <f t="shared" si="31"/>
        <v>84.7</v>
      </c>
      <c r="K432" s="2">
        <f t="shared" si="32"/>
        <v>3.3</v>
      </c>
      <c r="L432" s="2">
        <f t="shared" si="33"/>
        <v>87.8</v>
      </c>
      <c r="M432" s="2">
        <f t="shared" si="34"/>
        <v>76.8</v>
      </c>
    </row>
    <row r="433" spans="1:13" x14ac:dyDescent="0.3">
      <c r="A433" s="2">
        <f>Datos!A433</f>
        <v>412</v>
      </c>
      <c r="B433" s="2" t="str">
        <f>Datos!B433</f>
        <v>Male</v>
      </c>
      <c r="C433" s="2" t="str">
        <f>Datos!C433</f>
        <v>Masters</v>
      </c>
      <c r="D433" s="2" t="str">
        <f>Datos!G433</f>
        <v>A</v>
      </c>
      <c r="E433" s="2">
        <f>Datos!I433</f>
        <v>3.4</v>
      </c>
      <c r="F433" s="2">
        <f>Datos!J433</f>
        <v>90.7</v>
      </c>
      <c r="G433" s="2">
        <f>Datos!L433</f>
        <v>86.1</v>
      </c>
      <c r="H433" s="2">
        <f>Datos!M433</f>
        <v>92.1</v>
      </c>
      <c r="I433" s="2" t="b">
        <f t="shared" si="30"/>
        <v>1</v>
      </c>
      <c r="J433" s="2">
        <f t="shared" si="31"/>
        <v>92.1</v>
      </c>
      <c r="K433" s="2">
        <f t="shared" si="32"/>
        <v>3.4</v>
      </c>
      <c r="L433" s="2">
        <f t="shared" si="33"/>
        <v>86.1</v>
      </c>
      <c r="M433" s="2">
        <f t="shared" si="34"/>
        <v>90.7</v>
      </c>
    </row>
    <row r="434" spans="1:13" x14ac:dyDescent="0.3">
      <c r="A434" s="2">
        <f>Datos!A434</f>
        <v>891</v>
      </c>
      <c r="B434" s="2" t="str">
        <f>Datos!B434</f>
        <v>Male</v>
      </c>
      <c r="C434" s="2" t="str">
        <f>Datos!C434</f>
        <v>PhD</v>
      </c>
      <c r="D434" s="2" t="str">
        <f>Datos!G434</f>
        <v>B</v>
      </c>
      <c r="E434" s="2">
        <f>Datos!I434</f>
        <v>4.3</v>
      </c>
      <c r="F434" s="2">
        <f>Datos!J434</f>
        <v>85.7</v>
      </c>
      <c r="G434" s="2">
        <f>Datos!L434</f>
        <v>87</v>
      </c>
      <c r="H434" s="2">
        <f>Datos!M434</f>
        <v>81.7</v>
      </c>
      <c r="I434" s="2" t="b">
        <f t="shared" si="30"/>
        <v>1</v>
      </c>
      <c r="J434" s="2">
        <f t="shared" si="31"/>
        <v>81.7</v>
      </c>
      <c r="K434" s="2">
        <f t="shared" si="32"/>
        <v>4.3</v>
      </c>
      <c r="L434" s="2">
        <f t="shared" si="33"/>
        <v>87</v>
      </c>
      <c r="M434" s="2">
        <f t="shared" si="34"/>
        <v>85.7</v>
      </c>
    </row>
    <row r="435" spans="1:13" x14ac:dyDescent="0.3">
      <c r="A435" s="2">
        <f>Datos!A435</f>
        <v>897</v>
      </c>
      <c r="B435" s="2" t="str">
        <f>Datos!B435</f>
        <v>Male</v>
      </c>
      <c r="C435" s="2">
        <f>Datos!C435</f>
        <v>0</v>
      </c>
      <c r="D435" s="2" t="str">
        <f>Datos!G435</f>
        <v>F</v>
      </c>
      <c r="E435" s="2">
        <f>Datos!I435</f>
        <v>4.3</v>
      </c>
      <c r="F435" s="2">
        <f>Datos!J435</f>
        <v>69.400000000000006</v>
      </c>
      <c r="G435" s="2">
        <f>Datos!L435</f>
        <v>67</v>
      </c>
      <c r="H435" s="2">
        <f>Datos!M435</f>
        <v>59.4</v>
      </c>
      <c r="I435" s="2" t="b">
        <f t="shared" si="30"/>
        <v>1</v>
      </c>
      <c r="J435" s="2">
        <f t="shared" si="31"/>
        <v>59.4</v>
      </c>
      <c r="K435" s="2">
        <f t="shared" si="32"/>
        <v>4.3</v>
      </c>
      <c r="L435" s="2">
        <f t="shared" si="33"/>
        <v>67</v>
      </c>
      <c r="M435" s="2">
        <f t="shared" si="34"/>
        <v>69.400000000000006</v>
      </c>
    </row>
    <row r="436" spans="1:13" x14ac:dyDescent="0.3">
      <c r="A436" s="2">
        <f>Datos!A436</f>
        <v>467</v>
      </c>
      <c r="B436" s="2" t="str">
        <f>Datos!B436</f>
        <v>Male</v>
      </c>
      <c r="C436" s="2" t="str">
        <f>Datos!C436</f>
        <v>Masters</v>
      </c>
      <c r="D436" s="2" t="str">
        <f>Datos!G436</f>
        <v>B</v>
      </c>
      <c r="E436" s="2">
        <f>Datos!I436</f>
        <v>5.4</v>
      </c>
      <c r="F436" s="2">
        <f>Datos!J436</f>
        <v>91.3</v>
      </c>
      <c r="G436" s="2">
        <f>Datos!L436</f>
        <v>77</v>
      </c>
      <c r="H436" s="2">
        <f>Datos!M436</f>
        <v>80.400000000000006</v>
      </c>
      <c r="I436" s="2" t="b">
        <f t="shared" si="30"/>
        <v>1</v>
      </c>
      <c r="J436" s="2">
        <f t="shared" si="31"/>
        <v>80.400000000000006</v>
      </c>
      <c r="K436" s="2">
        <f t="shared" si="32"/>
        <v>5.4</v>
      </c>
      <c r="L436" s="2">
        <f t="shared" si="33"/>
        <v>77</v>
      </c>
      <c r="M436" s="2">
        <f t="shared" si="34"/>
        <v>91.3</v>
      </c>
    </row>
    <row r="437" spans="1:13" x14ac:dyDescent="0.3">
      <c r="A437" s="2">
        <f>Datos!A437</f>
        <v>769</v>
      </c>
      <c r="B437" s="2" t="str">
        <f>Datos!B437</f>
        <v>Male</v>
      </c>
      <c r="C437" s="2" t="str">
        <f>Datos!C437</f>
        <v>PhD</v>
      </c>
      <c r="D437" s="2" t="str">
        <f>Datos!G437</f>
        <v>C</v>
      </c>
      <c r="E437" s="2">
        <f>Datos!I437</f>
        <v>2.1</v>
      </c>
      <c r="F437" s="2">
        <f>Datos!J437</f>
        <v>90.3</v>
      </c>
      <c r="G437" s="2">
        <f>Datos!L437</f>
        <v>89.3</v>
      </c>
      <c r="H437" s="2">
        <f>Datos!M437</f>
        <v>73.3</v>
      </c>
      <c r="I437" s="2" t="b">
        <f t="shared" si="30"/>
        <v>1</v>
      </c>
      <c r="J437" s="2">
        <f t="shared" si="31"/>
        <v>73.3</v>
      </c>
      <c r="K437" s="2">
        <f t="shared" si="32"/>
        <v>2.1</v>
      </c>
      <c r="L437" s="2">
        <f t="shared" si="33"/>
        <v>89.3</v>
      </c>
      <c r="M437" s="2">
        <f t="shared" si="34"/>
        <v>90.3</v>
      </c>
    </row>
    <row r="438" spans="1:13" x14ac:dyDescent="0.3">
      <c r="A438" s="2">
        <f>Datos!A438</f>
        <v>162</v>
      </c>
      <c r="B438" s="2" t="str">
        <f>Datos!B438</f>
        <v>Female</v>
      </c>
      <c r="C438" s="2" t="str">
        <f>Datos!C438</f>
        <v>PhD</v>
      </c>
      <c r="D438" s="2" t="str">
        <f>Datos!G438</f>
        <v>C</v>
      </c>
      <c r="E438" s="2">
        <f>Datos!I438</f>
        <v>6.7</v>
      </c>
      <c r="F438" s="2">
        <f>Datos!J438</f>
        <v>77.2</v>
      </c>
      <c r="G438" s="2">
        <f>Datos!L438</f>
        <v>57.7</v>
      </c>
      <c r="H438" s="2">
        <f>Datos!M438</f>
        <v>77.3</v>
      </c>
      <c r="I438" s="2" t="b">
        <f t="shared" si="30"/>
        <v>1</v>
      </c>
      <c r="J438" s="2">
        <f t="shared" si="31"/>
        <v>77.3</v>
      </c>
      <c r="K438" s="2">
        <f t="shared" si="32"/>
        <v>6.7</v>
      </c>
      <c r="L438" s="2">
        <f t="shared" si="33"/>
        <v>57.7</v>
      </c>
      <c r="M438" s="2">
        <f t="shared" si="34"/>
        <v>77.2</v>
      </c>
    </row>
    <row r="439" spans="1:13" x14ac:dyDescent="0.3">
      <c r="A439" s="2">
        <f>Datos!A439</f>
        <v>393</v>
      </c>
      <c r="B439" s="2" t="str">
        <f>Datos!B439</f>
        <v>Female</v>
      </c>
      <c r="C439" s="2" t="str">
        <f>Datos!C439</f>
        <v>Masters</v>
      </c>
      <c r="D439" s="2" t="str">
        <f>Datos!G439</f>
        <v>B</v>
      </c>
      <c r="E439" s="2">
        <f>Datos!I439</f>
        <v>5.7</v>
      </c>
      <c r="F439" s="2">
        <f>Datos!J439</f>
        <v>73</v>
      </c>
      <c r="G439" s="2">
        <f>Datos!L439</f>
        <v>66.75</v>
      </c>
      <c r="H439" s="2">
        <f>Datos!M439</f>
        <v>82.2</v>
      </c>
      <c r="I439" s="2" t="b">
        <f t="shared" si="30"/>
        <v>1</v>
      </c>
      <c r="J439" s="2">
        <f t="shared" si="31"/>
        <v>82.2</v>
      </c>
      <c r="K439" s="2">
        <f t="shared" si="32"/>
        <v>5.7</v>
      </c>
      <c r="L439" s="2">
        <f t="shared" si="33"/>
        <v>66.75</v>
      </c>
      <c r="M439" s="2">
        <f t="shared" si="34"/>
        <v>73</v>
      </c>
    </row>
    <row r="440" spans="1:13" x14ac:dyDescent="0.3">
      <c r="A440" s="2">
        <f>Datos!A440</f>
        <v>14</v>
      </c>
      <c r="B440" s="2" t="str">
        <f>Datos!B440</f>
        <v>Male</v>
      </c>
      <c r="C440" s="2" t="str">
        <f>Datos!C440</f>
        <v>Masters</v>
      </c>
      <c r="D440" s="2" t="str">
        <f>Datos!G440</f>
        <v>C</v>
      </c>
      <c r="E440" s="2">
        <f>Datos!I440</f>
        <v>3.3</v>
      </c>
      <c r="F440" s="2">
        <f>Datos!J440</f>
        <v>87</v>
      </c>
      <c r="G440" s="2">
        <f>Datos!L440</f>
        <v>67</v>
      </c>
      <c r="H440" s="2">
        <f>Datos!M440</f>
        <v>71.7</v>
      </c>
      <c r="I440" s="2" t="b">
        <f t="shared" si="30"/>
        <v>1</v>
      </c>
      <c r="J440" s="2">
        <f t="shared" si="31"/>
        <v>71.7</v>
      </c>
      <c r="K440" s="2">
        <f t="shared" si="32"/>
        <v>3.3</v>
      </c>
      <c r="L440" s="2">
        <f t="shared" si="33"/>
        <v>67</v>
      </c>
      <c r="M440" s="2">
        <f t="shared" si="34"/>
        <v>87</v>
      </c>
    </row>
    <row r="441" spans="1:13" x14ac:dyDescent="0.3">
      <c r="A441" s="2">
        <f>Datos!A441</f>
        <v>582</v>
      </c>
      <c r="B441" s="2" t="str">
        <f>Datos!B441</f>
        <v>Male</v>
      </c>
      <c r="C441" s="2">
        <f>Datos!C441</f>
        <v>0</v>
      </c>
      <c r="D441" s="2" t="str">
        <f>Datos!G441</f>
        <v>D</v>
      </c>
      <c r="E441" s="2">
        <f>Datos!I441</f>
        <v>2.4</v>
      </c>
      <c r="F441" s="2">
        <f>Datos!J441</f>
        <v>75.7</v>
      </c>
      <c r="G441" s="2">
        <f>Datos!L441</f>
        <v>47.1</v>
      </c>
      <c r="H441" s="2">
        <f>Datos!M441</f>
        <v>65.7</v>
      </c>
      <c r="I441" s="2" t="b">
        <f t="shared" si="30"/>
        <v>1</v>
      </c>
      <c r="J441" s="2">
        <f t="shared" si="31"/>
        <v>65.7</v>
      </c>
      <c r="K441" s="2">
        <f t="shared" si="32"/>
        <v>2.4</v>
      </c>
      <c r="L441" s="2">
        <f t="shared" si="33"/>
        <v>47.1</v>
      </c>
      <c r="M441" s="2">
        <f t="shared" si="34"/>
        <v>75.7</v>
      </c>
    </row>
    <row r="442" spans="1:13" x14ac:dyDescent="0.3">
      <c r="A442" s="2">
        <f>Datos!A442</f>
        <v>15</v>
      </c>
      <c r="B442" s="2" t="str">
        <f>Datos!B442</f>
        <v>Male</v>
      </c>
      <c r="C442" s="2" t="str">
        <f>Datos!C442</f>
        <v>High School</v>
      </c>
      <c r="D442" s="2" t="str">
        <f>Datos!G442</f>
        <v>D</v>
      </c>
      <c r="E442" s="2">
        <f>Datos!I442</f>
        <v>1.4</v>
      </c>
      <c r="F442" s="2">
        <f>Datos!J442</f>
        <v>68.599999999999994</v>
      </c>
      <c r="G442" s="2">
        <f>Datos!L442</f>
        <v>55.8</v>
      </c>
      <c r="H442" s="2">
        <f>Datos!M442</f>
        <v>60.6</v>
      </c>
      <c r="I442" s="2" t="b">
        <f t="shared" si="30"/>
        <v>1</v>
      </c>
      <c r="J442" s="2">
        <f t="shared" si="31"/>
        <v>60.6</v>
      </c>
      <c r="K442" s="2">
        <f t="shared" si="32"/>
        <v>1.4</v>
      </c>
      <c r="L442" s="2">
        <f t="shared" si="33"/>
        <v>55.8</v>
      </c>
      <c r="M442" s="2">
        <f t="shared" si="34"/>
        <v>68.599999999999994</v>
      </c>
    </row>
    <row r="443" spans="1:13" x14ac:dyDescent="0.3">
      <c r="A443" s="2">
        <f>Datos!A443</f>
        <v>898</v>
      </c>
      <c r="B443" s="2" t="str">
        <f>Datos!B443</f>
        <v>Female</v>
      </c>
      <c r="C443" s="2">
        <f>Datos!C443</f>
        <v>0</v>
      </c>
      <c r="D443" s="2" t="str">
        <f>Datos!G443</f>
        <v>D</v>
      </c>
      <c r="E443" s="2">
        <f>Datos!I443</f>
        <v>2.2000000000000002</v>
      </c>
      <c r="F443" s="2">
        <f>Datos!J443</f>
        <v>99.7</v>
      </c>
      <c r="G443" s="2">
        <f>Datos!L443</f>
        <v>62.1</v>
      </c>
      <c r="H443" s="2">
        <f>Datos!M443</f>
        <v>69.400000000000006</v>
      </c>
      <c r="I443" s="2" t="b">
        <f t="shared" si="30"/>
        <v>1</v>
      </c>
      <c r="J443" s="2">
        <f t="shared" si="31"/>
        <v>69.400000000000006</v>
      </c>
      <c r="K443" s="2">
        <f t="shared" si="32"/>
        <v>2.2000000000000002</v>
      </c>
      <c r="L443" s="2">
        <f t="shared" si="33"/>
        <v>62.1</v>
      </c>
      <c r="M443" s="2">
        <f t="shared" si="34"/>
        <v>99.7</v>
      </c>
    </row>
    <row r="444" spans="1:13" x14ac:dyDescent="0.3">
      <c r="A444" s="2">
        <f>Datos!A444</f>
        <v>701</v>
      </c>
      <c r="B444" s="2" t="str">
        <f>Datos!B444</f>
        <v>Male</v>
      </c>
      <c r="C444" s="2" t="str">
        <f>Datos!C444</f>
        <v>Masters</v>
      </c>
      <c r="D444" s="2" t="str">
        <f>Datos!G444</f>
        <v>C</v>
      </c>
      <c r="E444" s="2">
        <f>Datos!I444</f>
        <v>3.7</v>
      </c>
      <c r="F444" s="2">
        <f>Datos!J444</f>
        <v>86</v>
      </c>
      <c r="G444" s="2">
        <f>Datos!L444</f>
        <v>70.900000000000006</v>
      </c>
      <c r="H444" s="2">
        <f>Datos!M444</f>
        <v>71.5</v>
      </c>
      <c r="I444" s="2" t="b">
        <f t="shared" si="30"/>
        <v>1</v>
      </c>
      <c r="J444" s="2">
        <f t="shared" si="31"/>
        <v>71.5</v>
      </c>
      <c r="K444" s="2">
        <f t="shared" si="32"/>
        <v>3.7</v>
      </c>
      <c r="L444" s="2">
        <f t="shared" si="33"/>
        <v>70.900000000000006</v>
      </c>
      <c r="M444" s="2">
        <f t="shared" si="34"/>
        <v>86</v>
      </c>
    </row>
    <row r="445" spans="1:13" x14ac:dyDescent="0.3">
      <c r="A445" s="2">
        <f>Datos!A445</f>
        <v>841</v>
      </c>
      <c r="B445" s="2" t="str">
        <f>Datos!B445</f>
        <v>Female</v>
      </c>
      <c r="C445" s="2">
        <f>Datos!C445</f>
        <v>0</v>
      </c>
      <c r="D445" s="2" t="str">
        <f>Datos!G445</f>
        <v>D</v>
      </c>
      <c r="E445" s="2">
        <f>Datos!I445</f>
        <v>2.9</v>
      </c>
      <c r="F445" s="2">
        <f>Datos!J445</f>
        <v>74</v>
      </c>
      <c r="G445" s="2">
        <f>Datos!L445</f>
        <v>57.6</v>
      </c>
      <c r="H445" s="2">
        <f>Datos!M445</f>
        <v>69.2</v>
      </c>
      <c r="I445" s="2" t="b">
        <f t="shared" si="30"/>
        <v>1</v>
      </c>
      <c r="J445" s="2">
        <f t="shared" si="31"/>
        <v>69.2</v>
      </c>
      <c r="K445" s="2">
        <f t="shared" si="32"/>
        <v>2.9</v>
      </c>
      <c r="L445" s="2">
        <f t="shared" si="33"/>
        <v>57.6</v>
      </c>
      <c r="M445" s="2">
        <f t="shared" si="34"/>
        <v>74</v>
      </c>
    </row>
    <row r="446" spans="1:13" x14ac:dyDescent="0.3">
      <c r="A446" s="2">
        <f>Datos!A446</f>
        <v>154</v>
      </c>
      <c r="B446" s="2" t="str">
        <f>Datos!B446</f>
        <v>Male</v>
      </c>
      <c r="C446" s="2" t="str">
        <f>Datos!C446</f>
        <v>Bachelors</v>
      </c>
      <c r="D446" s="2" t="str">
        <f>Datos!G446</f>
        <v>D</v>
      </c>
      <c r="E446" s="2">
        <f>Datos!I446</f>
        <v>0.7</v>
      </c>
      <c r="F446" s="2">
        <f>Datos!J446</f>
        <v>83.7</v>
      </c>
      <c r="G446" s="2">
        <f>Datos!L446</f>
        <v>53.1</v>
      </c>
      <c r="H446" s="2">
        <f>Datos!M446</f>
        <v>60</v>
      </c>
      <c r="I446" s="2" t="b">
        <f t="shared" si="30"/>
        <v>1</v>
      </c>
      <c r="J446" s="2">
        <f t="shared" si="31"/>
        <v>60</v>
      </c>
      <c r="K446" s="2">
        <f t="shared" si="32"/>
        <v>0.7</v>
      </c>
      <c r="L446" s="2">
        <f t="shared" si="33"/>
        <v>53.1</v>
      </c>
      <c r="M446" s="2">
        <f t="shared" si="34"/>
        <v>83.7</v>
      </c>
    </row>
    <row r="447" spans="1:13" x14ac:dyDescent="0.3">
      <c r="A447" s="2">
        <f>Datos!A447</f>
        <v>938</v>
      </c>
      <c r="B447" s="2" t="str">
        <f>Datos!B447</f>
        <v>Female</v>
      </c>
      <c r="C447" s="2">
        <f>Datos!C447</f>
        <v>0</v>
      </c>
      <c r="D447" s="2" t="str">
        <f>Datos!G447</f>
        <v>C</v>
      </c>
      <c r="E447" s="2">
        <f>Datos!I447</f>
        <v>1.5</v>
      </c>
      <c r="F447" s="2">
        <f>Datos!J447</f>
        <v>99.1</v>
      </c>
      <c r="G447" s="2">
        <f>Datos!L447</f>
        <v>74.3</v>
      </c>
      <c r="H447" s="2">
        <f>Datos!M447</f>
        <v>71</v>
      </c>
      <c r="I447" s="2" t="b">
        <f t="shared" si="30"/>
        <v>1</v>
      </c>
      <c r="J447" s="2">
        <f t="shared" si="31"/>
        <v>71</v>
      </c>
      <c r="K447" s="2">
        <f t="shared" si="32"/>
        <v>1.5</v>
      </c>
      <c r="L447" s="2">
        <f t="shared" si="33"/>
        <v>74.3</v>
      </c>
      <c r="M447" s="2">
        <f t="shared" si="34"/>
        <v>99.1</v>
      </c>
    </row>
    <row r="448" spans="1:13" x14ac:dyDescent="0.3">
      <c r="A448" s="2">
        <f>Datos!A448</f>
        <v>139</v>
      </c>
      <c r="B448" s="2" t="str">
        <f>Datos!B448</f>
        <v>Male</v>
      </c>
      <c r="C448" s="2" t="str">
        <f>Datos!C448</f>
        <v>High School</v>
      </c>
      <c r="D448" s="2" t="str">
        <f>Datos!G448</f>
        <v>F</v>
      </c>
      <c r="E448" s="2">
        <f>Datos!I448</f>
        <v>4.5</v>
      </c>
      <c r="F448" s="2">
        <f>Datos!J448</f>
        <v>72.2</v>
      </c>
      <c r="G448" s="2">
        <f>Datos!L448</f>
        <v>41.9</v>
      </c>
      <c r="H448" s="2">
        <f>Datos!M448</f>
        <v>56.3</v>
      </c>
      <c r="I448" s="2" t="b">
        <f t="shared" si="30"/>
        <v>1</v>
      </c>
      <c r="J448" s="2">
        <f t="shared" si="31"/>
        <v>56.3</v>
      </c>
      <c r="K448" s="2">
        <f t="shared" si="32"/>
        <v>4.5</v>
      </c>
      <c r="L448" s="2">
        <f t="shared" si="33"/>
        <v>41.9</v>
      </c>
      <c r="M448" s="2">
        <f t="shared" si="34"/>
        <v>72.2</v>
      </c>
    </row>
    <row r="449" spans="1:13" x14ac:dyDescent="0.3">
      <c r="A449" s="2">
        <f>Datos!A449</f>
        <v>23</v>
      </c>
      <c r="B449" s="2" t="str">
        <f>Datos!B449</f>
        <v>Male</v>
      </c>
      <c r="C449" s="2" t="str">
        <f>Datos!C449</f>
        <v>High School</v>
      </c>
      <c r="D449" s="2" t="str">
        <f>Datos!G449</f>
        <v>B</v>
      </c>
      <c r="E449" s="2">
        <f>Datos!I449</f>
        <v>5.6</v>
      </c>
      <c r="F449" s="2">
        <f>Datos!J449</f>
        <v>99</v>
      </c>
      <c r="G449" s="2">
        <f>Datos!L449</f>
        <v>42.9</v>
      </c>
      <c r="H449" s="2">
        <f>Datos!M449</f>
        <v>81.8</v>
      </c>
      <c r="I449" s="2" t="b">
        <f t="shared" si="30"/>
        <v>1</v>
      </c>
      <c r="J449" s="2">
        <f t="shared" si="31"/>
        <v>81.8</v>
      </c>
      <c r="K449" s="2">
        <f t="shared" si="32"/>
        <v>5.6</v>
      </c>
      <c r="L449" s="2">
        <f t="shared" si="33"/>
        <v>42.9</v>
      </c>
      <c r="M449" s="2">
        <f t="shared" si="34"/>
        <v>99</v>
      </c>
    </row>
    <row r="450" spans="1:13" x14ac:dyDescent="0.3">
      <c r="A450" s="2">
        <f>Datos!A450</f>
        <v>354</v>
      </c>
      <c r="B450" s="2" t="str">
        <f>Datos!B450</f>
        <v>Female</v>
      </c>
      <c r="C450" s="2">
        <f>Datos!C450</f>
        <v>0</v>
      </c>
      <c r="D450" s="2" t="str">
        <f>Datos!G450</f>
        <v>F</v>
      </c>
      <c r="E450" s="2">
        <f>Datos!I450</f>
        <v>0.9</v>
      </c>
      <c r="F450" s="2">
        <f>Datos!J450</f>
        <v>67.8</v>
      </c>
      <c r="G450" s="2">
        <f>Datos!L450</f>
        <v>46.7</v>
      </c>
      <c r="H450" s="2">
        <f>Datos!M450</f>
        <v>51.6</v>
      </c>
      <c r="I450" s="2" t="b">
        <f t="shared" ref="I450:I513" si="35">AND(E450&gt;=0,E450&lt;=12,F450&gt;=0,F450&lt;=100,G450&gt;=0,G450&lt;=100,H450&gt;=0,H450&lt;=100)</f>
        <v>1</v>
      </c>
      <c r="J450" s="2">
        <f t="shared" ref="J450:J513" si="36">IF(I450,H450,"")</f>
        <v>51.6</v>
      </c>
      <c r="K450" s="2">
        <f t="shared" ref="K450:K513" si="37">IF(I450,E450,"")</f>
        <v>0.9</v>
      </c>
      <c r="L450" s="2">
        <f t="shared" ref="L450:L513" si="38">IF(I450,G450,"")</f>
        <v>46.7</v>
      </c>
      <c r="M450" s="2">
        <f t="shared" ref="M450:M513" si="39">IF(I450,F450,"")</f>
        <v>67.8</v>
      </c>
    </row>
    <row r="451" spans="1:13" x14ac:dyDescent="0.3">
      <c r="A451" s="2">
        <f>Datos!A451</f>
        <v>776</v>
      </c>
      <c r="B451" s="2" t="str">
        <f>Datos!B451</f>
        <v>Female</v>
      </c>
      <c r="C451" s="2" t="str">
        <f>Datos!C451</f>
        <v>PhD</v>
      </c>
      <c r="D451" s="2" t="str">
        <f>Datos!G451</f>
        <v>D</v>
      </c>
      <c r="E451" s="2">
        <f>Datos!I451</f>
        <v>3.9</v>
      </c>
      <c r="F451" s="2">
        <f>Datos!J451</f>
        <v>92.9</v>
      </c>
      <c r="G451" s="2">
        <f>Datos!L451</f>
        <v>79.5</v>
      </c>
      <c r="H451" s="2">
        <f>Datos!M451</f>
        <v>69.7</v>
      </c>
      <c r="I451" s="2" t="b">
        <f t="shared" si="35"/>
        <v>1</v>
      </c>
      <c r="J451" s="2">
        <f t="shared" si="36"/>
        <v>69.7</v>
      </c>
      <c r="K451" s="2">
        <f t="shared" si="37"/>
        <v>3.9</v>
      </c>
      <c r="L451" s="2">
        <f t="shared" si="38"/>
        <v>79.5</v>
      </c>
      <c r="M451" s="2">
        <f t="shared" si="39"/>
        <v>92.9</v>
      </c>
    </row>
    <row r="452" spans="1:13" x14ac:dyDescent="0.3">
      <c r="A452" s="2">
        <f>Datos!A452</f>
        <v>274</v>
      </c>
      <c r="B452" s="2" t="str">
        <f>Datos!B452</f>
        <v>Female</v>
      </c>
      <c r="C452" s="2" t="str">
        <f>Datos!C452</f>
        <v>PhD</v>
      </c>
      <c r="D452" s="2" t="str">
        <f>Datos!G452</f>
        <v>C</v>
      </c>
      <c r="E452" s="2">
        <f>Datos!I452</f>
        <v>4.9000000000000004</v>
      </c>
      <c r="F452" s="2">
        <f>Datos!J452</f>
        <v>68.2</v>
      </c>
      <c r="G452" s="2">
        <f>Datos!L452</f>
        <v>70.599999999999994</v>
      </c>
      <c r="H452" s="2">
        <f>Datos!M452</f>
        <v>73.3</v>
      </c>
      <c r="I452" s="2" t="b">
        <f t="shared" si="35"/>
        <v>1</v>
      </c>
      <c r="J452" s="2">
        <f t="shared" si="36"/>
        <v>73.3</v>
      </c>
      <c r="K452" s="2">
        <f t="shared" si="37"/>
        <v>4.9000000000000004</v>
      </c>
      <c r="L452" s="2">
        <f t="shared" si="38"/>
        <v>70.599999999999994</v>
      </c>
      <c r="M452" s="2">
        <f t="shared" si="39"/>
        <v>68.2</v>
      </c>
    </row>
    <row r="453" spans="1:13" x14ac:dyDescent="0.3">
      <c r="A453" s="2">
        <f>Datos!A453</f>
        <v>284</v>
      </c>
      <c r="B453" s="2" t="str">
        <f>Datos!B453</f>
        <v>Female</v>
      </c>
      <c r="C453" s="2" t="str">
        <f>Datos!C453</f>
        <v>Bachelors</v>
      </c>
      <c r="D453" s="2" t="str">
        <f>Datos!G453</f>
        <v>C</v>
      </c>
      <c r="E453" s="2">
        <f>Datos!I453</f>
        <v>3.7</v>
      </c>
      <c r="F453" s="2">
        <f>Datos!J453</f>
        <v>87.5</v>
      </c>
      <c r="G453" s="2">
        <f>Datos!L453</f>
        <v>50.7</v>
      </c>
      <c r="H453" s="2">
        <f>Datos!M453</f>
        <v>79.900000000000006</v>
      </c>
      <c r="I453" s="2" t="b">
        <f t="shared" si="35"/>
        <v>1</v>
      </c>
      <c r="J453" s="2">
        <f t="shared" si="36"/>
        <v>79.900000000000006</v>
      </c>
      <c r="K453" s="2">
        <f t="shared" si="37"/>
        <v>3.7</v>
      </c>
      <c r="L453" s="2">
        <f t="shared" si="38"/>
        <v>50.7</v>
      </c>
      <c r="M453" s="2">
        <f t="shared" si="39"/>
        <v>87.5</v>
      </c>
    </row>
    <row r="454" spans="1:13" x14ac:dyDescent="0.3">
      <c r="A454" s="2">
        <f>Datos!A454</f>
        <v>840</v>
      </c>
      <c r="B454" s="2" t="str">
        <f>Datos!B454</f>
        <v>Male</v>
      </c>
      <c r="C454" s="2" t="str">
        <f>Datos!C454</f>
        <v>PhD</v>
      </c>
      <c r="D454" s="2" t="str">
        <f>Datos!G454</f>
        <v>B</v>
      </c>
      <c r="E454" s="2">
        <f>Datos!I454</f>
        <v>4.7</v>
      </c>
      <c r="F454" s="2">
        <f>Datos!J454</f>
        <v>98.2</v>
      </c>
      <c r="G454" s="2">
        <f>Datos!L454</f>
        <v>89.2</v>
      </c>
      <c r="H454" s="2">
        <f>Datos!M454</f>
        <v>81.2</v>
      </c>
      <c r="I454" s="2" t="b">
        <f t="shared" si="35"/>
        <v>1</v>
      </c>
      <c r="J454" s="2">
        <f t="shared" si="36"/>
        <v>81.2</v>
      </c>
      <c r="K454" s="2">
        <f t="shared" si="37"/>
        <v>4.7</v>
      </c>
      <c r="L454" s="2">
        <f t="shared" si="38"/>
        <v>89.2</v>
      </c>
      <c r="M454" s="2">
        <f t="shared" si="39"/>
        <v>98.2</v>
      </c>
    </row>
    <row r="455" spans="1:13" x14ac:dyDescent="0.3">
      <c r="A455" s="2">
        <f>Datos!A455</f>
        <v>92</v>
      </c>
      <c r="B455" s="2" t="str">
        <f>Datos!B455</f>
        <v>Male</v>
      </c>
      <c r="C455" s="2" t="str">
        <f>Datos!C455</f>
        <v>High School</v>
      </c>
      <c r="D455" s="2" t="str">
        <f>Datos!G455</f>
        <v>D</v>
      </c>
      <c r="E455" s="2">
        <f>Datos!I455</f>
        <v>4.8</v>
      </c>
      <c r="F455" s="2">
        <f>Datos!J455</f>
        <v>94.3</v>
      </c>
      <c r="G455" s="2">
        <f>Datos!L455</f>
        <v>50.2</v>
      </c>
      <c r="H455" s="2">
        <f>Datos!M455</f>
        <v>65.900000000000006</v>
      </c>
      <c r="I455" s="2" t="b">
        <f t="shared" si="35"/>
        <v>1</v>
      </c>
      <c r="J455" s="2">
        <f t="shared" si="36"/>
        <v>65.900000000000006</v>
      </c>
      <c r="K455" s="2">
        <f t="shared" si="37"/>
        <v>4.8</v>
      </c>
      <c r="L455" s="2">
        <f t="shared" si="38"/>
        <v>50.2</v>
      </c>
      <c r="M455" s="2">
        <f t="shared" si="39"/>
        <v>94.3</v>
      </c>
    </row>
    <row r="456" spans="1:13" x14ac:dyDescent="0.3">
      <c r="A456" s="2">
        <f>Datos!A456</f>
        <v>887</v>
      </c>
      <c r="B456" s="2" t="str">
        <f>Datos!B456</f>
        <v>Male</v>
      </c>
      <c r="C456" s="2">
        <f>Datos!C456</f>
        <v>0</v>
      </c>
      <c r="D456" s="2" t="str">
        <f>Datos!G456</f>
        <v>B</v>
      </c>
      <c r="E456" s="2">
        <f>Datos!I456</f>
        <v>6.1</v>
      </c>
      <c r="F456" s="2">
        <f>Datos!J456</f>
        <v>66.900000000000006</v>
      </c>
      <c r="G456" s="2">
        <f>Datos!L456</f>
        <v>67</v>
      </c>
      <c r="H456" s="2">
        <f>Datos!M456</f>
        <v>80.2</v>
      </c>
      <c r="I456" s="2" t="b">
        <f t="shared" si="35"/>
        <v>1</v>
      </c>
      <c r="J456" s="2">
        <f t="shared" si="36"/>
        <v>80.2</v>
      </c>
      <c r="K456" s="2">
        <f t="shared" si="37"/>
        <v>6.1</v>
      </c>
      <c r="L456" s="2">
        <f t="shared" si="38"/>
        <v>67</v>
      </c>
      <c r="M456" s="2">
        <f t="shared" si="39"/>
        <v>66.900000000000006</v>
      </c>
    </row>
    <row r="457" spans="1:13" x14ac:dyDescent="0.3">
      <c r="A457" s="2">
        <f>Datos!A457</f>
        <v>218</v>
      </c>
      <c r="B457" s="2" t="str">
        <f>Datos!B457</f>
        <v>Male</v>
      </c>
      <c r="C457" s="2" t="str">
        <f>Datos!C457</f>
        <v>Bachelors</v>
      </c>
      <c r="D457" s="2" t="str">
        <f>Datos!G457</f>
        <v>F</v>
      </c>
      <c r="E457" s="2">
        <f>Datos!I457</f>
        <v>1</v>
      </c>
      <c r="F457" s="2">
        <f>Datos!J457</f>
        <v>94.7</v>
      </c>
      <c r="G457" s="2">
        <f>Datos!L457</f>
        <v>44.2</v>
      </c>
      <c r="H457" s="2">
        <f>Datos!M457</f>
        <v>49</v>
      </c>
      <c r="I457" s="2" t="b">
        <f t="shared" si="35"/>
        <v>1</v>
      </c>
      <c r="J457" s="2">
        <f t="shared" si="36"/>
        <v>49</v>
      </c>
      <c r="K457" s="2">
        <f t="shared" si="37"/>
        <v>1</v>
      </c>
      <c r="L457" s="2">
        <f t="shared" si="38"/>
        <v>44.2</v>
      </c>
      <c r="M457" s="2">
        <f t="shared" si="39"/>
        <v>94.7</v>
      </c>
    </row>
    <row r="458" spans="1:13" x14ac:dyDescent="0.3">
      <c r="A458" s="2">
        <f>Datos!A458</f>
        <v>514</v>
      </c>
      <c r="B458" s="2" t="str">
        <f>Datos!B458</f>
        <v>Female</v>
      </c>
      <c r="C458" s="2" t="str">
        <f>Datos!C458</f>
        <v>High School</v>
      </c>
      <c r="D458" s="2" t="str">
        <f>Datos!G458</f>
        <v>F</v>
      </c>
      <c r="E458" s="2">
        <f>Datos!I458</f>
        <v>1.8</v>
      </c>
      <c r="F458" s="2">
        <f>Datos!J458</f>
        <v>74.3</v>
      </c>
      <c r="G458" s="2">
        <f>Datos!L458</f>
        <v>66.75</v>
      </c>
      <c r="H458" s="2">
        <f>Datos!M458</f>
        <v>59.1</v>
      </c>
      <c r="I458" s="2" t="b">
        <f t="shared" si="35"/>
        <v>1</v>
      </c>
      <c r="J458" s="2">
        <f t="shared" si="36"/>
        <v>59.1</v>
      </c>
      <c r="K458" s="2">
        <f t="shared" si="37"/>
        <v>1.8</v>
      </c>
      <c r="L458" s="2">
        <f t="shared" si="38"/>
        <v>66.75</v>
      </c>
      <c r="M458" s="2">
        <f t="shared" si="39"/>
        <v>74.3</v>
      </c>
    </row>
    <row r="459" spans="1:13" x14ac:dyDescent="0.3">
      <c r="A459" s="2">
        <f>Datos!A459</f>
        <v>525</v>
      </c>
      <c r="B459" s="2" t="str">
        <f>Datos!B459</f>
        <v>Male</v>
      </c>
      <c r="C459" s="2" t="str">
        <f>Datos!C459</f>
        <v>High School</v>
      </c>
      <c r="D459" s="2" t="str">
        <f>Datos!G459</f>
        <v>A</v>
      </c>
      <c r="E459" s="2">
        <f>Datos!I459</f>
        <v>4.4000000000000004</v>
      </c>
      <c r="F459" s="2">
        <f>Datos!J459</f>
        <v>79.400000000000006</v>
      </c>
      <c r="G459" s="2">
        <f>Datos!L459</f>
        <v>89.6</v>
      </c>
      <c r="H459" s="2">
        <f>Datos!M459</f>
        <v>98.6</v>
      </c>
      <c r="I459" s="2" t="b">
        <f t="shared" si="35"/>
        <v>1</v>
      </c>
      <c r="J459" s="2">
        <f t="shared" si="36"/>
        <v>98.6</v>
      </c>
      <c r="K459" s="2">
        <f t="shared" si="37"/>
        <v>4.4000000000000004</v>
      </c>
      <c r="L459" s="2">
        <f t="shared" si="38"/>
        <v>89.6</v>
      </c>
      <c r="M459" s="2">
        <f t="shared" si="39"/>
        <v>79.400000000000006</v>
      </c>
    </row>
    <row r="460" spans="1:13" x14ac:dyDescent="0.3">
      <c r="A460" s="2">
        <f>Datos!A460</f>
        <v>58</v>
      </c>
      <c r="B460" s="2" t="str">
        <f>Datos!B460</f>
        <v>Male</v>
      </c>
      <c r="C460" s="2">
        <f>Datos!C460</f>
        <v>0</v>
      </c>
      <c r="D460" s="2" t="str">
        <f>Datos!G460</f>
        <v>F</v>
      </c>
      <c r="E460" s="2">
        <f>Datos!I460</f>
        <v>2.5</v>
      </c>
      <c r="F460" s="2">
        <f>Datos!J460</f>
        <v>83.5</v>
      </c>
      <c r="G460" s="2">
        <f>Datos!L460</f>
        <v>44.2</v>
      </c>
      <c r="H460" s="2">
        <f>Datos!M460</f>
        <v>53.4</v>
      </c>
      <c r="I460" s="2" t="b">
        <f t="shared" si="35"/>
        <v>1</v>
      </c>
      <c r="J460" s="2">
        <f t="shared" si="36"/>
        <v>53.4</v>
      </c>
      <c r="K460" s="2">
        <f t="shared" si="37"/>
        <v>2.5</v>
      </c>
      <c r="L460" s="2">
        <f t="shared" si="38"/>
        <v>44.2</v>
      </c>
      <c r="M460" s="2">
        <f t="shared" si="39"/>
        <v>83.5</v>
      </c>
    </row>
    <row r="461" spans="1:13" x14ac:dyDescent="0.3">
      <c r="A461" s="2">
        <f>Datos!A461</f>
        <v>360</v>
      </c>
      <c r="B461" s="2" t="str">
        <f>Datos!B461</f>
        <v>Male</v>
      </c>
      <c r="C461" s="2" t="str">
        <f>Datos!C461</f>
        <v>High School</v>
      </c>
      <c r="D461" s="2" t="str">
        <f>Datos!G461</f>
        <v>D</v>
      </c>
      <c r="E461" s="2">
        <f>Datos!I461</f>
        <v>2.8</v>
      </c>
      <c r="F461" s="2">
        <f>Datos!J461</f>
        <v>76.3</v>
      </c>
      <c r="G461" s="2">
        <f>Datos!L461</f>
        <v>41.9</v>
      </c>
      <c r="H461" s="2">
        <f>Datos!M461</f>
        <v>69.7</v>
      </c>
      <c r="I461" s="2" t="b">
        <f t="shared" si="35"/>
        <v>1</v>
      </c>
      <c r="J461" s="2">
        <f t="shared" si="36"/>
        <v>69.7</v>
      </c>
      <c r="K461" s="2">
        <f t="shared" si="37"/>
        <v>2.8</v>
      </c>
      <c r="L461" s="2">
        <f t="shared" si="38"/>
        <v>41.9</v>
      </c>
      <c r="M461" s="2">
        <f t="shared" si="39"/>
        <v>76.3</v>
      </c>
    </row>
    <row r="462" spans="1:13" x14ac:dyDescent="0.3">
      <c r="A462" s="2">
        <f>Datos!A462</f>
        <v>437</v>
      </c>
      <c r="B462" s="2" t="str">
        <f>Datos!B462</f>
        <v>Female</v>
      </c>
      <c r="C462" s="2">
        <f>Datos!C462</f>
        <v>0</v>
      </c>
      <c r="D462" s="2" t="str">
        <f>Datos!G462</f>
        <v>D</v>
      </c>
      <c r="E462" s="2">
        <f>Datos!I462</f>
        <v>3.7</v>
      </c>
      <c r="F462" s="2">
        <f>Datos!J462</f>
        <v>74.2</v>
      </c>
      <c r="G462" s="2">
        <f>Datos!L462</f>
        <v>39.4</v>
      </c>
      <c r="H462" s="2">
        <f>Datos!M462</f>
        <v>63.9</v>
      </c>
      <c r="I462" s="2" t="b">
        <f t="shared" si="35"/>
        <v>1</v>
      </c>
      <c r="J462" s="2">
        <f t="shared" si="36"/>
        <v>63.9</v>
      </c>
      <c r="K462" s="2">
        <f t="shared" si="37"/>
        <v>3.7</v>
      </c>
      <c r="L462" s="2">
        <f t="shared" si="38"/>
        <v>39.4</v>
      </c>
      <c r="M462" s="2">
        <f t="shared" si="39"/>
        <v>74.2</v>
      </c>
    </row>
    <row r="463" spans="1:13" x14ac:dyDescent="0.3">
      <c r="A463" s="2">
        <f>Datos!A463</f>
        <v>307</v>
      </c>
      <c r="B463" s="2" t="str">
        <f>Datos!B463</f>
        <v>Female</v>
      </c>
      <c r="C463" s="2" t="str">
        <f>Datos!C463</f>
        <v>Masters</v>
      </c>
      <c r="D463" s="2" t="str">
        <f>Datos!G463</f>
        <v>C</v>
      </c>
      <c r="E463" s="2">
        <f>Datos!I463</f>
        <v>4.9000000000000004</v>
      </c>
      <c r="F463" s="2">
        <f>Datos!J463</f>
        <v>83.4</v>
      </c>
      <c r="G463" s="2">
        <f>Datos!L463</f>
        <v>39.299999999999997</v>
      </c>
      <c r="H463" s="2">
        <f>Datos!M463</f>
        <v>78.400000000000006</v>
      </c>
      <c r="I463" s="2" t="b">
        <f t="shared" si="35"/>
        <v>1</v>
      </c>
      <c r="J463" s="2">
        <f t="shared" si="36"/>
        <v>78.400000000000006</v>
      </c>
      <c r="K463" s="2">
        <f t="shared" si="37"/>
        <v>4.9000000000000004</v>
      </c>
      <c r="L463" s="2">
        <f t="shared" si="38"/>
        <v>39.299999999999997</v>
      </c>
      <c r="M463" s="2">
        <f t="shared" si="39"/>
        <v>83.4</v>
      </c>
    </row>
    <row r="464" spans="1:13" x14ac:dyDescent="0.3">
      <c r="A464" s="2">
        <f>Datos!A464</f>
        <v>894</v>
      </c>
      <c r="B464" s="2" t="str">
        <f>Datos!B464</f>
        <v>Male</v>
      </c>
      <c r="C464" s="2" t="str">
        <f>Datos!C464</f>
        <v>Bachelors</v>
      </c>
      <c r="D464" s="2" t="str">
        <f>Datos!G464</f>
        <v>C</v>
      </c>
      <c r="E464" s="2">
        <f>Datos!I464</f>
        <v>4.3</v>
      </c>
      <c r="F464" s="2">
        <f>Datos!J464</f>
        <v>75.7</v>
      </c>
      <c r="G464" s="2">
        <f>Datos!L464</f>
        <v>67.599999999999994</v>
      </c>
      <c r="H464" s="2">
        <f>Datos!M464</f>
        <v>76.599999999999994</v>
      </c>
      <c r="I464" s="2" t="b">
        <f t="shared" si="35"/>
        <v>1</v>
      </c>
      <c r="J464" s="2">
        <f t="shared" si="36"/>
        <v>76.599999999999994</v>
      </c>
      <c r="K464" s="2">
        <f t="shared" si="37"/>
        <v>4.3</v>
      </c>
      <c r="L464" s="2">
        <f t="shared" si="38"/>
        <v>67.599999999999994</v>
      </c>
      <c r="M464" s="2">
        <f t="shared" si="39"/>
        <v>75.7</v>
      </c>
    </row>
    <row r="465" spans="1:13" x14ac:dyDescent="0.3">
      <c r="A465" s="2">
        <f>Datos!A465</f>
        <v>576</v>
      </c>
      <c r="B465" s="2" t="str">
        <f>Datos!B465</f>
        <v>Male</v>
      </c>
      <c r="C465" s="2">
        <f>Datos!C465</f>
        <v>0</v>
      </c>
      <c r="D465" s="2" t="str">
        <f>Datos!G465</f>
        <v>B</v>
      </c>
      <c r="E465" s="2">
        <f>Datos!I465</f>
        <v>3.9</v>
      </c>
      <c r="F465" s="2">
        <f>Datos!J465</f>
        <v>96.3</v>
      </c>
      <c r="G465" s="2">
        <f>Datos!L465</f>
        <v>75.5</v>
      </c>
      <c r="H465" s="2">
        <f>Datos!M465</f>
        <v>81.599999999999994</v>
      </c>
      <c r="I465" s="2" t="b">
        <f t="shared" si="35"/>
        <v>1</v>
      </c>
      <c r="J465" s="2">
        <f t="shared" si="36"/>
        <v>81.599999999999994</v>
      </c>
      <c r="K465" s="2">
        <f t="shared" si="37"/>
        <v>3.9</v>
      </c>
      <c r="L465" s="2">
        <f t="shared" si="38"/>
        <v>75.5</v>
      </c>
      <c r="M465" s="2">
        <f t="shared" si="39"/>
        <v>96.3</v>
      </c>
    </row>
    <row r="466" spans="1:13" x14ac:dyDescent="0.3">
      <c r="A466" s="2">
        <f>Datos!A466</f>
        <v>345</v>
      </c>
      <c r="B466" s="2" t="str">
        <f>Datos!B466</f>
        <v>Male</v>
      </c>
      <c r="C466" s="2" t="str">
        <f>Datos!C466</f>
        <v>PhD</v>
      </c>
      <c r="D466" s="2" t="str">
        <f>Datos!G466</f>
        <v>A</v>
      </c>
      <c r="E466" s="2">
        <f>Datos!I466</f>
        <v>5.4</v>
      </c>
      <c r="F466" s="2">
        <f>Datos!J466</f>
        <v>87.4</v>
      </c>
      <c r="G466" s="2">
        <f>Datos!L466</f>
        <v>91.3</v>
      </c>
      <c r="H466" s="2">
        <f>Datos!M466</f>
        <v>93.7</v>
      </c>
      <c r="I466" s="2" t="b">
        <f t="shared" si="35"/>
        <v>1</v>
      </c>
      <c r="J466" s="2">
        <f t="shared" si="36"/>
        <v>93.7</v>
      </c>
      <c r="K466" s="2">
        <f t="shared" si="37"/>
        <v>5.4</v>
      </c>
      <c r="L466" s="2">
        <f t="shared" si="38"/>
        <v>91.3</v>
      </c>
      <c r="M466" s="2">
        <f t="shared" si="39"/>
        <v>87.4</v>
      </c>
    </row>
    <row r="467" spans="1:13" x14ac:dyDescent="0.3">
      <c r="A467" s="2">
        <f>Datos!A467</f>
        <v>189</v>
      </c>
      <c r="B467" s="2" t="str">
        <f>Datos!B467</f>
        <v>Male</v>
      </c>
      <c r="C467" s="2" t="str">
        <f>Datos!C467</f>
        <v>Bachelors</v>
      </c>
      <c r="D467" s="2" t="str">
        <f>Datos!G467</f>
        <v>D</v>
      </c>
      <c r="E467" s="2">
        <f>Datos!I467</f>
        <v>1.7</v>
      </c>
      <c r="F467" s="2">
        <f>Datos!J467</f>
        <v>92.8</v>
      </c>
      <c r="G467" s="2">
        <f>Datos!L467</f>
        <v>56.1</v>
      </c>
      <c r="H467" s="2">
        <f>Datos!M467</f>
        <v>67.5</v>
      </c>
      <c r="I467" s="2" t="b">
        <f t="shared" si="35"/>
        <v>1</v>
      </c>
      <c r="J467" s="2">
        <f t="shared" si="36"/>
        <v>67.5</v>
      </c>
      <c r="K467" s="2">
        <f t="shared" si="37"/>
        <v>1.7</v>
      </c>
      <c r="L467" s="2">
        <f t="shared" si="38"/>
        <v>56.1</v>
      </c>
      <c r="M467" s="2">
        <f t="shared" si="39"/>
        <v>92.8</v>
      </c>
    </row>
    <row r="468" spans="1:13" x14ac:dyDescent="0.3">
      <c r="A468" s="2">
        <f>Datos!A468</f>
        <v>203</v>
      </c>
      <c r="B468" s="2" t="str">
        <f>Datos!B468</f>
        <v>Female</v>
      </c>
      <c r="C468" s="2" t="str">
        <f>Datos!C468</f>
        <v>Bachelors</v>
      </c>
      <c r="D468" s="2" t="str">
        <f>Datos!G468</f>
        <v>A</v>
      </c>
      <c r="E468" s="2">
        <f>Datos!I468</f>
        <v>3.9</v>
      </c>
      <c r="F468" s="2">
        <f>Datos!J468</f>
        <v>86.1</v>
      </c>
      <c r="G468" s="2">
        <f>Datos!L468</f>
        <v>90.3</v>
      </c>
      <c r="H468" s="2">
        <f>Datos!M468</f>
        <v>73</v>
      </c>
      <c r="I468" s="2" t="b">
        <f t="shared" si="35"/>
        <v>1</v>
      </c>
      <c r="J468" s="2">
        <f t="shared" si="36"/>
        <v>73</v>
      </c>
      <c r="K468" s="2">
        <f t="shared" si="37"/>
        <v>3.9</v>
      </c>
      <c r="L468" s="2">
        <f t="shared" si="38"/>
        <v>90.3</v>
      </c>
      <c r="M468" s="2">
        <f t="shared" si="39"/>
        <v>86.1</v>
      </c>
    </row>
    <row r="469" spans="1:13" x14ac:dyDescent="0.3">
      <c r="A469" s="2">
        <f>Datos!A469</f>
        <v>83</v>
      </c>
      <c r="B469" s="2" t="str">
        <f>Datos!B469</f>
        <v>Male</v>
      </c>
      <c r="C469" s="2">
        <f>Datos!C469</f>
        <v>0</v>
      </c>
      <c r="D469" s="2" t="str">
        <f>Datos!G469</f>
        <v>C</v>
      </c>
      <c r="E469" s="2">
        <f>Datos!I469</f>
        <v>6.1</v>
      </c>
      <c r="F469" s="2">
        <f>Datos!J469</f>
        <v>65</v>
      </c>
      <c r="G469" s="2">
        <f>Datos!L469</f>
        <v>81.8</v>
      </c>
      <c r="H469" s="2">
        <f>Datos!M469</f>
        <v>79.2</v>
      </c>
      <c r="I469" s="2" t="b">
        <f t="shared" si="35"/>
        <v>1</v>
      </c>
      <c r="J469" s="2">
        <f t="shared" si="36"/>
        <v>79.2</v>
      </c>
      <c r="K469" s="2">
        <f t="shared" si="37"/>
        <v>6.1</v>
      </c>
      <c r="L469" s="2">
        <f t="shared" si="38"/>
        <v>81.8</v>
      </c>
      <c r="M469" s="2">
        <f t="shared" si="39"/>
        <v>65</v>
      </c>
    </row>
    <row r="470" spans="1:13" x14ac:dyDescent="0.3">
      <c r="A470" s="2">
        <f>Datos!A470</f>
        <v>187</v>
      </c>
      <c r="B470" s="2" t="str">
        <f>Datos!B470</f>
        <v>Female</v>
      </c>
      <c r="C470" s="2" t="str">
        <f>Datos!C470</f>
        <v>Bachelors</v>
      </c>
      <c r="D470" s="2" t="str">
        <f>Datos!G470</f>
        <v>C</v>
      </c>
      <c r="E470" s="2">
        <f>Datos!I470</f>
        <v>6.2</v>
      </c>
      <c r="F470" s="2">
        <f>Datos!J470</f>
        <v>83.5</v>
      </c>
      <c r="G470" s="2">
        <f>Datos!L470</f>
        <v>66.75</v>
      </c>
      <c r="H470" s="2">
        <f>Datos!M470</f>
        <v>70</v>
      </c>
      <c r="I470" s="2" t="b">
        <f t="shared" si="35"/>
        <v>1</v>
      </c>
      <c r="J470" s="2">
        <f t="shared" si="36"/>
        <v>70</v>
      </c>
      <c r="K470" s="2">
        <f t="shared" si="37"/>
        <v>6.2</v>
      </c>
      <c r="L470" s="2">
        <f t="shared" si="38"/>
        <v>66.75</v>
      </c>
      <c r="M470" s="2">
        <f t="shared" si="39"/>
        <v>83.5</v>
      </c>
    </row>
    <row r="471" spans="1:13" x14ac:dyDescent="0.3">
      <c r="A471" s="2">
        <f>Datos!A471</f>
        <v>685</v>
      </c>
      <c r="B471" s="2" t="str">
        <f>Datos!B471</f>
        <v>Female</v>
      </c>
      <c r="C471" s="2" t="str">
        <f>Datos!C471</f>
        <v>Bachelors</v>
      </c>
      <c r="D471" s="2" t="str">
        <f>Datos!G471</f>
        <v>D</v>
      </c>
      <c r="E471" s="2">
        <f>Datos!I471</f>
        <v>3.3</v>
      </c>
      <c r="F471" s="2">
        <f>Datos!J471</f>
        <v>99.7</v>
      </c>
      <c r="G471" s="2">
        <f>Datos!L471</f>
        <v>37.200000000000003</v>
      </c>
      <c r="H471" s="2">
        <f>Datos!M471</f>
        <v>64</v>
      </c>
      <c r="I471" s="2" t="b">
        <f t="shared" si="35"/>
        <v>1</v>
      </c>
      <c r="J471" s="2">
        <f t="shared" si="36"/>
        <v>64</v>
      </c>
      <c r="K471" s="2">
        <f t="shared" si="37"/>
        <v>3.3</v>
      </c>
      <c r="L471" s="2">
        <f t="shared" si="38"/>
        <v>37.200000000000003</v>
      </c>
      <c r="M471" s="2">
        <f t="shared" si="39"/>
        <v>99.7</v>
      </c>
    </row>
    <row r="472" spans="1:13" x14ac:dyDescent="0.3">
      <c r="A472" s="2">
        <f>Datos!A472</f>
        <v>150</v>
      </c>
      <c r="B472" s="2" t="str">
        <f>Datos!B472</f>
        <v>Female</v>
      </c>
      <c r="C472" s="2" t="str">
        <f>Datos!C472</f>
        <v>PhD</v>
      </c>
      <c r="D472" s="2" t="str">
        <f>Datos!G472</f>
        <v>B</v>
      </c>
      <c r="E472" s="2">
        <f>Datos!I472</f>
        <v>4.4000000000000004</v>
      </c>
      <c r="F472" s="2">
        <f>Datos!J472</f>
        <v>79.900000000000006</v>
      </c>
      <c r="G472" s="2">
        <f>Datos!L472</f>
        <v>85.3</v>
      </c>
      <c r="H472" s="2">
        <f>Datos!M472</f>
        <v>83.7</v>
      </c>
      <c r="I472" s="2" t="b">
        <f t="shared" si="35"/>
        <v>1</v>
      </c>
      <c r="J472" s="2">
        <f t="shared" si="36"/>
        <v>83.7</v>
      </c>
      <c r="K472" s="2">
        <f t="shared" si="37"/>
        <v>4.4000000000000004</v>
      </c>
      <c r="L472" s="2">
        <f t="shared" si="38"/>
        <v>85.3</v>
      </c>
      <c r="M472" s="2">
        <f t="shared" si="39"/>
        <v>79.900000000000006</v>
      </c>
    </row>
    <row r="473" spans="1:13" x14ac:dyDescent="0.3">
      <c r="A473" s="2">
        <f>Datos!A473</f>
        <v>811</v>
      </c>
      <c r="B473" s="2" t="str">
        <f>Datos!B473</f>
        <v>Female</v>
      </c>
      <c r="C473" s="2" t="str">
        <f>Datos!C473</f>
        <v>Bachelors</v>
      </c>
      <c r="D473" s="2" t="str">
        <f>Datos!G473</f>
        <v>B</v>
      </c>
      <c r="E473" s="2">
        <f>Datos!I473</f>
        <v>3.1</v>
      </c>
      <c r="F473" s="2">
        <f>Datos!J473</f>
        <v>78.5</v>
      </c>
      <c r="G473" s="2">
        <f>Datos!L473</f>
        <v>45.4</v>
      </c>
      <c r="H473" s="2">
        <f>Datos!M473</f>
        <v>80</v>
      </c>
      <c r="I473" s="2" t="b">
        <f t="shared" si="35"/>
        <v>1</v>
      </c>
      <c r="J473" s="2">
        <f t="shared" si="36"/>
        <v>80</v>
      </c>
      <c r="K473" s="2">
        <f t="shared" si="37"/>
        <v>3.1</v>
      </c>
      <c r="L473" s="2">
        <f t="shared" si="38"/>
        <v>45.4</v>
      </c>
      <c r="M473" s="2">
        <f t="shared" si="39"/>
        <v>78.5</v>
      </c>
    </row>
    <row r="474" spans="1:13" x14ac:dyDescent="0.3">
      <c r="A474" s="2">
        <f>Datos!A474</f>
        <v>74</v>
      </c>
      <c r="B474" s="2" t="str">
        <f>Datos!B474</f>
        <v>Male</v>
      </c>
      <c r="C474" s="2" t="str">
        <f>Datos!C474</f>
        <v>High School</v>
      </c>
      <c r="D474" s="2" t="str">
        <f>Datos!G474</f>
        <v>B</v>
      </c>
      <c r="E474" s="2">
        <f>Datos!I474</f>
        <v>2.2999999999999998</v>
      </c>
      <c r="F474" s="2">
        <f>Datos!J474</f>
        <v>96</v>
      </c>
      <c r="G474" s="2">
        <f>Datos!L474</f>
        <v>83.4</v>
      </c>
      <c r="H474" s="2">
        <f>Datos!M474</f>
        <v>85.7</v>
      </c>
      <c r="I474" s="2" t="b">
        <f t="shared" si="35"/>
        <v>1</v>
      </c>
      <c r="J474" s="2">
        <f t="shared" si="36"/>
        <v>85.7</v>
      </c>
      <c r="K474" s="2">
        <f t="shared" si="37"/>
        <v>2.2999999999999998</v>
      </c>
      <c r="L474" s="2">
        <f t="shared" si="38"/>
        <v>83.4</v>
      </c>
      <c r="M474" s="2">
        <f t="shared" si="39"/>
        <v>96</v>
      </c>
    </row>
    <row r="475" spans="1:13" x14ac:dyDescent="0.3">
      <c r="A475" s="2">
        <f>Datos!A475</f>
        <v>945</v>
      </c>
      <c r="B475" s="2" t="str">
        <f>Datos!B475</f>
        <v>Female</v>
      </c>
      <c r="C475" s="2" t="str">
        <f>Datos!C475</f>
        <v>High School</v>
      </c>
      <c r="D475" s="2" t="str">
        <f>Datos!G475</f>
        <v>C</v>
      </c>
      <c r="E475" s="2">
        <f>Datos!I475</f>
        <v>4.2</v>
      </c>
      <c r="F475" s="2">
        <f>Datos!J475</f>
        <v>97.5</v>
      </c>
      <c r="G475" s="2">
        <f>Datos!L475</f>
        <v>56.9</v>
      </c>
      <c r="H475" s="2">
        <f>Datos!M475</f>
        <v>76</v>
      </c>
      <c r="I475" s="2" t="b">
        <f t="shared" si="35"/>
        <v>1</v>
      </c>
      <c r="J475" s="2">
        <f t="shared" si="36"/>
        <v>76</v>
      </c>
      <c r="K475" s="2">
        <f t="shared" si="37"/>
        <v>4.2</v>
      </c>
      <c r="L475" s="2">
        <f t="shared" si="38"/>
        <v>56.9</v>
      </c>
      <c r="M475" s="2">
        <f t="shared" si="39"/>
        <v>97.5</v>
      </c>
    </row>
    <row r="476" spans="1:13" x14ac:dyDescent="0.3">
      <c r="A476" s="2">
        <f>Datos!A476</f>
        <v>486</v>
      </c>
      <c r="B476" s="2" t="str">
        <f>Datos!B476</f>
        <v>Male</v>
      </c>
      <c r="C476" s="2">
        <f>Datos!C476</f>
        <v>0</v>
      </c>
      <c r="D476" s="2" t="str">
        <f>Datos!G476</f>
        <v>B</v>
      </c>
      <c r="E476" s="2">
        <f>Datos!I476</f>
        <v>5.2</v>
      </c>
      <c r="F476" s="2">
        <f>Datos!J476</f>
        <v>71.8</v>
      </c>
      <c r="G476" s="2">
        <f>Datos!L476</f>
        <v>48.5</v>
      </c>
      <c r="H476" s="2">
        <f>Datos!M476</f>
        <v>83.8</v>
      </c>
      <c r="I476" s="2" t="b">
        <f t="shared" si="35"/>
        <v>1</v>
      </c>
      <c r="J476" s="2">
        <f t="shared" si="36"/>
        <v>83.8</v>
      </c>
      <c r="K476" s="2">
        <f t="shared" si="37"/>
        <v>5.2</v>
      </c>
      <c r="L476" s="2">
        <f t="shared" si="38"/>
        <v>48.5</v>
      </c>
      <c r="M476" s="2">
        <f t="shared" si="39"/>
        <v>71.8</v>
      </c>
    </row>
    <row r="477" spans="1:13" x14ac:dyDescent="0.3">
      <c r="A477" s="2">
        <f>Datos!A477</f>
        <v>515</v>
      </c>
      <c r="B477" s="2" t="str">
        <f>Datos!B477</f>
        <v>Female</v>
      </c>
      <c r="C477" s="2" t="str">
        <f>Datos!C477</f>
        <v>High School</v>
      </c>
      <c r="D477" s="2" t="str">
        <f>Datos!G477</f>
        <v>D</v>
      </c>
      <c r="E477" s="2">
        <f>Datos!I477</f>
        <v>5</v>
      </c>
      <c r="F477" s="2">
        <f>Datos!J477</f>
        <v>71.2</v>
      </c>
      <c r="G477" s="2">
        <f>Datos!L477</f>
        <v>37.299999999999997</v>
      </c>
      <c r="H477" s="2">
        <f>Datos!M477</f>
        <v>65.400000000000006</v>
      </c>
      <c r="I477" s="2" t="b">
        <f t="shared" si="35"/>
        <v>1</v>
      </c>
      <c r="J477" s="2">
        <f t="shared" si="36"/>
        <v>65.400000000000006</v>
      </c>
      <c r="K477" s="2">
        <f t="shared" si="37"/>
        <v>5</v>
      </c>
      <c r="L477" s="2">
        <f t="shared" si="38"/>
        <v>37.299999999999997</v>
      </c>
      <c r="M477" s="2">
        <f t="shared" si="39"/>
        <v>71.2</v>
      </c>
    </row>
    <row r="478" spans="1:13" x14ac:dyDescent="0.3">
      <c r="A478" s="2">
        <f>Datos!A478</f>
        <v>69</v>
      </c>
      <c r="B478" s="2" t="str">
        <f>Datos!B478</f>
        <v>Male</v>
      </c>
      <c r="C478" s="2" t="str">
        <f>Datos!C478</f>
        <v>High School</v>
      </c>
      <c r="D478" s="2" t="str">
        <f>Datos!G478</f>
        <v>B</v>
      </c>
      <c r="E478" s="2">
        <f>Datos!I478</f>
        <v>5.3</v>
      </c>
      <c r="F478" s="2">
        <f>Datos!J478</f>
        <v>91.2</v>
      </c>
      <c r="G478" s="2">
        <f>Datos!L478</f>
        <v>64.400000000000006</v>
      </c>
      <c r="H478" s="2">
        <f>Datos!M478</f>
        <v>67.7</v>
      </c>
      <c r="I478" s="2" t="b">
        <f t="shared" si="35"/>
        <v>1</v>
      </c>
      <c r="J478" s="2">
        <f t="shared" si="36"/>
        <v>67.7</v>
      </c>
      <c r="K478" s="2">
        <f t="shared" si="37"/>
        <v>5.3</v>
      </c>
      <c r="L478" s="2">
        <f t="shared" si="38"/>
        <v>64.400000000000006</v>
      </c>
      <c r="M478" s="2">
        <f t="shared" si="39"/>
        <v>91.2</v>
      </c>
    </row>
    <row r="479" spans="1:13" x14ac:dyDescent="0.3">
      <c r="A479" s="2">
        <f>Datos!A479</f>
        <v>51</v>
      </c>
      <c r="B479" s="2" t="str">
        <f>Datos!B479</f>
        <v>Male</v>
      </c>
      <c r="C479" s="2" t="str">
        <f>Datos!C479</f>
        <v>Masters</v>
      </c>
      <c r="D479" s="2" t="str">
        <f>Datos!G479</f>
        <v>D</v>
      </c>
      <c r="E479" s="2">
        <f>Datos!I479</f>
        <v>1.6</v>
      </c>
      <c r="F479" s="2">
        <f>Datos!J479</f>
        <v>68.2</v>
      </c>
      <c r="G479" s="2">
        <f>Datos!L479</f>
        <v>73.2</v>
      </c>
      <c r="H479" s="2">
        <f>Datos!M479</f>
        <v>61.6</v>
      </c>
      <c r="I479" s="2" t="b">
        <f t="shared" si="35"/>
        <v>1</v>
      </c>
      <c r="J479" s="2">
        <f t="shared" si="36"/>
        <v>61.6</v>
      </c>
      <c r="K479" s="2">
        <f t="shared" si="37"/>
        <v>1.6</v>
      </c>
      <c r="L479" s="2">
        <f t="shared" si="38"/>
        <v>73.2</v>
      </c>
      <c r="M479" s="2">
        <f t="shared" si="39"/>
        <v>68.2</v>
      </c>
    </row>
    <row r="480" spans="1:13" x14ac:dyDescent="0.3">
      <c r="A480" s="2">
        <f>Datos!A480</f>
        <v>285</v>
      </c>
      <c r="B480" s="2" t="str">
        <f>Datos!B480</f>
        <v>Female</v>
      </c>
      <c r="C480" s="2">
        <f>Datos!C480</f>
        <v>0</v>
      </c>
      <c r="D480" s="2" t="str">
        <f>Datos!G480</f>
        <v>B</v>
      </c>
      <c r="E480" s="2">
        <f>Datos!I480</f>
        <v>4.5</v>
      </c>
      <c r="F480" s="2">
        <f>Datos!J480</f>
        <v>88.7</v>
      </c>
      <c r="G480" s="2">
        <f>Datos!L480</f>
        <v>37.5</v>
      </c>
      <c r="H480" s="2">
        <f>Datos!M480</f>
        <v>81.2</v>
      </c>
      <c r="I480" s="2" t="b">
        <f t="shared" si="35"/>
        <v>1</v>
      </c>
      <c r="J480" s="2">
        <f t="shared" si="36"/>
        <v>81.2</v>
      </c>
      <c r="K480" s="2">
        <f t="shared" si="37"/>
        <v>4.5</v>
      </c>
      <c r="L480" s="2">
        <f t="shared" si="38"/>
        <v>37.5</v>
      </c>
      <c r="M480" s="2">
        <f t="shared" si="39"/>
        <v>88.7</v>
      </c>
    </row>
    <row r="481" spans="1:13" x14ac:dyDescent="0.3">
      <c r="A481" s="2">
        <f>Datos!A481</f>
        <v>327</v>
      </c>
      <c r="B481" s="2" t="str">
        <f>Datos!B481</f>
        <v>Female</v>
      </c>
      <c r="C481" s="2" t="str">
        <f>Datos!C481</f>
        <v>High School</v>
      </c>
      <c r="D481" s="2" t="str">
        <f>Datos!G481</f>
        <v>D</v>
      </c>
      <c r="E481" s="2">
        <f>Datos!I481</f>
        <v>0.6</v>
      </c>
      <c r="F481" s="2">
        <f>Datos!J481</f>
        <v>99.5</v>
      </c>
      <c r="G481" s="2">
        <f>Datos!L481</f>
        <v>60.1</v>
      </c>
      <c r="H481" s="2">
        <f>Datos!M481</f>
        <v>64.2</v>
      </c>
      <c r="I481" s="2" t="b">
        <f t="shared" si="35"/>
        <v>1</v>
      </c>
      <c r="J481" s="2">
        <f t="shared" si="36"/>
        <v>64.2</v>
      </c>
      <c r="K481" s="2">
        <f t="shared" si="37"/>
        <v>0.6</v>
      </c>
      <c r="L481" s="2">
        <f t="shared" si="38"/>
        <v>60.1</v>
      </c>
      <c r="M481" s="2">
        <f t="shared" si="39"/>
        <v>99.5</v>
      </c>
    </row>
    <row r="482" spans="1:13" x14ac:dyDescent="0.3">
      <c r="A482" s="2">
        <f>Datos!A482</f>
        <v>857</v>
      </c>
      <c r="B482" s="2" t="str">
        <f>Datos!B482</f>
        <v>Male</v>
      </c>
      <c r="C482" s="2">
        <f>Datos!C482</f>
        <v>0</v>
      </c>
      <c r="D482" s="2" t="str">
        <f>Datos!G482</f>
        <v>D</v>
      </c>
      <c r="E482" s="2">
        <f>Datos!I482</f>
        <v>3.1</v>
      </c>
      <c r="F482" s="2">
        <f>Datos!J482</f>
        <v>95</v>
      </c>
      <c r="G482" s="2">
        <f>Datos!L482</f>
        <v>44.1</v>
      </c>
      <c r="H482" s="2">
        <f>Datos!M482</f>
        <v>62.7</v>
      </c>
      <c r="I482" s="2" t="b">
        <f t="shared" si="35"/>
        <v>1</v>
      </c>
      <c r="J482" s="2">
        <f t="shared" si="36"/>
        <v>62.7</v>
      </c>
      <c r="K482" s="2">
        <f t="shared" si="37"/>
        <v>3.1</v>
      </c>
      <c r="L482" s="2">
        <f t="shared" si="38"/>
        <v>44.1</v>
      </c>
      <c r="M482" s="2">
        <f t="shared" si="39"/>
        <v>95</v>
      </c>
    </row>
    <row r="483" spans="1:13" x14ac:dyDescent="0.3">
      <c r="A483" s="2">
        <f>Datos!A483</f>
        <v>746</v>
      </c>
      <c r="B483" s="2" t="str">
        <f>Datos!B483</f>
        <v>Male</v>
      </c>
      <c r="C483" s="2" t="str">
        <f>Datos!C483</f>
        <v>Bachelors</v>
      </c>
      <c r="D483" s="2" t="str">
        <f>Datos!G483</f>
        <v>D</v>
      </c>
      <c r="E483" s="2">
        <f>Datos!I483</f>
        <v>1.3</v>
      </c>
      <c r="F483" s="2">
        <f>Datos!J483</f>
        <v>79.8</v>
      </c>
      <c r="G483" s="2">
        <f>Datos!L483</f>
        <v>69.7</v>
      </c>
      <c r="H483" s="2">
        <f>Datos!M483</f>
        <v>64.8</v>
      </c>
      <c r="I483" s="2" t="b">
        <f t="shared" si="35"/>
        <v>1</v>
      </c>
      <c r="J483" s="2">
        <f t="shared" si="36"/>
        <v>64.8</v>
      </c>
      <c r="K483" s="2">
        <f t="shared" si="37"/>
        <v>1.3</v>
      </c>
      <c r="L483" s="2">
        <f t="shared" si="38"/>
        <v>69.7</v>
      </c>
      <c r="M483" s="2">
        <f t="shared" si="39"/>
        <v>79.8</v>
      </c>
    </row>
    <row r="484" spans="1:13" x14ac:dyDescent="0.3">
      <c r="A484" s="2">
        <f>Datos!A484</f>
        <v>597</v>
      </c>
      <c r="B484" s="2" t="str">
        <f>Datos!B484</f>
        <v>Male</v>
      </c>
      <c r="C484" s="2" t="str">
        <f>Datos!C484</f>
        <v>High School</v>
      </c>
      <c r="D484" s="2" t="str">
        <f>Datos!G484</f>
        <v>D</v>
      </c>
      <c r="E484" s="2">
        <f>Datos!I484</f>
        <v>5.2</v>
      </c>
      <c r="F484" s="2">
        <f>Datos!J484</f>
        <v>72.599999999999994</v>
      </c>
      <c r="G484" s="2">
        <f>Datos!L484</f>
        <v>46.3</v>
      </c>
      <c r="H484" s="2">
        <f>Datos!M484</f>
        <v>65</v>
      </c>
      <c r="I484" s="2" t="b">
        <f t="shared" si="35"/>
        <v>1</v>
      </c>
      <c r="J484" s="2">
        <f t="shared" si="36"/>
        <v>65</v>
      </c>
      <c r="K484" s="2">
        <f t="shared" si="37"/>
        <v>5.2</v>
      </c>
      <c r="L484" s="2">
        <f t="shared" si="38"/>
        <v>46.3</v>
      </c>
      <c r="M484" s="2">
        <f t="shared" si="39"/>
        <v>72.599999999999994</v>
      </c>
    </row>
    <row r="485" spans="1:13" x14ac:dyDescent="0.3">
      <c r="A485" s="2">
        <f>Datos!A485</f>
        <v>846</v>
      </c>
      <c r="B485" s="2" t="str">
        <f>Datos!B485</f>
        <v>Female</v>
      </c>
      <c r="C485" s="2">
        <f>Datos!C485</f>
        <v>0</v>
      </c>
      <c r="D485" s="2" t="str">
        <f>Datos!G485</f>
        <v>C</v>
      </c>
      <c r="E485" s="2">
        <f>Datos!I485</f>
        <v>3.2</v>
      </c>
      <c r="F485" s="2">
        <f>Datos!J485</f>
        <v>66.900000000000006</v>
      </c>
      <c r="G485" s="2">
        <f>Datos!L485</f>
        <v>65.5</v>
      </c>
      <c r="H485" s="2">
        <f>Datos!M485</f>
        <v>78</v>
      </c>
      <c r="I485" s="2" t="b">
        <f t="shared" si="35"/>
        <v>1</v>
      </c>
      <c r="J485" s="2">
        <f t="shared" si="36"/>
        <v>78</v>
      </c>
      <c r="K485" s="2">
        <f t="shared" si="37"/>
        <v>3.2</v>
      </c>
      <c r="L485" s="2">
        <f t="shared" si="38"/>
        <v>65.5</v>
      </c>
      <c r="M485" s="2">
        <f t="shared" si="39"/>
        <v>66.900000000000006</v>
      </c>
    </row>
    <row r="486" spans="1:13" x14ac:dyDescent="0.3">
      <c r="A486" s="2">
        <f>Datos!A486</f>
        <v>651</v>
      </c>
      <c r="B486" s="2" t="str">
        <f>Datos!B486</f>
        <v>Female</v>
      </c>
      <c r="C486" s="2" t="str">
        <f>Datos!C486</f>
        <v>Masters</v>
      </c>
      <c r="D486" s="2" t="str">
        <f>Datos!G486</f>
        <v>F</v>
      </c>
      <c r="E486" s="2">
        <f>Datos!I486</f>
        <v>2.7</v>
      </c>
      <c r="F486" s="2">
        <f>Datos!J486</f>
        <v>93.9</v>
      </c>
      <c r="G486" s="2">
        <f>Datos!L486</f>
        <v>52.4</v>
      </c>
      <c r="H486" s="2">
        <f>Datos!M486</f>
        <v>58</v>
      </c>
      <c r="I486" s="2" t="b">
        <f t="shared" si="35"/>
        <v>1</v>
      </c>
      <c r="J486" s="2">
        <f t="shared" si="36"/>
        <v>58</v>
      </c>
      <c r="K486" s="2">
        <f t="shared" si="37"/>
        <v>2.7</v>
      </c>
      <c r="L486" s="2">
        <f t="shared" si="38"/>
        <v>52.4</v>
      </c>
      <c r="M486" s="2">
        <f t="shared" si="39"/>
        <v>93.9</v>
      </c>
    </row>
    <row r="487" spans="1:13" x14ac:dyDescent="0.3">
      <c r="A487" s="2">
        <f>Datos!A487</f>
        <v>946</v>
      </c>
      <c r="B487" s="2" t="str">
        <f>Datos!B487</f>
        <v>Male</v>
      </c>
      <c r="C487" s="2" t="str">
        <f>Datos!C487</f>
        <v>Bachelors</v>
      </c>
      <c r="D487" s="2" t="str">
        <f>Datos!G487</f>
        <v>C</v>
      </c>
      <c r="E487" s="2">
        <f>Datos!I487</f>
        <v>1.4</v>
      </c>
      <c r="F487" s="2">
        <f>Datos!J487</f>
        <v>94.2</v>
      </c>
      <c r="G487" s="2">
        <f>Datos!L487</f>
        <v>73.5</v>
      </c>
      <c r="H487" s="2">
        <f>Datos!M487</f>
        <v>73.2</v>
      </c>
      <c r="I487" s="2" t="b">
        <f t="shared" si="35"/>
        <v>1</v>
      </c>
      <c r="J487" s="2">
        <f t="shared" si="36"/>
        <v>73.2</v>
      </c>
      <c r="K487" s="2">
        <f t="shared" si="37"/>
        <v>1.4</v>
      </c>
      <c r="L487" s="2">
        <f t="shared" si="38"/>
        <v>73.5</v>
      </c>
      <c r="M487" s="2">
        <f t="shared" si="39"/>
        <v>94.2</v>
      </c>
    </row>
    <row r="488" spans="1:13" x14ac:dyDescent="0.3">
      <c r="A488" s="2">
        <f>Datos!A488</f>
        <v>729</v>
      </c>
      <c r="B488" s="2" t="str">
        <f>Datos!B488</f>
        <v>Female</v>
      </c>
      <c r="C488" s="2" t="str">
        <f>Datos!C488</f>
        <v>PhD</v>
      </c>
      <c r="D488" s="2" t="str">
        <f>Datos!G488</f>
        <v>C</v>
      </c>
      <c r="E488" s="2">
        <f>Datos!I488</f>
        <v>5</v>
      </c>
      <c r="F488" s="2">
        <f>Datos!J488</f>
        <v>83.6</v>
      </c>
      <c r="G488" s="2">
        <f>Datos!L488</f>
        <v>61.6</v>
      </c>
      <c r="H488" s="2">
        <f>Datos!M488</f>
        <v>79.8</v>
      </c>
      <c r="I488" s="2" t="b">
        <f t="shared" si="35"/>
        <v>1</v>
      </c>
      <c r="J488" s="2">
        <f t="shared" si="36"/>
        <v>79.8</v>
      </c>
      <c r="K488" s="2">
        <f t="shared" si="37"/>
        <v>5</v>
      </c>
      <c r="L488" s="2">
        <f t="shared" si="38"/>
        <v>61.6</v>
      </c>
      <c r="M488" s="2">
        <f t="shared" si="39"/>
        <v>83.6</v>
      </c>
    </row>
    <row r="489" spans="1:13" x14ac:dyDescent="0.3">
      <c r="A489" s="2">
        <f>Datos!A489</f>
        <v>135</v>
      </c>
      <c r="B489" s="2" t="str">
        <f>Datos!B489</f>
        <v>Male</v>
      </c>
      <c r="C489" s="2" t="str">
        <f>Datos!C489</f>
        <v>Bachelors</v>
      </c>
      <c r="D489" s="2" t="str">
        <f>Datos!G489</f>
        <v>B</v>
      </c>
      <c r="E489" s="2">
        <f>Datos!I489</f>
        <v>5.4</v>
      </c>
      <c r="F489" s="2">
        <f>Datos!J489</f>
        <v>93.9</v>
      </c>
      <c r="G489" s="2">
        <f>Datos!L489</f>
        <v>53.9</v>
      </c>
      <c r="H489" s="2">
        <f>Datos!M489</f>
        <v>85.4</v>
      </c>
      <c r="I489" s="2" t="b">
        <f t="shared" si="35"/>
        <v>1</v>
      </c>
      <c r="J489" s="2">
        <f t="shared" si="36"/>
        <v>85.4</v>
      </c>
      <c r="K489" s="2">
        <f t="shared" si="37"/>
        <v>5.4</v>
      </c>
      <c r="L489" s="2">
        <f t="shared" si="38"/>
        <v>53.9</v>
      </c>
      <c r="M489" s="2">
        <f t="shared" si="39"/>
        <v>93.9</v>
      </c>
    </row>
    <row r="490" spans="1:13" x14ac:dyDescent="0.3">
      <c r="A490" s="2">
        <f>Datos!A490</f>
        <v>75</v>
      </c>
      <c r="B490" s="2" t="str">
        <f>Datos!B490</f>
        <v>Female</v>
      </c>
      <c r="C490" s="2" t="str">
        <f>Datos!C490</f>
        <v>High School</v>
      </c>
      <c r="D490" s="2" t="str">
        <f>Datos!G490</f>
        <v>D</v>
      </c>
      <c r="E490" s="2">
        <f>Datos!I490</f>
        <v>3.2</v>
      </c>
      <c r="F490" s="2">
        <f>Datos!J490</f>
        <v>69.8</v>
      </c>
      <c r="G490" s="2">
        <f>Datos!L490</f>
        <v>58.5</v>
      </c>
      <c r="H490" s="2">
        <f>Datos!M490</f>
        <v>63.8</v>
      </c>
      <c r="I490" s="2" t="b">
        <f t="shared" si="35"/>
        <v>1</v>
      </c>
      <c r="J490" s="2">
        <f t="shared" si="36"/>
        <v>63.8</v>
      </c>
      <c r="K490" s="2">
        <f t="shared" si="37"/>
        <v>3.2</v>
      </c>
      <c r="L490" s="2">
        <f t="shared" si="38"/>
        <v>58.5</v>
      </c>
      <c r="M490" s="2">
        <f t="shared" si="39"/>
        <v>69.8</v>
      </c>
    </row>
    <row r="491" spans="1:13" x14ac:dyDescent="0.3">
      <c r="A491" s="2">
        <f>Datos!A491</f>
        <v>411</v>
      </c>
      <c r="B491" s="2" t="str">
        <f>Datos!B491</f>
        <v>Male</v>
      </c>
      <c r="C491" s="2" t="str">
        <f>Datos!C491</f>
        <v>High School</v>
      </c>
      <c r="D491" s="2" t="str">
        <f>Datos!G491</f>
        <v>D</v>
      </c>
      <c r="E491" s="2">
        <f>Datos!I491</f>
        <v>3.3</v>
      </c>
      <c r="F491" s="2">
        <f>Datos!J491</f>
        <v>95.9</v>
      </c>
      <c r="G491" s="2">
        <f>Datos!L491</f>
        <v>44.2</v>
      </c>
      <c r="H491" s="2">
        <f>Datos!M491</f>
        <v>63.1</v>
      </c>
      <c r="I491" s="2" t="b">
        <f t="shared" si="35"/>
        <v>1</v>
      </c>
      <c r="J491" s="2">
        <f t="shared" si="36"/>
        <v>63.1</v>
      </c>
      <c r="K491" s="2">
        <f t="shared" si="37"/>
        <v>3.3</v>
      </c>
      <c r="L491" s="2">
        <f t="shared" si="38"/>
        <v>44.2</v>
      </c>
      <c r="M491" s="2">
        <f t="shared" si="39"/>
        <v>95.9</v>
      </c>
    </row>
    <row r="492" spans="1:13" x14ac:dyDescent="0.3">
      <c r="A492" s="2">
        <f>Datos!A492</f>
        <v>679</v>
      </c>
      <c r="B492" s="2" t="str">
        <f>Datos!B492</f>
        <v>Female</v>
      </c>
      <c r="C492" s="2" t="str">
        <f>Datos!C492</f>
        <v>PhD</v>
      </c>
      <c r="D492" s="2" t="str">
        <f>Datos!G492</f>
        <v>F</v>
      </c>
      <c r="E492" s="2">
        <f>Datos!I492</f>
        <v>0.5</v>
      </c>
      <c r="F492" s="2">
        <f>Datos!J492</f>
        <v>67</v>
      </c>
      <c r="G492" s="2">
        <f>Datos!L492</f>
        <v>54.1</v>
      </c>
      <c r="H492" s="2">
        <f>Datos!M492</f>
        <v>48.3</v>
      </c>
      <c r="I492" s="2" t="b">
        <f t="shared" si="35"/>
        <v>1</v>
      </c>
      <c r="J492" s="2">
        <f t="shared" si="36"/>
        <v>48.3</v>
      </c>
      <c r="K492" s="2">
        <f t="shared" si="37"/>
        <v>0.5</v>
      </c>
      <c r="L492" s="2">
        <f t="shared" si="38"/>
        <v>54.1</v>
      </c>
      <c r="M492" s="2">
        <f t="shared" si="39"/>
        <v>67</v>
      </c>
    </row>
    <row r="493" spans="1:13" x14ac:dyDescent="0.3">
      <c r="A493" s="2">
        <f>Datos!A493</f>
        <v>313</v>
      </c>
      <c r="B493" s="2" t="str">
        <f>Datos!B493</f>
        <v>Male</v>
      </c>
      <c r="C493" s="2" t="str">
        <f>Datos!C493</f>
        <v>PhD</v>
      </c>
      <c r="D493" s="2" t="str">
        <f>Datos!G493</f>
        <v>C</v>
      </c>
      <c r="E493" s="2">
        <f>Datos!I493</f>
        <v>5</v>
      </c>
      <c r="F493" s="2">
        <f>Datos!J493</f>
        <v>66.400000000000006</v>
      </c>
      <c r="G493" s="2">
        <f>Datos!L493</f>
        <v>61.1</v>
      </c>
      <c r="H493" s="2">
        <f>Datos!M493</f>
        <v>72.5</v>
      </c>
      <c r="I493" s="2" t="b">
        <f t="shared" si="35"/>
        <v>1</v>
      </c>
      <c r="J493" s="2">
        <f t="shared" si="36"/>
        <v>72.5</v>
      </c>
      <c r="K493" s="2">
        <f t="shared" si="37"/>
        <v>5</v>
      </c>
      <c r="L493" s="2">
        <f t="shared" si="38"/>
        <v>61.1</v>
      </c>
      <c r="M493" s="2">
        <f t="shared" si="39"/>
        <v>66.400000000000006</v>
      </c>
    </row>
    <row r="494" spans="1:13" x14ac:dyDescent="0.3">
      <c r="A494" s="2">
        <f>Datos!A494</f>
        <v>450</v>
      </c>
      <c r="B494" s="2" t="str">
        <f>Datos!B494</f>
        <v>Male</v>
      </c>
      <c r="C494" s="2" t="str">
        <f>Datos!C494</f>
        <v>PhD</v>
      </c>
      <c r="D494" s="2" t="str">
        <f>Datos!G494</f>
        <v>B</v>
      </c>
      <c r="E494" s="2">
        <f>Datos!I494</f>
        <v>4.8</v>
      </c>
      <c r="F494" s="2">
        <f>Datos!J494</f>
        <v>84.2</v>
      </c>
      <c r="G494" s="2">
        <f>Datos!L494</f>
        <v>92.2</v>
      </c>
      <c r="H494" s="2">
        <f>Datos!M494</f>
        <v>85.9</v>
      </c>
      <c r="I494" s="2" t="b">
        <f t="shared" si="35"/>
        <v>1</v>
      </c>
      <c r="J494" s="2">
        <f t="shared" si="36"/>
        <v>85.9</v>
      </c>
      <c r="K494" s="2">
        <f t="shared" si="37"/>
        <v>4.8</v>
      </c>
      <c r="L494" s="2">
        <f t="shared" si="38"/>
        <v>92.2</v>
      </c>
      <c r="M494" s="2">
        <f t="shared" si="39"/>
        <v>84.2</v>
      </c>
    </row>
    <row r="495" spans="1:13" x14ac:dyDescent="0.3">
      <c r="A495" s="2">
        <f>Datos!A495</f>
        <v>252</v>
      </c>
      <c r="B495" s="2" t="str">
        <f>Datos!B495</f>
        <v>Female</v>
      </c>
      <c r="C495" s="2" t="str">
        <f>Datos!C495</f>
        <v>Bachelors</v>
      </c>
      <c r="D495" s="2" t="str">
        <f>Datos!G495</f>
        <v>D</v>
      </c>
      <c r="E495" s="2">
        <f>Datos!I495</f>
        <v>1.1000000000000001</v>
      </c>
      <c r="F495" s="2">
        <f>Datos!J495</f>
        <v>82.2</v>
      </c>
      <c r="G495" s="2">
        <f>Datos!L495</f>
        <v>87.2</v>
      </c>
      <c r="H495" s="2">
        <f>Datos!M495</f>
        <v>66.400000000000006</v>
      </c>
      <c r="I495" s="2" t="b">
        <f t="shared" si="35"/>
        <v>1</v>
      </c>
      <c r="J495" s="2">
        <f t="shared" si="36"/>
        <v>66.400000000000006</v>
      </c>
      <c r="K495" s="2">
        <f t="shared" si="37"/>
        <v>1.1000000000000001</v>
      </c>
      <c r="L495" s="2">
        <f t="shared" si="38"/>
        <v>87.2</v>
      </c>
      <c r="M495" s="2">
        <f t="shared" si="39"/>
        <v>82.2</v>
      </c>
    </row>
    <row r="496" spans="1:13" x14ac:dyDescent="0.3">
      <c r="A496" s="2">
        <f>Datos!A496</f>
        <v>389</v>
      </c>
      <c r="B496" s="2" t="str">
        <f>Datos!B496</f>
        <v>Male</v>
      </c>
      <c r="C496" s="2" t="str">
        <f>Datos!C496</f>
        <v>High School</v>
      </c>
      <c r="D496" s="2" t="str">
        <f>Datos!G496</f>
        <v>A</v>
      </c>
      <c r="E496" s="2">
        <f>Datos!I496</f>
        <v>6.1</v>
      </c>
      <c r="F496" s="2">
        <f>Datos!J496</f>
        <v>79.5</v>
      </c>
      <c r="G496" s="2">
        <f>Datos!L496</f>
        <v>69</v>
      </c>
      <c r="H496" s="2">
        <f>Datos!M496</f>
        <v>100</v>
      </c>
      <c r="I496" s="2" t="b">
        <f t="shared" si="35"/>
        <v>1</v>
      </c>
      <c r="J496" s="2">
        <f t="shared" si="36"/>
        <v>100</v>
      </c>
      <c r="K496" s="2">
        <f t="shared" si="37"/>
        <v>6.1</v>
      </c>
      <c r="L496" s="2">
        <f t="shared" si="38"/>
        <v>69</v>
      </c>
      <c r="M496" s="2">
        <f t="shared" si="39"/>
        <v>79.5</v>
      </c>
    </row>
    <row r="497" spans="1:13" x14ac:dyDescent="0.3">
      <c r="A497" s="2">
        <f>Datos!A497</f>
        <v>347</v>
      </c>
      <c r="B497" s="2" t="str">
        <f>Datos!B497</f>
        <v>Female</v>
      </c>
      <c r="C497" s="2">
        <f>Datos!C497</f>
        <v>0</v>
      </c>
      <c r="D497" s="2" t="str">
        <f>Datos!G497</f>
        <v>F</v>
      </c>
      <c r="E497" s="2">
        <f>Datos!I497</f>
        <v>2.7</v>
      </c>
      <c r="F497" s="2">
        <f>Datos!J497</f>
        <v>76.599999999999994</v>
      </c>
      <c r="G497" s="2">
        <f>Datos!L497</f>
        <v>42.7</v>
      </c>
      <c r="H497" s="2">
        <f>Datos!M497</f>
        <v>56.1</v>
      </c>
      <c r="I497" s="2" t="b">
        <f t="shared" si="35"/>
        <v>1</v>
      </c>
      <c r="J497" s="2">
        <f t="shared" si="36"/>
        <v>56.1</v>
      </c>
      <c r="K497" s="2">
        <f t="shared" si="37"/>
        <v>2.7</v>
      </c>
      <c r="L497" s="2">
        <f t="shared" si="38"/>
        <v>42.7</v>
      </c>
      <c r="M497" s="2">
        <f t="shared" si="39"/>
        <v>76.599999999999994</v>
      </c>
    </row>
    <row r="498" spans="1:13" x14ac:dyDescent="0.3">
      <c r="A498" s="2">
        <f>Datos!A498</f>
        <v>319</v>
      </c>
      <c r="B498" s="2" t="str">
        <f>Datos!B498</f>
        <v>Female</v>
      </c>
      <c r="C498" s="2">
        <f>Datos!C498</f>
        <v>0</v>
      </c>
      <c r="D498" s="2" t="str">
        <f>Datos!G498</f>
        <v>F</v>
      </c>
      <c r="E498" s="2">
        <f>Datos!I498</f>
        <v>3.2</v>
      </c>
      <c r="F498" s="2">
        <f>Datos!J498</f>
        <v>84.5</v>
      </c>
      <c r="G498" s="2">
        <f>Datos!L498</f>
        <v>36.200000000000003</v>
      </c>
      <c r="H498" s="2">
        <f>Datos!M498</f>
        <v>57.3</v>
      </c>
      <c r="I498" s="2" t="b">
        <f t="shared" si="35"/>
        <v>1</v>
      </c>
      <c r="J498" s="2">
        <f t="shared" si="36"/>
        <v>57.3</v>
      </c>
      <c r="K498" s="2">
        <f t="shared" si="37"/>
        <v>3.2</v>
      </c>
      <c r="L498" s="2">
        <f t="shared" si="38"/>
        <v>36.200000000000003</v>
      </c>
      <c r="M498" s="2">
        <f t="shared" si="39"/>
        <v>84.5</v>
      </c>
    </row>
    <row r="499" spans="1:13" x14ac:dyDescent="0.3">
      <c r="A499" s="2">
        <f>Datos!A499</f>
        <v>136</v>
      </c>
      <c r="B499" s="2" t="str">
        <f>Datos!B499</f>
        <v>Female</v>
      </c>
      <c r="C499" s="2" t="str">
        <f>Datos!C499</f>
        <v>Masters</v>
      </c>
      <c r="D499" s="2" t="str">
        <f>Datos!G499</f>
        <v>C</v>
      </c>
      <c r="E499" s="2">
        <f>Datos!I499</f>
        <v>0.9</v>
      </c>
      <c r="F499" s="2">
        <f>Datos!J499</f>
        <v>65</v>
      </c>
      <c r="G499" s="2">
        <f>Datos!L499</f>
        <v>88.4</v>
      </c>
      <c r="H499" s="2">
        <f>Datos!M499</f>
        <v>70.599999999999994</v>
      </c>
      <c r="I499" s="2" t="b">
        <f t="shared" si="35"/>
        <v>1</v>
      </c>
      <c r="J499" s="2">
        <f t="shared" si="36"/>
        <v>70.599999999999994</v>
      </c>
      <c r="K499" s="2">
        <f t="shared" si="37"/>
        <v>0.9</v>
      </c>
      <c r="L499" s="2">
        <f t="shared" si="38"/>
        <v>88.4</v>
      </c>
      <c r="M499" s="2">
        <f t="shared" si="39"/>
        <v>65</v>
      </c>
    </row>
    <row r="500" spans="1:13" x14ac:dyDescent="0.3">
      <c r="A500" s="2">
        <f>Datos!A500</f>
        <v>36</v>
      </c>
      <c r="B500" s="2" t="str">
        <f>Datos!B500</f>
        <v>Male</v>
      </c>
      <c r="C500" s="2" t="str">
        <f>Datos!C500</f>
        <v>High School</v>
      </c>
      <c r="D500" s="2" t="str">
        <f>Datos!G500</f>
        <v>A</v>
      </c>
      <c r="E500" s="2">
        <f>Datos!I500</f>
        <v>5</v>
      </c>
      <c r="F500" s="2">
        <f>Datos!J500</f>
        <v>83.5</v>
      </c>
      <c r="G500" s="2">
        <f>Datos!L500</f>
        <v>67.099999999999994</v>
      </c>
      <c r="H500" s="2">
        <f>Datos!M500</f>
        <v>92.7</v>
      </c>
      <c r="I500" s="2" t="b">
        <f t="shared" si="35"/>
        <v>1</v>
      </c>
      <c r="J500" s="2">
        <f t="shared" si="36"/>
        <v>92.7</v>
      </c>
      <c r="K500" s="2">
        <f t="shared" si="37"/>
        <v>5</v>
      </c>
      <c r="L500" s="2">
        <f t="shared" si="38"/>
        <v>67.099999999999994</v>
      </c>
      <c r="M500" s="2">
        <f t="shared" si="39"/>
        <v>83.5</v>
      </c>
    </row>
    <row r="501" spans="1:13" x14ac:dyDescent="0.3">
      <c r="A501" s="2">
        <f>Datos!A501</f>
        <v>504</v>
      </c>
      <c r="B501" s="2" t="str">
        <f>Datos!B501</f>
        <v>Male</v>
      </c>
      <c r="C501" s="2" t="str">
        <f>Datos!C501</f>
        <v>PhD</v>
      </c>
      <c r="D501" s="2" t="str">
        <f>Datos!G501</f>
        <v>F</v>
      </c>
      <c r="E501" s="2">
        <f>Datos!I501</f>
        <v>1.4</v>
      </c>
      <c r="F501" s="2">
        <f>Datos!J501</f>
        <v>83.5</v>
      </c>
      <c r="G501" s="2">
        <f>Datos!L501</f>
        <v>56.3</v>
      </c>
      <c r="H501" s="2">
        <f>Datos!M501</f>
        <v>55.9</v>
      </c>
      <c r="I501" s="2" t="b">
        <f t="shared" si="35"/>
        <v>1</v>
      </c>
      <c r="J501" s="2">
        <f t="shared" si="36"/>
        <v>55.9</v>
      </c>
      <c r="K501" s="2">
        <f t="shared" si="37"/>
        <v>1.4</v>
      </c>
      <c r="L501" s="2">
        <f t="shared" si="38"/>
        <v>56.3</v>
      </c>
      <c r="M501" s="2">
        <f t="shared" si="39"/>
        <v>83.5</v>
      </c>
    </row>
    <row r="502" spans="1:13" x14ac:dyDescent="0.3">
      <c r="A502" s="2">
        <f>Datos!A502</f>
        <v>169</v>
      </c>
      <c r="B502" s="2" t="str">
        <f>Datos!B502</f>
        <v>Female</v>
      </c>
      <c r="C502" s="2" t="str">
        <f>Datos!C502</f>
        <v>High School</v>
      </c>
      <c r="D502" s="2" t="str">
        <f>Datos!G502</f>
        <v>C</v>
      </c>
      <c r="E502" s="2">
        <f>Datos!I502</f>
        <v>1.2</v>
      </c>
      <c r="F502" s="2">
        <f>Datos!J502</f>
        <v>98.5</v>
      </c>
      <c r="G502" s="2">
        <f>Datos!L502</f>
        <v>88</v>
      </c>
      <c r="H502" s="2">
        <f>Datos!M502</f>
        <v>72.400000000000006</v>
      </c>
      <c r="I502" s="2" t="b">
        <f t="shared" si="35"/>
        <v>1</v>
      </c>
      <c r="J502" s="2">
        <f t="shared" si="36"/>
        <v>72.400000000000006</v>
      </c>
      <c r="K502" s="2">
        <f t="shared" si="37"/>
        <v>1.2</v>
      </c>
      <c r="L502" s="2">
        <f t="shared" si="38"/>
        <v>88</v>
      </c>
      <c r="M502" s="2">
        <f t="shared" si="39"/>
        <v>98.5</v>
      </c>
    </row>
    <row r="503" spans="1:13" x14ac:dyDescent="0.3">
      <c r="A503" s="2">
        <f>Datos!A503</f>
        <v>417</v>
      </c>
      <c r="B503" s="2" t="str">
        <f>Datos!B503</f>
        <v>Female</v>
      </c>
      <c r="C503" s="2" t="str">
        <f>Datos!C503</f>
        <v>Bachelors</v>
      </c>
      <c r="D503" s="2" t="str">
        <f>Datos!G503</f>
        <v>D</v>
      </c>
      <c r="E503" s="2">
        <f>Datos!I503</f>
        <v>5.4</v>
      </c>
      <c r="F503" s="2">
        <f>Datos!J503</f>
        <v>81.3</v>
      </c>
      <c r="G503" s="2">
        <f>Datos!L503</f>
        <v>44.9</v>
      </c>
      <c r="H503" s="2">
        <f>Datos!M503</f>
        <v>60.1</v>
      </c>
      <c r="I503" s="2" t="b">
        <f t="shared" si="35"/>
        <v>1</v>
      </c>
      <c r="J503" s="2">
        <f t="shared" si="36"/>
        <v>60.1</v>
      </c>
      <c r="K503" s="2">
        <f t="shared" si="37"/>
        <v>5.4</v>
      </c>
      <c r="L503" s="2">
        <f t="shared" si="38"/>
        <v>44.9</v>
      </c>
      <c r="M503" s="2">
        <f t="shared" si="39"/>
        <v>81.3</v>
      </c>
    </row>
    <row r="504" spans="1:13" x14ac:dyDescent="0.3">
      <c r="A504" s="2">
        <f>Datos!A504</f>
        <v>336</v>
      </c>
      <c r="B504" s="2" t="str">
        <f>Datos!B504</f>
        <v>Male</v>
      </c>
      <c r="C504" s="2" t="str">
        <f>Datos!C504</f>
        <v>High School</v>
      </c>
      <c r="D504" s="2" t="str">
        <f>Datos!G504</f>
        <v>C</v>
      </c>
      <c r="E504" s="2">
        <f>Datos!I504</f>
        <v>3.1</v>
      </c>
      <c r="F504" s="2">
        <f>Datos!J504</f>
        <v>91</v>
      </c>
      <c r="G504" s="2">
        <f>Datos!L504</f>
        <v>51</v>
      </c>
      <c r="H504" s="2">
        <f>Datos!M504</f>
        <v>74.099999999999994</v>
      </c>
      <c r="I504" s="2" t="b">
        <f t="shared" si="35"/>
        <v>1</v>
      </c>
      <c r="J504" s="2">
        <f t="shared" si="36"/>
        <v>74.099999999999994</v>
      </c>
      <c r="K504" s="2">
        <f t="shared" si="37"/>
        <v>3.1</v>
      </c>
      <c r="L504" s="2">
        <f t="shared" si="38"/>
        <v>51</v>
      </c>
      <c r="M504" s="2">
        <f t="shared" si="39"/>
        <v>91</v>
      </c>
    </row>
    <row r="505" spans="1:13" x14ac:dyDescent="0.3">
      <c r="A505" s="2">
        <f>Datos!A505</f>
        <v>577</v>
      </c>
      <c r="B505" s="2" t="str">
        <f>Datos!B505</f>
        <v>Male</v>
      </c>
      <c r="C505" s="2" t="str">
        <f>Datos!C505</f>
        <v>PhD</v>
      </c>
      <c r="D505" s="2" t="str">
        <f>Datos!G505</f>
        <v>D</v>
      </c>
      <c r="E505" s="2">
        <f>Datos!I505</f>
        <v>3.4</v>
      </c>
      <c r="F505" s="2">
        <f>Datos!J505</f>
        <v>77.099999999999994</v>
      </c>
      <c r="G505" s="2">
        <f>Datos!L505</f>
        <v>45.2</v>
      </c>
      <c r="H505" s="2">
        <f>Datos!M505</f>
        <v>60.1</v>
      </c>
      <c r="I505" s="2" t="b">
        <f t="shared" si="35"/>
        <v>1</v>
      </c>
      <c r="J505" s="2">
        <f t="shared" si="36"/>
        <v>60.1</v>
      </c>
      <c r="K505" s="2">
        <f t="shared" si="37"/>
        <v>3.4</v>
      </c>
      <c r="L505" s="2">
        <f t="shared" si="38"/>
        <v>45.2</v>
      </c>
      <c r="M505" s="2">
        <f t="shared" si="39"/>
        <v>77.099999999999994</v>
      </c>
    </row>
    <row r="506" spans="1:13" x14ac:dyDescent="0.3">
      <c r="A506" s="2">
        <f>Datos!A506</f>
        <v>702</v>
      </c>
      <c r="B506" s="2" t="str">
        <f>Datos!B506</f>
        <v>Female</v>
      </c>
      <c r="C506" s="2" t="str">
        <f>Datos!C506</f>
        <v>PhD</v>
      </c>
      <c r="D506" s="2" t="str">
        <f>Datos!G506</f>
        <v>D</v>
      </c>
      <c r="E506" s="2">
        <f>Datos!I506</f>
        <v>4.3</v>
      </c>
      <c r="F506" s="2">
        <f>Datos!J506</f>
        <v>79.099999999999994</v>
      </c>
      <c r="G506" s="2">
        <f>Datos!L506</f>
        <v>63.2</v>
      </c>
      <c r="H506" s="2">
        <f>Datos!M506</f>
        <v>65.099999999999994</v>
      </c>
      <c r="I506" s="2" t="b">
        <f t="shared" si="35"/>
        <v>1</v>
      </c>
      <c r="J506" s="2">
        <f t="shared" si="36"/>
        <v>65.099999999999994</v>
      </c>
      <c r="K506" s="2">
        <f t="shared" si="37"/>
        <v>4.3</v>
      </c>
      <c r="L506" s="2">
        <f t="shared" si="38"/>
        <v>63.2</v>
      </c>
      <c r="M506" s="2">
        <f t="shared" si="39"/>
        <v>79.099999999999994</v>
      </c>
    </row>
    <row r="507" spans="1:13" x14ac:dyDescent="0.3">
      <c r="A507" s="2">
        <f>Datos!A507</f>
        <v>768</v>
      </c>
      <c r="B507" s="2" t="str">
        <f>Datos!B507</f>
        <v>Female</v>
      </c>
      <c r="C507" s="2" t="str">
        <f>Datos!C507</f>
        <v>Masters</v>
      </c>
      <c r="D507" s="2" t="str">
        <f>Datos!G507</f>
        <v>B</v>
      </c>
      <c r="E507" s="2">
        <f>Datos!I507</f>
        <v>5.6</v>
      </c>
      <c r="F507" s="2">
        <f>Datos!J507</f>
        <v>79.7</v>
      </c>
      <c r="G507" s="2">
        <f>Datos!L507</f>
        <v>89.7</v>
      </c>
      <c r="H507" s="2">
        <f>Datos!M507</f>
        <v>86.8</v>
      </c>
      <c r="I507" s="2" t="b">
        <f t="shared" si="35"/>
        <v>1</v>
      </c>
      <c r="J507" s="2">
        <f t="shared" si="36"/>
        <v>86.8</v>
      </c>
      <c r="K507" s="2">
        <f t="shared" si="37"/>
        <v>5.6</v>
      </c>
      <c r="L507" s="2">
        <f t="shared" si="38"/>
        <v>89.7</v>
      </c>
      <c r="M507" s="2">
        <f t="shared" si="39"/>
        <v>79.7</v>
      </c>
    </row>
    <row r="508" spans="1:13" x14ac:dyDescent="0.3">
      <c r="A508" s="2">
        <f>Datos!A508</f>
        <v>268</v>
      </c>
      <c r="B508" s="2" t="str">
        <f>Datos!B508</f>
        <v>Female</v>
      </c>
      <c r="C508" s="2" t="str">
        <f>Datos!C508</f>
        <v>Bachelors</v>
      </c>
      <c r="D508" s="2" t="str">
        <f>Datos!G508</f>
        <v>B</v>
      </c>
      <c r="E508" s="2">
        <f>Datos!I508</f>
        <v>2.4</v>
      </c>
      <c r="F508" s="2">
        <f>Datos!J508</f>
        <v>76.5</v>
      </c>
      <c r="G508" s="2">
        <f>Datos!L508</f>
        <v>67.2</v>
      </c>
      <c r="H508" s="2">
        <f>Datos!M508</f>
        <v>86</v>
      </c>
      <c r="I508" s="2" t="b">
        <f t="shared" si="35"/>
        <v>1</v>
      </c>
      <c r="J508" s="2">
        <f t="shared" si="36"/>
        <v>86</v>
      </c>
      <c r="K508" s="2">
        <f t="shared" si="37"/>
        <v>2.4</v>
      </c>
      <c r="L508" s="2">
        <f t="shared" si="38"/>
        <v>67.2</v>
      </c>
      <c r="M508" s="2">
        <f t="shared" si="39"/>
        <v>76.5</v>
      </c>
    </row>
    <row r="509" spans="1:13" x14ac:dyDescent="0.3">
      <c r="A509" s="2">
        <f>Datos!A509</f>
        <v>216</v>
      </c>
      <c r="B509" s="2" t="str">
        <f>Datos!B509</f>
        <v>Female</v>
      </c>
      <c r="C509" s="2" t="str">
        <f>Datos!C509</f>
        <v>High School</v>
      </c>
      <c r="D509" s="2" t="str">
        <f>Datos!G509</f>
        <v>C</v>
      </c>
      <c r="E509" s="2">
        <f>Datos!I509</f>
        <v>0.8</v>
      </c>
      <c r="F509" s="2">
        <f>Datos!J509</f>
        <v>72.8</v>
      </c>
      <c r="G509" s="2">
        <f>Datos!L509</f>
        <v>90.5</v>
      </c>
      <c r="H509" s="2">
        <f>Datos!M509</f>
        <v>72.5</v>
      </c>
      <c r="I509" s="2" t="b">
        <f t="shared" si="35"/>
        <v>1</v>
      </c>
      <c r="J509" s="2">
        <f t="shared" si="36"/>
        <v>72.5</v>
      </c>
      <c r="K509" s="2">
        <f t="shared" si="37"/>
        <v>0.8</v>
      </c>
      <c r="L509" s="2">
        <f t="shared" si="38"/>
        <v>90.5</v>
      </c>
      <c r="M509" s="2">
        <f t="shared" si="39"/>
        <v>72.8</v>
      </c>
    </row>
    <row r="510" spans="1:13" x14ac:dyDescent="0.3">
      <c r="A510" s="2">
        <f>Datos!A510</f>
        <v>109</v>
      </c>
      <c r="B510" s="2" t="str">
        <f>Datos!B510</f>
        <v>Female</v>
      </c>
      <c r="C510" s="2" t="str">
        <f>Datos!C510</f>
        <v>Masters</v>
      </c>
      <c r="D510" s="2" t="str">
        <f>Datos!G510</f>
        <v>D</v>
      </c>
      <c r="E510" s="2">
        <f>Datos!I510</f>
        <v>3.5</v>
      </c>
      <c r="F510" s="2">
        <f>Datos!J510</f>
        <v>79</v>
      </c>
      <c r="G510" s="2">
        <f>Datos!L510</f>
        <v>79.5</v>
      </c>
      <c r="H510" s="2">
        <f>Datos!M510</f>
        <v>66.400000000000006</v>
      </c>
      <c r="I510" s="2" t="b">
        <f t="shared" si="35"/>
        <v>1</v>
      </c>
      <c r="J510" s="2">
        <f t="shared" si="36"/>
        <v>66.400000000000006</v>
      </c>
      <c r="K510" s="2">
        <f t="shared" si="37"/>
        <v>3.5</v>
      </c>
      <c r="L510" s="2">
        <f t="shared" si="38"/>
        <v>79.5</v>
      </c>
      <c r="M510" s="2">
        <f t="shared" si="39"/>
        <v>79</v>
      </c>
    </row>
    <row r="511" spans="1:13" x14ac:dyDescent="0.3">
      <c r="A511" s="2">
        <f>Datos!A511</f>
        <v>886</v>
      </c>
      <c r="B511" s="2" t="str">
        <f>Datos!B511</f>
        <v>Male</v>
      </c>
      <c r="C511" s="2" t="str">
        <f>Datos!C511</f>
        <v>PhD</v>
      </c>
      <c r="D511" s="2" t="str">
        <f>Datos!G511</f>
        <v>C</v>
      </c>
      <c r="E511" s="2">
        <f>Datos!I511</f>
        <v>5.5</v>
      </c>
      <c r="F511" s="2">
        <f>Datos!J511</f>
        <v>72.099999999999994</v>
      </c>
      <c r="G511" s="2">
        <f>Datos!L511</f>
        <v>68.7</v>
      </c>
      <c r="H511" s="2">
        <f>Datos!M511</f>
        <v>78.8</v>
      </c>
      <c r="I511" s="2" t="b">
        <f t="shared" si="35"/>
        <v>1</v>
      </c>
      <c r="J511" s="2">
        <f t="shared" si="36"/>
        <v>78.8</v>
      </c>
      <c r="K511" s="2">
        <f t="shared" si="37"/>
        <v>5.5</v>
      </c>
      <c r="L511" s="2">
        <f t="shared" si="38"/>
        <v>68.7</v>
      </c>
      <c r="M511" s="2">
        <f t="shared" si="39"/>
        <v>72.099999999999994</v>
      </c>
    </row>
    <row r="512" spans="1:13" x14ac:dyDescent="0.3">
      <c r="A512" s="2">
        <f>Datos!A512</f>
        <v>560</v>
      </c>
      <c r="B512" s="2" t="str">
        <f>Datos!B512</f>
        <v>Male</v>
      </c>
      <c r="C512" s="2" t="str">
        <f>Datos!C512</f>
        <v>High School</v>
      </c>
      <c r="D512" s="2" t="str">
        <f>Datos!G512</f>
        <v>B</v>
      </c>
      <c r="E512" s="2">
        <f>Datos!I512</f>
        <v>3.1</v>
      </c>
      <c r="F512" s="2">
        <f>Datos!J512</f>
        <v>73.599999999999994</v>
      </c>
      <c r="G512" s="2">
        <f>Datos!L512</f>
        <v>93.8</v>
      </c>
      <c r="H512" s="2">
        <f>Datos!M512</f>
        <v>89.5</v>
      </c>
      <c r="I512" s="2" t="b">
        <f t="shared" si="35"/>
        <v>1</v>
      </c>
      <c r="J512" s="2">
        <f t="shared" si="36"/>
        <v>89.5</v>
      </c>
      <c r="K512" s="2">
        <f t="shared" si="37"/>
        <v>3.1</v>
      </c>
      <c r="L512" s="2">
        <f t="shared" si="38"/>
        <v>93.8</v>
      </c>
      <c r="M512" s="2">
        <f t="shared" si="39"/>
        <v>73.599999999999994</v>
      </c>
    </row>
    <row r="513" spans="1:13" x14ac:dyDescent="0.3">
      <c r="A513" s="2">
        <f>Datos!A513</f>
        <v>114</v>
      </c>
      <c r="B513" s="2" t="str">
        <f>Datos!B513</f>
        <v>Male</v>
      </c>
      <c r="C513" s="2" t="str">
        <f>Datos!C513</f>
        <v>High School</v>
      </c>
      <c r="D513" s="2" t="str">
        <f>Datos!G513</f>
        <v>A</v>
      </c>
      <c r="E513" s="2">
        <f>Datos!I513</f>
        <v>5.4</v>
      </c>
      <c r="F513" s="2">
        <f>Datos!J513</f>
        <v>99.7</v>
      </c>
      <c r="G513" s="2">
        <f>Datos!L513</f>
        <v>57</v>
      </c>
      <c r="H513" s="2">
        <f>Datos!M513</f>
        <v>90.5</v>
      </c>
      <c r="I513" s="2" t="b">
        <f t="shared" si="35"/>
        <v>1</v>
      </c>
      <c r="J513" s="2">
        <f t="shared" si="36"/>
        <v>90.5</v>
      </c>
      <c r="K513" s="2">
        <f t="shared" si="37"/>
        <v>5.4</v>
      </c>
      <c r="L513" s="2">
        <f t="shared" si="38"/>
        <v>57</v>
      </c>
      <c r="M513" s="2">
        <f t="shared" si="39"/>
        <v>99.7</v>
      </c>
    </row>
    <row r="514" spans="1:13" x14ac:dyDescent="0.3">
      <c r="A514" s="2">
        <f>Datos!A514</f>
        <v>783</v>
      </c>
      <c r="B514" s="2" t="str">
        <f>Datos!B514</f>
        <v>Male</v>
      </c>
      <c r="C514" s="2" t="str">
        <f>Datos!C514</f>
        <v>High School</v>
      </c>
      <c r="D514" s="2" t="str">
        <f>Datos!G514</f>
        <v>C</v>
      </c>
      <c r="E514" s="2">
        <f>Datos!I514</f>
        <v>6.1</v>
      </c>
      <c r="F514" s="2">
        <f>Datos!J514</f>
        <v>69.900000000000006</v>
      </c>
      <c r="G514" s="2">
        <f>Datos!L514</f>
        <v>51.4</v>
      </c>
      <c r="H514" s="2">
        <f>Datos!M514</f>
        <v>70.5</v>
      </c>
      <c r="I514" s="2" t="b">
        <f t="shared" ref="I514:I577" si="40">AND(E514&gt;=0,E514&lt;=12,F514&gt;=0,F514&lt;=100,G514&gt;=0,G514&lt;=100,H514&gt;=0,H514&lt;=100)</f>
        <v>1</v>
      </c>
      <c r="J514" s="2">
        <f t="shared" ref="J514:J577" si="41">IF(I514,H514,"")</f>
        <v>70.5</v>
      </c>
      <c r="K514" s="2">
        <f t="shared" ref="K514:K577" si="42">IF(I514,E514,"")</f>
        <v>6.1</v>
      </c>
      <c r="L514" s="2">
        <f t="shared" ref="L514:L577" si="43">IF(I514,G514,"")</f>
        <v>51.4</v>
      </c>
      <c r="M514" s="2">
        <f t="shared" ref="M514:M577" si="44">IF(I514,F514,"")</f>
        <v>69.900000000000006</v>
      </c>
    </row>
    <row r="515" spans="1:13" x14ac:dyDescent="0.3">
      <c r="A515" s="2">
        <f>Datos!A515</f>
        <v>422</v>
      </c>
      <c r="B515" s="2" t="str">
        <f>Datos!B515</f>
        <v>Male</v>
      </c>
      <c r="C515" s="2" t="str">
        <f>Datos!C515</f>
        <v>Masters</v>
      </c>
      <c r="D515" s="2" t="str">
        <f>Datos!G515</f>
        <v>F</v>
      </c>
      <c r="E515" s="2">
        <f>Datos!I515</f>
        <v>3.2</v>
      </c>
      <c r="F515" s="2">
        <f>Datos!J515</f>
        <v>74.599999999999994</v>
      </c>
      <c r="G515" s="2">
        <f>Datos!L515</f>
        <v>36.200000000000003</v>
      </c>
      <c r="H515" s="2">
        <f>Datos!M515</f>
        <v>56.7</v>
      </c>
      <c r="I515" s="2" t="b">
        <f t="shared" si="40"/>
        <v>1</v>
      </c>
      <c r="J515" s="2">
        <f t="shared" si="41"/>
        <v>56.7</v>
      </c>
      <c r="K515" s="2">
        <f t="shared" si="42"/>
        <v>3.2</v>
      </c>
      <c r="L515" s="2">
        <f t="shared" si="43"/>
        <v>36.200000000000003</v>
      </c>
      <c r="M515" s="2">
        <f t="shared" si="44"/>
        <v>74.599999999999994</v>
      </c>
    </row>
    <row r="516" spans="1:13" x14ac:dyDescent="0.3">
      <c r="A516" s="2">
        <f>Datos!A516</f>
        <v>521</v>
      </c>
      <c r="B516" s="2" t="str">
        <f>Datos!B516</f>
        <v>Female</v>
      </c>
      <c r="C516" s="2" t="str">
        <f>Datos!C516</f>
        <v>High School</v>
      </c>
      <c r="D516" s="2" t="str">
        <f>Datos!G516</f>
        <v>B</v>
      </c>
      <c r="E516" s="2">
        <f>Datos!I516</f>
        <v>5.2</v>
      </c>
      <c r="F516" s="2">
        <f>Datos!J516</f>
        <v>94.9</v>
      </c>
      <c r="G516" s="2">
        <f>Datos!L516</f>
        <v>66.5</v>
      </c>
      <c r="H516" s="2">
        <f>Datos!M516</f>
        <v>85.2</v>
      </c>
      <c r="I516" s="2" t="b">
        <f t="shared" si="40"/>
        <v>1</v>
      </c>
      <c r="J516" s="2">
        <f t="shared" si="41"/>
        <v>85.2</v>
      </c>
      <c r="K516" s="2">
        <f t="shared" si="42"/>
        <v>5.2</v>
      </c>
      <c r="L516" s="2">
        <f t="shared" si="43"/>
        <v>66.5</v>
      </c>
      <c r="M516" s="2">
        <f t="shared" si="44"/>
        <v>94.9</v>
      </c>
    </row>
    <row r="517" spans="1:13" x14ac:dyDescent="0.3">
      <c r="A517" s="2">
        <f>Datos!A517</f>
        <v>950</v>
      </c>
      <c r="B517" s="2" t="str">
        <f>Datos!B517</f>
        <v>Female</v>
      </c>
      <c r="C517" s="2" t="str">
        <f>Datos!C517</f>
        <v>PhD</v>
      </c>
      <c r="D517" s="2" t="str">
        <f>Datos!G517</f>
        <v>B</v>
      </c>
      <c r="E517" s="2">
        <f>Datos!I517</f>
        <v>2.5</v>
      </c>
      <c r="F517" s="2">
        <f>Datos!J517</f>
        <v>73.5</v>
      </c>
      <c r="G517" s="2">
        <f>Datos!L517</f>
        <v>88.9</v>
      </c>
      <c r="H517" s="2">
        <f>Datos!M517</f>
        <v>82.6</v>
      </c>
      <c r="I517" s="2" t="b">
        <f t="shared" si="40"/>
        <v>1</v>
      </c>
      <c r="J517" s="2">
        <f t="shared" si="41"/>
        <v>82.6</v>
      </c>
      <c r="K517" s="2">
        <f t="shared" si="42"/>
        <v>2.5</v>
      </c>
      <c r="L517" s="2">
        <f t="shared" si="43"/>
        <v>88.9</v>
      </c>
      <c r="M517" s="2">
        <f t="shared" si="44"/>
        <v>73.5</v>
      </c>
    </row>
    <row r="518" spans="1:13" x14ac:dyDescent="0.3">
      <c r="A518" s="2">
        <f>Datos!A518</f>
        <v>276</v>
      </c>
      <c r="B518" s="2" t="str">
        <f>Datos!B518</f>
        <v>Male</v>
      </c>
      <c r="C518" s="2" t="str">
        <f>Datos!C518</f>
        <v>High School</v>
      </c>
      <c r="D518" s="2" t="str">
        <f>Datos!G518</f>
        <v>C</v>
      </c>
      <c r="E518" s="2">
        <f>Datos!I518</f>
        <v>6.6</v>
      </c>
      <c r="F518" s="2">
        <f>Datos!J518</f>
        <v>82.7</v>
      </c>
      <c r="G518" s="2">
        <f>Datos!L518</f>
        <v>58</v>
      </c>
      <c r="H518" s="2">
        <f>Datos!M518</f>
        <v>79.599999999999994</v>
      </c>
      <c r="I518" s="2" t="b">
        <f t="shared" si="40"/>
        <v>1</v>
      </c>
      <c r="J518" s="2">
        <f t="shared" si="41"/>
        <v>79.599999999999994</v>
      </c>
      <c r="K518" s="2">
        <f t="shared" si="42"/>
        <v>6.6</v>
      </c>
      <c r="L518" s="2">
        <f t="shared" si="43"/>
        <v>58</v>
      </c>
      <c r="M518" s="2">
        <f t="shared" si="44"/>
        <v>82.7</v>
      </c>
    </row>
    <row r="519" spans="1:13" x14ac:dyDescent="0.3">
      <c r="A519" s="2">
        <f>Datos!A519</f>
        <v>202</v>
      </c>
      <c r="B519" s="2" t="str">
        <f>Datos!B519</f>
        <v>Female</v>
      </c>
      <c r="C519" s="2" t="str">
        <f>Datos!C519</f>
        <v>Masters</v>
      </c>
      <c r="D519" s="2" t="str">
        <f>Datos!G519</f>
        <v>C</v>
      </c>
      <c r="E519" s="2">
        <f>Datos!I519</f>
        <v>2</v>
      </c>
      <c r="F519" s="2">
        <f>Datos!J519</f>
        <v>94</v>
      </c>
      <c r="G519" s="2">
        <f>Datos!L519</f>
        <v>72.2</v>
      </c>
      <c r="H519" s="2">
        <f>Datos!M519</f>
        <v>73</v>
      </c>
      <c r="I519" s="2" t="b">
        <f t="shared" si="40"/>
        <v>1</v>
      </c>
      <c r="J519" s="2">
        <f t="shared" si="41"/>
        <v>73</v>
      </c>
      <c r="K519" s="2">
        <f t="shared" si="42"/>
        <v>2</v>
      </c>
      <c r="L519" s="2">
        <f t="shared" si="43"/>
        <v>72.2</v>
      </c>
      <c r="M519" s="2">
        <f t="shared" si="44"/>
        <v>94</v>
      </c>
    </row>
    <row r="520" spans="1:13" x14ac:dyDescent="0.3">
      <c r="A520" s="2">
        <f>Datos!A520</f>
        <v>767</v>
      </c>
      <c r="B520" s="2" t="str">
        <f>Datos!B520</f>
        <v>Male</v>
      </c>
      <c r="C520" s="2" t="str">
        <f>Datos!C520</f>
        <v>Masters</v>
      </c>
      <c r="D520" s="2" t="str">
        <f>Datos!G520</f>
        <v>B</v>
      </c>
      <c r="E520" s="2">
        <f>Datos!I520</f>
        <v>4.8</v>
      </c>
      <c r="F520" s="2">
        <f>Datos!J520</f>
        <v>90.9</v>
      </c>
      <c r="G520" s="2">
        <f>Datos!L520</f>
        <v>51.8</v>
      </c>
      <c r="H520" s="2">
        <f>Datos!M520</f>
        <v>81.8</v>
      </c>
      <c r="I520" s="2" t="b">
        <f t="shared" si="40"/>
        <v>1</v>
      </c>
      <c r="J520" s="2">
        <f t="shared" si="41"/>
        <v>81.8</v>
      </c>
      <c r="K520" s="2">
        <f t="shared" si="42"/>
        <v>4.8</v>
      </c>
      <c r="L520" s="2">
        <f t="shared" si="43"/>
        <v>51.8</v>
      </c>
      <c r="M520" s="2">
        <f t="shared" si="44"/>
        <v>90.9</v>
      </c>
    </row>
    <row r="521" spans="1:13" x14ac:dyDescent="0.3">
      <c r="A521" s="2">
        <f>Datos!A521</f>
        <v>123</v>
      </c>
      <c r="B521" s="2" t="str">
        <f>Datos!B521</f>
        <v>Male</v>
      </c>
      <c r="C521" s="2" t="str">
        <f>Datos!C521</f>
        <v>High School</v>
      </c>
      <c r="D521" s="2" t="str">
        <f>Datos!G521</f>
        <v>B</v>
      </c>
      <c r="E521" s="2">
        <f>Datos!I521</f>
        <v>5.7</v>
      </c>
      <c r="F521" s="2">
        <f>Datos!J521</f>
        <v>94.4</v>
      </c>
      <c r="G521" s="2">
        <f>Datos!L521</f>
        <v>94.9</v>
      </c>
      <c r="H521" s="2">
        <f>Datos!M521</f>
        <v>86.4</v>
      </c>
      <c r="I521" s="2" t="b">
        <f t="shared" si="40"/>
        <v>1</v>
      </c>
      <c r="J521" s="2">
        <f t="shared" si="41"/>
        <v>86.4</v>
      </c>
      <c r="K521" s="2">
        <f t="shared" si="42"/>
        <v>5.7</v>
      </c>
      <c r="L521" s="2">
        <f t="shared" si="43"/>
        <v>94.9</v>
      </c>
      <c r="M521" s="2">
        <f t="shared" si="44"/>
        <v>94.4</v>
      </c>
    </row>
    <row r="522" spans="1:13" x14ac:dyDescent="0.3">
      <c r="A522" s="2">
        <f>Datos!A522</f>
        <v>191</v>
      </c>
      <c r="B522" s="2" t="str">
        <f>Datos!B522</f>
        <v>Male</v>
      </c>
      <c r="C522" s="2" t="str">
        <f>Datos!C522</f>
        <v>PhD</v>
      </c>
      <c r="D522" s="2" t="str">
        <f>Datos!G522</f>
        <v>F</v>
      </c>
      <c r="E522" s="2">
        <f>Datos!I522</f>
        <v>2.5</v>
      </c>
      <c r="F522" s="2">
        <f>Datos!J522</f>
        <v>92</v>
      </c>
      <c r="G522" s="2">
        <f>Datos!L522</f>
        <v>36.5</v>
      </c>
      <c r="H522" s="2">
        <f>Datos!M522</f>
        <v>49.4</v>
      </c>
      <c r="I522" s="2" t="b">
        <f t="shared" si="40"/>
        <v>1</v>
      </c>
      <c r="J522" s="2">
        <f t="shared" si="41"/>
        <v>49.4</v>
      </c>
      <c r="K522" s="2">
        <f t="shared" si="42"/>
        <v>2.5</v>
      </c>
      <c r="L522" s="2">
        <f t="shared" si="43"/>
        <v>36.5</v>
      </c>
      <c r="M522" s="2">
        <f t="shared" si="44"/>
        <v>92</v>
      </c>
    </row>
    <row r="523" spans="1:13" x14ac:dyDescent="0.3">
      <c r="A523" s="2">
        <f>Datos!A523</f>
        <v>585</v>
      </c>
      <c r="B523" s="2" t="str">
        <f>Datos!B523</f>
        <v>Female</v>
      </c>
      <c r="C523" s="2" t="str">
        <f>Datos!C523</f>
        <v>PhD</v>
      </c>
      <c r="D523" s="2" t="str">
        <f>Datos!G523</f>
        <v>B</v>
      </c>
      <c r="E523" s="2">
        <f>Datos!I523</f>
        <v>6.5</v>
      </c>
      <c r="F523" s="2">
        <f>Datos!J523</f>
        <v>82.2</v>
      </c>
      <c r="G523" s="2">
        <f>Datos!L523</f>
        <v>57.9</v>
      </c>
      <c r="H523" s="2">
        <f>Datos!M523</f>
        <v>87.9</v>
      </c>
      <c r="I523" s="2" t="b">
        <f t="shared" si="40"/>
        <v>1</v>
      </c>
      <c r="J523" s="2">
        <f t="shared" si="41"/>
        <v>87.9</v>
      </c>
      <c r="K523" s="2">
        <f t="shared" si="42"/>
        <v>6.5</v>
      </c>
      <c r="L523" s="2">
        <f t="shared" si="43"/>
        <v>57.9</v>
      </c>
      <c r="M523" s="2">
        <f t="shared" si="44"/>
        <v>82.2</v>
      </c>
    </row>
    <row r="524" spans="1:13" x14ac:dyDescent="0.3">
      <c r="A524" s="2">
        <f>Datos!A524</f>
        <v>856</v>
      </c>
      <c r="B524" s="2" t="str">
        <f>Datos!B524</f>
        <v>Male</v>
      </c>
      <c r="C524" s="2" t="str">
        <f>Datos!C524</f>
        <v>High School</v>
      </c>
      <c r="D524" s="2" t="str">
        <f>Datos!G524</f>
        <v>D</v>
      </c>
      <c r="E524" s="2">
        <f>Datos!I524</f>
        <v>2.2999999999999998</v>
      </c>
      <c r="F524" s="2">
        <f>Datos!J524</f>
        <v>66.599999999999994</v>
      </c>
      <c r="G524" s="2">
        <f>Datos!L524</f>
        <v>46.8</v>
      </c>
      <c r="H524" s="2">
        <f>Datos!M524</f>
        <v>66.099999999999994</v>
      </c>
      <c r="I524" s="2" t="b">
        <f t="shared" si="40"/>
        <v>1</v>
      </c>
      <c r="J524" s="2">
        <f t="shared" si="41"/>
        <v>66.099999999999994</v>
      </c>
      <c r="K524" s="2">
        <f t="shared" si="42"/>
        <v>2.2999999999999998</v>
      </c>
      <c r="L524" s="2">
        <f t="shared" si="43"/>
        <v>46.8</v>
      </c>
      <c r="M524" s="2">
        <f t="shared" si="44"/>
        <v>66.599999999999994</v>
      </c>
    </row>
    <row r="525" spans="1:13" x14ac:dyDescent="0.3">
      <c r="A525" s="2">
        <f>Datos!A525</f>
        <v>624</v>
      </c>
      <c r="B525" s="2" t="str">
        <f>Datos!B525</f>
        <v>Female</v>
      </c>
      <c r="C525" s="2" t="str">
        <f>Datos!C525</f>
        <v>Bachelors</v>
      </c>
      <c r="D525" s="2" t="str">
        <f>Datos!G525</f>
        <v>C</v>
      </c>
      <c r="E525" s="2">
        <f>Datos!I525</f>
        <v>3.4</v>
      </c>
      <c r="F525" s="2">
        <f>Datos!J525</f>
        <v>75.900000000000006</v>
      </c>
      <c r="G525" s="2">
        <f>Datos!L525</f>
        <v>79.099999999999994</v>
      </c>
      <c r="H525" s="2">
        <f>Datos!M525</f>
        <v>78.5</v>
      </c>
      <c r="I525" s="2" t="b">
        <f t="shared" si="40"/>
        <v>1</v>
      </c>
      <c r="J525" s="2">
        <f t="shared" si="41"/>
        <v>78.5</v>
      </c>
      <c r="K525" s="2">
        <f t="shared" si="42"/>
        <v>3.4</v>
      </c>
      <c r="L525" s="2">
        <f t="shared" si="43"/>
        <v>79.099999999999994</v>
      </c>
      <c r="M525" s="2">
        <f t="shared" si="44"/>
        <v>75.900000000000006</v>
      </c>
    </row>
    <row r="526" spans="1:13" x14ac:dyDescent="0.3">
      <c r="A526" s="2">
        <f>Datos!A526</f>
        <v>41</v>
      </c>
      <c r="B526" s="2" t="str">
        <f>Datos!B526</f>
        <v>Female</v>
      </c>
      <c r="C526" s="2">
        <f>Datos!C526</f>
        <v>0</v>
      </c>
      <c r="D526" s="2" t="str">
        <f>Datos!G526</f>
        <v>C</v>
      </c>
      <c r="E526" s="2">
        <f>Datos!I526</f>
        <v>1.1000000000000001</v>
      </c>
      <c r="F526" s="2">
        <f>Datos!J526</f>
        <v>88</v>
      </c>
      <c r="G526" s="2">
        <f>Datos!L526</f>
        <v>88.9</v>
      </c>
      <c r="H526" s="2">
        <f>Datos!M526</f>
        <v>71.7</v>
      </c>
      <c r="I526" s="2" t="b">
        <f t="shared" si="40"/>
        <v>1</v>
      </c>
      <c r="J526" s="2">
        <f t="shared" si="41"/>
        <v>71.7</v>
      </c>
      <c r="K526" s="2">
        <f t="shared" si="42"/>
        <v>1.1000000000000001</v>
      </c>
      <c r="L526" s="2">
        <f t="shared" si="43"/>
        <v>88.9</v>
      </c>
      <c r="M526" s="2">
        <f t="shared" si="44"/>
        <v>88</v>
      </c>
    </row>
    <row r="527" spans="1:13" x14ac:dyDescent="0.3">
      <c r="A527" s="2">
        <f>Datos!A527</f>
        <v>342</v>
      </c>
      <c r="B527" s="2" t="str">
        <f>Datos!B527</f>
        <v>Female</v>
      </c>
      <c r="C527" s="2" t="str">
        <f>Datos!C527</f>
        <v>Masters</v>
      </c>
      <c r="D527" s="2" t="str">
        <f>Datos!G527</f>
        <v>A</v>
      </c>
      <c r="E527" s="2">
        <f>Datos!I527</f>
        <v>6.1</v>
      </c>
      <c r="F527" s="2">
        <f>Datos!J527</f>
        <v>96.7</v>
      </c>
      <c r="G527" s="2">
        <f>Datos!L527</f>
        <v>48.3</v>
      </c>
      <c r="H527" s="2">
        <f>Datos!M527</f>
        <v>94.1</v>
      </c>
      <c r="I527" s="2" t="b">
        <f t="shared" si="40"/>
        <v>1</v>
      </c>
      <c r="J527" s="2">
        <f t="shared" si="41"/>
        <v>94.1</v>
      </c>
      <c r="K527" s="2">
        <f t="shared" si="42"/>
        <v>6.1</v>
      </c>
      <c r="L527" s="2">
        <f t="shared" si="43"/>
        <v>48.3</v>
      </c>
      <c r="M527" s="2">
        <f t="shared" si="44"/>
        <v>96.7</v>
      </c>
    </row>
    <row r="528" spans="1:13" x14ac:dyDescent="0.3">
      <c r="A528" s="2">
        <f>Datos!A528</f>
        <v>642</v>
      </c>
      <c r="B528" s="2" t="str">
        <f>Datos!B528</f>
        <v>Male</v>
      </c>
      <c r="C528" s="2" t="str">
        <f>Datos!C528</f>
        <v>PhD</v>
      </c>
      <c r="D528" s="2" t="str">
        <f>Datos!G528</f>
        <v>C</v>
      </c>
      <c r="E528" s="2">
        <f>Datos!I528</f>
        <v>2.1</v>
      </c>
      <c r="F528" s="2">
        <f>Datos!J528</f>
        <v>90.8</v>
      </c>
      <c r="G528" s="2">
        <f>Datos!L528</f>
        <v>84.2</v>
      </c>
      <c r="H528" s="2">
        <f>Datos!M528</f>
        <v>75.099999999999994</v>
      </c>
      <c r="I528" s="2" t="b">
        <f t="shared" si="40"/>
        <v>1</v>
      </c>
      <c r="J528" s="2">
        <f t="shared" si="41"/>
        <v>75.099999999999994</v>
      </c>
      <c r="K528" s="2">
        <f t="shared" si="42"/>
        <v>2.1</v>
      </c>
      <c r="L528" s="2">
        <f t="shared" si="43"/>
        <v>84.2</v>
      </c>
      <c r="M528" s="2">
        <f t="shared" si="44"/>
        <v>90.8</v>
      </c>
    </row>
    <row r="529" spans="1:13" x14ac:dyDescent="0.3">
      <c r="A529" s="2">
        <f>Datos!A529</f>
        <v>719</v>
      </c>
      <c r="B529" s="2" t="str">
        <f>Datos!B529</f>
        <v>Male</v>
      </c>
      <c r="C529" s="2" t="str">
        <f>Datos!C529</f>
        <v>High School</v>
      </c>
      <c r="D529" s="2" t="str">
        <f>Datos!G529</f>
        <v>C</v>
      </c>
      <c r="E529" s="2">
        <f>Datos!I529</f>
        <v>5.4</v>
      </c>
      <c r="F529" s="2">
        <f>Datos!J529</f>
        <v>81.3</v>
      </c>
      <c r="G529" s="2">
        <f>Datos!L529</f>
        <v>50.3</v>
      </c>
      <c r="H529" s="2">
        <f>Datos!M529</f>
        <v>75.8</v>
      </c>
      <c r="I529" s="2" t="b">
        <f t="shared" si="40"/>
        <v>1</v>
      </c>
      <c r="J529" s="2">
        <f t="shared" si="41"/>
        <v>75.8</v>
      </c>
      <c r="K529" s="2">
        <f t="shared" si="42"/>
        <v>5.4</v>
      </c>
      <c r="L529" s="2">
        <f t="shared" si="43"/>
        <v>50.3</v>
      </c>
      <c r="M529" s="2">
        <f t="shared" si="44"/>
        <v>81.3</v>
      </c>
    </row>
    <row r="530" spans="1:13" x14ac:dyDescent="0.3">
      <c r="A530" s="2">
        <f>Datos!A530</f>
        <v>493</v>
      </c>
      <c r="B530" s="2" t="str">
        <f>Datos!B530</f>
        <v>Male</v>
      </c>
      <c r="C530" s="2" t="str">
        <f>Datos!C530</f>
        <v>High School</v>
      </c>
      <c r="D530" s="2" t="str">
        <f>Datos!G530</f>
        <v>D</v>
      </c>
      <c r="E530" s="2">
        <f>Datos!I530</f>
        <v>2.5</v>
      </c>
      <c r="F530" s="2">
        <f>Datos!J530</f>
        <v>66.400000000000006</v>
      </c>
      <c r="G530" s="2">
        <f>Datos!L530</f>
        <v>62.5</v>
      </c>
      <c r="H530" s="2">
        <f>Datos!M530</f>
        <v>60.4</v>
      </c>
      <c r="I530" s="2" t="b">
        <f t="shared" si="40"/>
        <v>1</v>
      </c>
      <c r="J530" s="2">
        <f t="shared" si="41"/>
        <v>60.4</v>
      </c>
      <c r="K530" s="2">
        <f t="shared" si="42"/>
        <v>2.5</v>
      </c>
      <c r="L530" s="2">
        <f t="shared" si="43"/>
        <v>62.5</v>
      </c>
      <c r="M530" s="2">
        <f t="shared" si="44"/>
        <v>66.400000000000006</v>
      </c>
    </row>
    <row r="531" spans="1:13" x14ac:dyDescent="0.3">
      <c r="A531" s="2">
        <f>Datos!A531</f>
        <v>845</v>
      </c>
      <c r="B531" s="2" t="str">
        <f>Datos!B531</f>
        <v>Male</v>
      </c>
      <c r="C531" s="2" t="str">
        <f>Datos!C531</f>
        <v>Bachelors</v>
      </c>
      <c r="D531" s="2" t="str">
        <f>Datos!G531</f>
        <v>A</v>
      </c>
      <c r="E531" s="2">
        <f>Datos!I531</f>
        <v>5.8</v>
      </c>
      <c r="F531" s="2">
        <f>Datos!J531</f>
        <v>83.5</v>
      </c>
      <c r="G531" s="2">
        <f>Datos!L531</f>
        <v>79.5</v>
      </c>
      <c r="H531" s="2">
        <f>Datos!M531</f>
        <v>94</v>
      </c>
      <c r="I531" s="2" t="b">
        <f t="shared" si="40"/>
        <v>1</v>
      </c>
      <c r="J531" s="2">
        <f t="shared" si="41"/>
        <v>94</v>
      </c>
      <c r="K531" s="2">
        <f t="shared" si="42"/>
        <v>5.8</v>
      </c>
      <c r="L531" s="2">
        <f t="shared" si="43"/>
        <v>79.5</v>
      </c>
      <c r="M531" s="2">
        <f t="shared" si="44"/>
        <v>83.5</v>
      </c>
    </row>
    <row r="532" spans="1:13" x14ac:dyDescent="0.3">
      <c r="A532" s="2">
        <f>Datos!A532</f>
        <v>430</v>
      </c>
      <c r="B532" s="2" t="str">
        <f>Datos!B532</f>
        <v>Female</v>
      </c>
      <c r="C532" s="2" t="str">
        <f>Datos!C532</f>
        <v>Bachelors</v>
      </c>
      <c r="D532" s="2" t="str">
        <f>Datos!G532</f>
        <v>D</v>
      </c>
      <c r="E532" s="2">
        <f>Datos!I532</f>
        <v>2.9</v>
      </c>
      <c r="F532" s="2">
        <f>Datos!J532</f>
        <v>72.099999999999994</v>
      </c>
      <c r="G532" s="2">
        <f>Datos!L532</f>
        <v>35.1</v>
      </c>
      <c r="H532" s="2">
        <f>Datos!M532</f>
        <v>63.2</v>
      </c>
      <c r="I532" s="2" t="b">
        <f t="shared" si="40"/>
        <v>1</v>
      </c>
      <c r="J532" s="2">
        <f t="shared" si="41"/>
        <v>63.2</v>
      </c>
      <c r="K532" s="2">
        <f t="shared" si="42"/>
        <v>2.9</v>
      </c>
      <c r="L532" s="2">
        <f t="shared" si="43"/>
        <v>35.1</v>
      </c>
      <c r="M532" s="2">
        <f t="shared" si="44"/>
        <v>72.099999999999994</v>
      </c>
    </row>
    <row r="533" spans="1:13" x14ac:dyDescent="0.3">
      <c r="A533" s="2">
        <f>Datos!A533</f>
        <v>426</v>
      </c>
      <c r="B533" s="2" t="str">
        <f>Datos!B533</f>
        <v>Female</v>
      </c>
      <c r="C533" s="2" t="str">
        <f>Datos!C533</f>
        <v>Bachelors</v>
      </c>
      <c r="D533" s="2" t="str">
        <f>Datos!G533</f>
        <v>C</v>
      </c>
      <c r="E533" s="2">
        <f>Datos!I533</f>
        <v>2.4</v>
      </c>
      <c r="F533" s="2">
        <f>Datos!J533</f>
        <v>80.400000000000006</v>
      </c>
      <c r="G533" s="2">
        <f>Datos!L533</f>
        <v>76</v>
      </c>
      <c r="H533" s="2">
        <f>Datos!M533</f>
        <v>70.900000000000006</v>
      </c>
      <c r="I533" s="2" t="b">
        <f t="shared" si="40"/>
        <v>1</v>
      </c>
      <c r="J533" s="2">
        <f t="shared" si="41"/>
        <v>70.900000000000006</v>
      </c>
      <c r="K533" s="2">
        <f t="shared" si="42"/>
        <v>2.4</v>
      </c>
      <c r="L533" s="2">
        <f t="shared" si="43"/>
        <v>76</v>
      </c>
      <c r="M533" s="2">
        <f t="shared" si="44"/>
        <v>80.400000000000006</v>
      </c>
    </row>
    <row r="534" spans="1:13" x14ac:dyDescent="0.3">
      <c r="A534" s="2">
        <f>Datos!A534</f>
        <v>641</v>
      </c>
      <c r="B534" s="2" t="str">
        <f>Datos!B534</f>
        <v>Male</v>
      </c>
      <c r="C534" s="2" t="str">
        <f>Datos!C534</f>
        <v>High School</v>
      </c>
      <c r="D534" s="2" t="str">
        <f>Datos!G534</f>
        <v>D</v>
      </c>
      <c r="E534" s="2">
        <f>Datos!I534</f>
        <v>0.7</v>
      </c>
      <c r="F534" s="2">
        <f>Datos!J534</f>
        <v>89.8</v>
      </c>
      <c r="G534" s="2">
        <f>Datos!L534</f>
        <v>94.7</v>
      </c>
      <c r="H534" s="2">
        <f>Datos!M534</f>
        <v>60.2</v>
      </c>
      <c r="I534" s="2" t="b">
        <f t="shared" si="40"/>
        <v>1</v>
      </c>
      <c r="J534" s="2">
        <f t="shared" si="41"/>
        <v>60.2</v>
      </c>
      <c r="K534" s="2">
        <f t="shared" si="42"/>
        <v>0.7</v>
      </c>
      <c r="L534" s="2">
        <f t="shared" si="43"/>
        <v>94.7</v>
      </c>
      <c r="M534" s="2">
        <f t="shared" si="44"/>
        <v>89.8</v>
      </c>
    </row>
    <row r="535" spans="1:13" x14ac:dyDescent="0.3">
      <c r="A535" s="2">
        <f>Datos!A535</f>
        <v>377</v>
      </c>
      <c r="B535" s="2" t="str">
        <f>Datos!B535</f>
        <v>Female</v>
      </c>
      <c r="C535" s="2">
        <f>Datos!C535</f>
        <v>0</v>
      </c>
      <c r="D535" s="2" t="str">
        <f>Datos!G535</f>
        <v>D</v>
      </c>
      <c r="E535" s="2">
        <f>Datos!I535</f>
        <v>5</v>
      </c>
      <c r="F535" s="2">
        <f>Datos!J535</f>
        <v>99.1</v>
      </c>
      <c r="G535" s="2">
        <f>Datos!L535</f>
        <v>41.6</v>
      </c>
      <c r="H535" s="2">
        <f>Datos!M535</f>
        <v>74.900000000000006</v>
      </c>
      <c r="I535" s="2" t="b">
        <f t="shared" si="40"/>
        <v>1</v>
      </c>
      <c r="J535" s="2">
        <f t="shared" si="41"/>
        <v>74.900000000000006</v>
      </c>
      <c r="K535" s="2">
        <f t="shared" si="42"/>
        <v>5</v>
      </c>
      <c r="L535" s="2">
        <f t="shared" si="43"/>
        <v>41.6</v>
      </c>
      <c r="M535" s="2">
        <f t="shared" si="44"/>
        <v>99.1</v>
      </c>
    </row>
    <row r="536" spans="1:13" x14ac:dyDescent="0.3">
      <c r="A536" s="2">
        <f>Datos!A536</f>
        <v>482</v>
      </c>
      <c r="B536" s="2" t="str">
        <f>Datos!B536</f>
        <v>Female</v>
      </c>
      <c r="C536" s="2" t="str">
        <f>Datos!C536</f>
        <v>Bachelors</v>
      </c>
      <c r="D536" s="2" t="str">
        <f>Datos!G536</f>
        <v>B</v>
      </c>
      <c r="E536" s="2">
        <f>Datos!I536</f>
        <v>5.8</v>
      </c>
      <c r="F536" s="2">
        <f>Datos!J536</f>
        <v>69.5</v>
      </c>
      <c r="G536" s="2">
        <f>Datos!L536</f>
        <v>92</v>
      </c>
      <c r="H536" s="2">
        <f>Datos!M536</f>
        <v>86.2</v>
      </c>
      <c r="I536" s="2" t="b">
        <f t="shared" si="40"/>
        <v>1</v>
      </c>
      <c r="J536" s="2">
        <f t="shared" si="41"/>
        <v>86.2</v>
      </c>
      <c r="K536" s="2">
        <f t="shared" si="42"/>
        <v>5.8</v>
      </c>
      <c r="L536" s="2">
        <f t="shared" si="43"/>
        <v>92</v>
      </c>
      <c r="M536" s="2">
        <f t="shared" si="44"/>
        <v>69.5</v>
      </c>
    </row>
    <row r="537" spans="1:13" x14ac:dyDescent="0.3">
      <c r="A537" s="2">
        <f>Datos!A537</f>
        <v>124</v>
      </c>
      <c r="B537" s="2" t="str">
        <f>Datos!B537</f>
        <v>Female</v>
      </c>
      <c r="C537" s="2">
        <f>Datos!C537</f>
        <v>0</v>
      </c>
      <c r="D537" s="2" t="str">
        <f>Datos!G537</f>
        <v>B</v>
      </c>
      <c r="E537" s="2">
        <f>Datos!I537</f>
        <v>3.2</v>
      </c>
      <c r="F537" s="2">
        <f>Datos!J537</f>
        <v>86.7</v>
      </c>
      <c r="G537" s="2">
        <f>Datos!L537</f>
        <v>82.4</v>
      </c>
      <c r="H537" s="2">
        <f>Datos!M537</f>
        <v>82.7</v>
      </c>
      <c r="I537" s="2" t="b">
        <f t="shared" si="40"/>
        <v>1</v>
      </c>
      <c r="J537" s="2">
        <f t="shared" si="41"/>
        <v>82.7</v>
      </c>
      <c r="K537" s="2">
        <f t="shared" si="42"/>
        <v>3.2</v>
      </c>
      <c r="L537" s="2">
        <f t="shared" si="43"/>
        <v>82.4</v>
      </c>
      <c r="M537" s="2">
        <f t="shared" si="44"/>
        <v>86.7</v>
      </c>
    </row>
    <row r="538" spans="1:13" x14ac:dyDescent="0.3">
      <c r="A538" s="2">
        <f>Datos!A538</f>
        <v>533</v>
      </c>
      <c r="B538" s="2" t="str">
        <f>Datos!B538</f>
        <v>Female</v>
      </c>
      <c r="C538" s="2" t="str">
        <f>Datos!C538</f>
        <v>Masters</v>
      </c>
      <c r="D538" s="2" t="str">
        <f>Datos!G538</f>
        <v>F</v>
      </c>
      <c r="E538" s="2">
        <f>Datos!I538</f>
        <v>3.3</v>
      </c>
      <c r="F538" s="2">
        <f>Datos!J538</f>
        <v>72.3</v>
      </c>
      <c r="G538" s="2">
        <f>Datos!L538</f>
        <v>59.5</v>
      </c>
      <c r="H538" s="2">
        <f>Datos!M538</f>
        <v>58.6</v>
      </c>
      <c r="I538" s="2" t="b">
        <f t="shared" si="40"/>
        <v>1</v>
      </c>
      <c r="J538" s="2">
        <f t="shared" si="41"/>
        <v>58.6</v>
      </c>
      <c r="K538" s="2">
        <f t="shared" si="42"/>
        <v>3.3</v>
      </c>
      <c r="L538" s="2">
        <f t="shared" si="43"/>
        <v>59.5</v>
      </c>
      <c r="M538" s="2">
        <f t="shared" si="44"/>
        <v>72.3</v>
      </c>
    </row>
    <row r="539" spans="1:13" x14ac:dyDescent="0.3">
      <c r="A539" s="2">
        <f>Datos!A539</f>
        <v>925</v>
      </c>
      <c r="B539" s="2" t="str">
        <f>Datos!B539</f>
        <v>Male</v>
      </c>
      <c r="C539" s="2" t="str">
        <f>Datos!C539</f>
        <v>High School</v>
      </c>
      <c r="D539" s="2" t="str">
        <f>Datos!G539</f>
        <v>B</v>
      </c>
      <c r="E539" s="2">
        <f>Datos!I539</f>
        <v>5</v>
      </c>
      <c r="F539" s="2">
        <f>Datos!J539</f>
        <v>94</v>
      </c>
      <c r="G539" s="2">
        <f>Datos!L539</f>
        <v>69</v>
      </c>
      <c r="H539" s="2">
        <f>Datos!M539</f>
        <v>82</v>
      </c>
      <c r="I539" s="2" t="b">
        <f t="shared" si="40"/>
        <v>1</v>
      </c>
      <c r="J539" s="2">
        <f t="shared" si="41"/>
        <v>82</v>
      </c>
      <c r="K539" s="2">
        <f t="shared" si="42"/>
        <v>5</v>
      </c>
      <c r="L539" s="2">
        <f t="shared" si="43"/>
        <v>69</v>
      </c>
      <c r="M539" s="2">
        <f t="shared" si="44"/>
        <v>94</v>
      </c>
    </row>
    <row r="540" spans="1:13" x14ac:dyDescent="0.3">
      <c r="A540" s="2">
        <f>Datos!A540</f>
        <v>160</v>
      </c>
      <c r="B540" s="2" t="str">
        <f>Datos!B540</f>
        <v>Female</v>
      </c>
      <c r="C540" s="2" t="str">
        <f>Datos!C540</f>
        <v>High School</v>
      </c>
      <c r="D540" s="2" t="str">
        <f>Datos!G540</f>
        <v>C</v>
      </c>
      <c r="E540" s="2">
        <f>Datos!I540</f>
        <v>6.8</v>
      </c>
      <c r="F540" s="2">
        <f>Datos!J540</f>
        <v>82.2</v>
      </c>
      <c r="G540" s="2">
        <f>Datos!L540</f>
        <v>37.9</v>
      </c>
      <c r="H540" s="2">
        <f>Datos!M540</f>
        <v>74</v>
      </c>
      <c r="I540" s="2" t="b">
        <f t="shared" si="40"/>
        <v>1</v>
      </c>
      <c r="J540" s="2">
        <f t="shared" si="41"/>
        <v>74</v>
      </c>
      <c r="K540" s="2">
        <f t="shared" si="42"/>
        <v>6.8</v>
      </c>
      <c r="L540" s="2">
        <f t="shared" si="43"/>
        <v>37.9</v>
      </c>
      <c r="M540" s="2">
        <f t="shared" si="44"/>
        <v>82.2</v>
      </c>
    </row>
    <row r="541" spans="1:13" x14ac:dyDescent="0.3">
      <c r="A541" s="2">
        <f>Datos!A541</f>
        <v>143</v>
      </c>
      <c r="B541" s="2" t="str">
        <f>Datos!B541</f>
        <v>Female</v>
      </c>
      <c r="C541" s="2" t="str">
        <f>Datos!C541</f>
        <v>Bachelors</v>
      </c>
      <c r="D541" s="2" t="str">
        <f>Datos!G541</f>
        <v>B</v>
      </c>
      <c r="E541" s="2">
        <f>Datos!I541</f>
        <v>3.3</v>
      </c>
      <c r="F541" s="2">
        <f>Datos!J541</f>
        <v>87.2</v>
      </c>
      <c r="G541" s="2">
        <f>Datos!L541</f>
        <v>62.1</v>
      </c>
      <c r="H541" s="2">
        <f>Datos!M541</f>
        <v>84.7</v>
      </c>
      <c r="I541" s="2" t="b">
        <f t="shared" si="40"/>
        <v>1</v>
      </c>
      <c r="J541" s="2">
        <f t="shared" si="41"/>
        <v>84.7</v>
      </c>
      <c r="K541" s="2">
        <f t="shared" si="42"/>
        <v>3.3</v>
      </c>
      <c r="L541" s="2">
        <f t="shared" si="43"/>
        <v>62.1</v>
      </c>
      <c r="M541" s="2">
        <f t="shared" si="44"/>
        <v>87.2</v>
      </c>
    </row>
    <row r="542" spans="1:13" x14ac:dyDescent="0.3">
      <c r="A542" s="2">
        <f>Datos!A542</f>
        <v>240</v>
      </c>
      <c r="B542" s="2" t="str">
        <f>Datos!B542</f>
        <v>Female</v>
      </c>
      <c r="C542" s="2" t="str">
        <f>Datos!C542</f>
        <v>Masters</v>
      </c>
      <c r="D542" s="2" t="str">
        <f>Datos!G542</f>
        <v>C</v>
      </c>
      <c r="E542" s="2">
        <f>Datos!I542</f>
        <v>6.1</v>
      </c>
      <c r="F542" s="2">
        <f>Datos!J542</f>
        <v>68.400000000000006</v>
      </c>
      <c r="G542" s="2">
        <f>Datos!L542</f>
        <v>50.9</v>
      </c>
      <c r="H542" s="2">
        <f>Datos!M542</f>
        <v>76.099999999999994</v>
      </c>
      <c r="I542" s="2" t="b">
        <f t="shared" si="40"/>
        <v>1</v>
      </c>
      <c r="J542" s="2">
        <f t="shared" si="41"/>
        <v>76.099999999999994</v>
      </c>
      <c r="K542" s="2">
        <f t="shared" si="42"/>
        <v>6.1</v>
      </c>
      <c r="L542" s="2">
        <f t="shared" si="43"/>
        <v>50.9</v>
      </c>
      <c r="M542" s="2">
        <f t="shared" si="44"/>
        <v>68.400000000000006</v>
      </c>
    </row>
    <row r="543" spans="1:13" x14ac:dyDescent="0.3">
      <c r="A543" s="2">
        <f>Datos!A543</f>
        <v>752</v>
      </c>
      <c r="B543" s="2" t="str">
        <f>Datos!B543</f>
        <v>Female</v>
      </c>
      <c r="C543" s="2" t="str">
        <f>Datos!C543</f>
        <v>Bachelors</v>
      </c>
      <c r="D543" s="2" t="str">
        <f>Datos!G543</f>
        <v>D</v>
      </c>
      <c r="E543" s="2">
        <f>Datos!I543</f>
        <v>4.0999999999999996</v>
      </c>
      <c r="F543" s="2">
        <f>Datos!J543</f>
        <v>77.400000000000006</v>
      </c>
      <c r="G543" s="2">
        <f>Datos!L543</f>
        <v>38.700000000000003</v>
      </c>
      <c r="H543" s="2">
        <f>Datos!M543</f>
        <v>67</v>
      </c>
      <c r="I543" s="2" t="b">
        <f t="shared" si="40"/>
        <v>1</v>
      </c>
      <c r="J543" s="2">
        <f t="shared" si="41"/>
        <v>67</v>
      </c>
      <c r="K543" s="2">
        <f t="shared" si="42"/>
        <v>4.0999999999999996</v>
      </c>
      <c r="L543" s="2">
        <f t="shared" si="43"/>
        <v>38.700000000000003</v>
      </c>
      <c r="M543" s="2">
        <f t="shared" si="44"/>
        <v>77.400000000000006</v>
      </c>
    </row>
    <row r="544" spans="1:13" x14ac:dyDescent="0.3">
      <c r="A544" s="2">
        <f>Datos!A544</f>
        <v>596</v>
      </c>
      <c r="B544" s="2" t="str">
        <f>Datos!B544</f>
        <v>Male</v>
      </c>
      <c r="C544" s="2" t="str">
        <f>Datos!C544</f>
        <v>Masters</v>
      </c>
      <c r="D544" s="2" t="str">
        <f>Datos!G544</f>
        <v>C</v>
      </c>
      <c r="E544" s="2">
        <f>Datos!I544</f>
        <v>5.9</v>
      </c>
      <c r="F544" s="2">
        <f>Datos!J544</f>
        <v>76</v>
      </c>
      <c r="G544" s="2">
        <f>Datos!L544</f>
        <v>74</v>
      </c>
      <c r="H544" s="2">
        <f>Datos!M544</f>
        <v>75.599999999999994</v>
      </c>
      <c r="I544" s="2" t="b">
        <f t="shared" si="40"/>
        <v>1</v>
      </c>
      <c r="J544" s="2">
        <f t="shared" si="41"/>
        <v>75.599999999999994</v>
      </c>
      <c r="K544" s="2">
        <f t="shared" si="42"/>
        <v>5.9</v>
      </c>
      <c r="L544" s="2">
        <f t="shared" si="43"/>
        <v>74</v>
      </c>
      <c r="M544" s="2">
        <f t="shared" si="44"/>
        <v>76</v>
      </c>
    </row>
    <row r="545" spans="1:13" x14ac:dyDescent="0.3">
      <c r="A545" s="2">
        <f>Datos!A545</f>
        <v>889</v>
      </c>
      <c r="B545" s="2" t="str">
        <f>Datos!B545</f>
        <v>Male</v>
      </c>
      <c r="C545" s="2" t="str">
        <f>Datos!C545</f>
        <v>PhD</v>
      </c>
      <c r="D545" s="2" t="str">
        <f>Datos!G545</f>
        <v>C</v>
      </c>
      <c r="E545" s="2">
        <f>Datos!I545</f>
        <v>5.2</v>
      </c>
      <c r="F545" s="2">
        <f>Datos!J545</f>
        <v>88.7</v>
      </c>
      <c r="G545" s="2">
        <f>Datos!L545</f>
        <v>77.599999999999994</v>
      </c>
      <c r="H545" s="2">
        <f>Datos!M545</f>
        <v>78</v>
      </c>
      <c r="I545" s="2" t="b">
        <f t="shared" si="40"/>
        <v>1</v>
      </c>
      <c r="J545" s="2">
        <f t="shared" si="41"/>
        <v>78</v>
      </c>
      <c r="K545" s="2">
        <f t="shared" si="42"/>
        <v>5.2</v>
      </c>
      <c r="L545" s="2">
        <f t="shared" si="43"/>
        <v>77.599999999999994</v>
      </c>
      <c r="M545" s="2">
        <f t="shared" si="44"/>
        <v>88.7</v>
      </c>
    </row>
    <row r="546" spans="1:13" x14ac:dyDescent="0.3">
      <c r="A546" s="2">
        <f>Datos!A546</f>
        <v>442</v>
      </c>
      <c r="B546" s="2" t="str">
        <f>Datos!B546</f>
        <v>Female</v>
      </c>
      <c r="C546" s="2" t="str">
        <f>Datos!C546</f>
        <v>Bachelors</v>
      </c>
      <c r="D546" s="2" t="str">
        <f>Datos!G546</f>
        <v>D</v>
      </c>
      <c r="E546" s="2">
        <f>Datos!I546</f>
        <v>4.7</v>
      </c>
      <c r="F546" s="2">
        <f>Datos!J546</f>
        <v>68.099999999999994</v>
      </c>
      <c r="G546" s="2">
        <f>Datos!L546</f>
        <v>39.299999999999997</v>
      </c>
      <c r="H546" s="2">
        <f>Datos!M546</f>
        <v>68.099999999999994</v>
      </c>
      <c r="I546" s="2" t="b">
        <f t="shared" si="40"/>
        <v>1</v>
      </c>
      <c r="J546" s="2">
        <f t="shared" si="41"/>
        <v>68.099999999999994</v>
      </c>
      <c r="K546" s="2">
        <f t="shared" si="42"/>
        <v>4.7</v>
      </c>
      <c r="L546" s="2">
        <f t="shared" si="43"/>
        <v>39.299999999999997</v>
      </c>
      <c r="M546" s="2">
        <f t="shared" si="44"/>
        <v>68.099999999999994</v>
      </c>
    </row>
    <row r="547" spans="1:13" x14ac:dyDescent="0.3">
      <c r="A547" s="2">
        <f>Datos!A547</f>
        <v>260</v>
      </c>
      <c r="B547" s="2" t="str">
        <f>Datos!B547</f>
        <v>Female</v>
      </c>
      <c r="C547" s="2" t="str">
        <f>Datos!C547</f>
        <v>Bachelors</v>
      </c>
      <c r="D547" s="2" t="str">
        <f>Datos!G547</f>
        <v>C</v>
      </c>
      <c r="E547" s="2">
        <f>Datos!I547</f>
        <v>5</v>
      </c>
      <c r="F547" s="2">
        <f>Datos!J547</f>
        <v>95.4</v>
      </c>
      <c r="G547" s="2">
        <f>Datos!L547</f>
        <v>39.1</v>
      </c>
      <c r="H547" s="2">
        <f>Datos!M547</f>
        <v>78.900000000000006</v>
      </c>
      <c r="I547" s="2" t="b">
        <f t="shared" si="40"/>
        <v>1</v>
      </c>
      <c r="J547" s="2">
        <f t="shared" si="41"/>
        <v>78.900000000000006</v>
      </c>
      <c r="K547" s="2">
        <f t="shared" si="42"/>
        <v>5</v>
      </c>
      <c r="L547" s="2">
        <f t="shared" si="43"/>
        <v>39.1</v>
      </c>
      <c r="M547" s="2">
        <f t="shared" si="44"/>
        <v>95.4</v>
      </c>
    </row>
    <row r="548" spans="1:13" x14ac:dyDescent="0.3">
      <c r="A548" s="2">
        <f>Datos!A548</f>
        <v>615</v>
      </c>
      <c r="B548" s="2" t="str">
        <f>Datos!B548</f>
        <v>Male</v>
      </c>
      <c r="C548" s="2" t="str">
        <f>Datos!C548</f>
        <v>High School</v>
      </c>
      <c r="D548" s="2" t="str">
        <f>Datos!G548</f>
        <v>D</v>
      </c>
      <c r="E548" s="2">
        <f>Datos!I548</f>
        <v>0.5</v>
      </c>
      <c r="F548" s="2">
        <f>Datos!J548</f>
        <v>98.7</v>
      </c>
      <c r="G548" s="2">
        <f>Datos!L548</f>
        <v>52.4</v>
      </c>
      <c r="H548" s="2">
        <f>Datos!M548</f>
        <v>66.8</v>
      </c>
      <c r="I548" s="2" t="b">
        <f t="shared" si="40"/>
        <v>1</v>
      </c>
      <c r="J548" s="2">
        <f t="shared" si="41"/>
        <v>66.8</v>
      </c>
      <c r="K548" s="2">
        <f t="shared" si="42"/>
        <v>0.5</v>
      </c>
      <c r="L548" s="2">
        <f t="shared" si="43"/>
        <v>52.4</v>
      </c>
      <c r="M548" s="2">
        <f t="shared" si="44"/>
        <v>98.7</v>
      </c>
    </row>
    <row r="549" spans="1:13" x14ac:dyDescent="0.3">
      <c r="A549" s="2">
        <f>Datos!A549</f>
        <v>927</v>
      </c>
      <c r="B549" s="2" t="str">
        <f>Datos!B549</f>
        <v>Female</v>
      </c>
      <c r="C549" s="2" t="str">
        <f>Datos!C549</f>
        <v>PhD</v>
      </c>
      <c r="D549" s="2" t="str">
        <f>Datos!G549</f>
        <v>F</v>
      </c>
      <c r="E549" s="2">
        <f>Datos!I549</f>
        <v>1.8</v>
      </c>
      <c r="F549" s="2">
        <f>Datos!J549</f>
        <v>83.4</v>
      </c>
      <c r="G549" s="2">
        <f>Datos!L549</f>
        <v>44.6</v>
      </c>
      <c r="H549" s="2">
        <f>Datos!M549</f>
        <v>59.4</v>
      </c>
      <c r="I549" s="2" t="b">
        <f t="shared" si="40"/>
        <v>1</v>
      </c>
      <c r="J549" s="2">
        <f t="shared" si="41"/>
        <v>59.4</v>
      </c>
      <c r="K549" s="2">
        <f t="shared" si="42"/>
        <v>1.8</v>
      </c>
      <c r="L549" s="2">
        <f t="shared" si="43"/>
        <v>44.6</v>
      </c>
      <c r="M549" s="2">
        <f t="shared" si="44"/>
        <v>83.4</v>
      </c>
    </row>
    <row r="550" spans="1:13" x14ac:dyDescent="0.3">
      <c r="A550" s="2">
        <f>Datos!A550</f>
        <v>346</v>
      </c>
      <c r="B550" s="2" t="str">
        <f>Datos!B550</f>
        <v>Female</v>
      </c>
      <c r="C550" s="2" t="str">
        <f>Datos!C550</f>
        <v>High School</v>
      </c>
      <c r="D550" s="2" t="str">
        <f>Datos!G550</f>
        <v>C</v>
      </c>
      <c r="E550" s="2">
        <f>Datos!I550</f>
        <v>5.0999999999999996</v>
      </c>
      <c r="F550" s="2">
        <f>Datos!J550</f>
        <v>82.2</v>
      </c>
      <c r="G550" s="2">
        <f>Datos!L550</f>
        <v>51.2</v>
      </c>
      <c r="H550" s="2">
        <f>Datos!M550</f>
        <v>73.2</v>
      </c>
      <c r="I550" s="2" t="b">
        <f t="shared" si="40"/>
        <v>1</v>
      </c>
      <c r="J550" s="2">
        <f t="shared" si="41"/>
        <v>73.2</v>
      </c>
      <c r="K550" s="2">
        <f t="shared" si="42"/>
        <v>5.0999999999999996</v>
      </c>
      <c r="L550" s="2">
        <f t="shared" si="43"/>
        <v>51.2</v>
      </c>
      <c r="M550" s="2">
        <f t="shared" si="44"/>
        <v>82.2</v>
      </c>
    </row>
    <row r="551" spans="1:13" x14ac:dyDescent="0.3">
      <c r="A551" s="2">
        <f>Datos!A551</f>
        <v>441</v>
      </c>
      <c r="B551" s="2" t="str">
        <f>Datos!B551</f>
        <v>Male</v>
      </c>
      <c r="C551" s="2">
        <f>Datos!C551</f>
        <v>0</v>
      </c>
      <c r="D551" s="2" t="str">
        <f>Datos!G551</f>
        <v>C</v>
      </c>
      <c r="E551" s="2">
        <f>Datos!I551</f>
        <v>6.7</v>
      </c>
      <c r="F551" s="2">
        <f>Datos!J551</f>
        <v>70.099999999999994</v>
      </c>
      <c r="G551" s="2">
        <f>Datos!L551</f>
        <v>38.299999999999997</v>
      </c>
      <c r="H551" s="2">
        <f>Datos!M551</f>
        <v>74.099999999999994</v>
      </c>
      <c r="I551" s="2" t="b">
        <f t="shared" si="40"/>
        <v>1</v>
      </c>
      <c r="J551" s="2">
        <f t="shared" si="41"/>
        <v>74.099999999999994</v>
      </c>
      <c r="K551" s="2">
        <f t="shared" si="42"/>
        <v>6.7</v>
      </c>
      <c r="L551" s="2">
        <f t="shared" si="43"/>
        <v>38.299999999999997</v>
      </c>
      <c r="M551" s="2">
        <f t="shared" si="44"/>
        <v>70.099999999999994</v>
      </c>
    </row>
    <row r="552" spans="1:13" x14ac:dyDescent="0.3">
      <c r="A552" s="2">
        <f>Datos!A552</f>
        <v>901</v>
      </c>
      <c r="B552" s="2" t="str">
        <f>Datos!B552</f>
        <v>Male</v>
      </c>
      <c r="C552" s="2" t="str">
        <f>Datos!C552</f>
        <v>High School</v>
      </c>
      <c r="D552" s="2" t="str">
        <f>Datos!G552</f>
        <v>B</v>
      </c>
      <c r="E552" s="2">
        <f>Datos!I552</f>
        <v>5.2</v>
      </c>
      <c r="F552" s="2">
        <f>Datos!J552</f>
        <v>78.2</v>
      </c>
      <c r="G552" s="2">
        <f>Datos!L552</f>
        <v>56.4</v>
      </c>
      <c r="H552" s="2">
        <f>Datos!M552</f>
        <v>81.900000000000006</v>
      </c>
      <c r="I552" s="2" t="b">
        <f t="shared" si="40"/>
        <v>1</v>
      </c>
      <c r="J552" s="2">
        <f t="shared" si="41"/>
        <v>81.900000000000006</v>
      </c>
      <c r="K552" s="2">
        <f t="shared" si="42"/>
        <v>5.2</v>
      </c>
      <c r="L552" s="2">
        <f t="shared" si="43"/>
        <v>56.4</v>
      </c>
      <c r="M552" s="2">
        <f t="shared" si="44"/>
        <v>78.2</v>
      </c>
    </row>
    <row r="553" spans="1:13" x14ac:dyDescent="0.3">
      <c r="A553" s="2">
        <f>Datos!A553</f>
        <v>613</v>
      </c>
      <c r="B553" s="2" t="str">
        <f>Datos!B553</f>
        <v>Female</v>
      </c>
      <c r="C553" s="2" t="str">
        <f>Datos!C553</f>
        <v>Bachelors</v>
      </c>
      <c r="D553" s="2" t="str">
        <f>Datos!G553</f>
        <v>D</v>
      </c>
      <c r="E553" s="2">
        <f>Datos!I553</f>
        <v>2.1</v>
      </c>
      <c r="F553" s="2">
        <f>Datos!J553</f>
        <v>80</v>
      </c>
      <c r="G553" s="2">
        <f>Datos!L553</f>
        <v>46.9</v>
      </c>
      <c r="H553" s="2">
        <f>Datos!M553</f>
        <v>64.2</v>
      </c>
      <c r="I553" s="2" t="b">
        <f t="shared" si="40"/>
        <v>1</v>
      </c>
      <c r="J553" s="2">
        <f t="shared" si="41"/>
        <v>64.2</v>
      </c>
      <c r="K553" s="2">
        <f t="shared" si="42"/>
        <v>2.1</v>
      </c>
      <c r="L553" s="2">
        <f t="shared" si="43"/>
        <v>46.9</v>
      </c>
      <c r="M553" s="2">
        <f t="shared" si="44"/>
        <v>80</v>
      </c>
    </row>
    <row r="554" spans="1:13" x14ac:dyDescent="0.3">
      <c r="A554" s="2">
        <f>Datos!A554</f>
        <v>292</v>
      </c>
      <c r="B554" s="2" t="str">
        <f>Datos!B554</f>
        <v>Male</v>
      </c>
      <c r="C554" s="2" t="str">
        <f>Datos!C554</f>
        <v>High School</v>
      </c>
      <c r="D554" s="2" t="str">
        <f>Datos!G554</f>
        <v>B</v>
      </c>
      <c r="E554" s="2">
        <f>Datos!I554</f>
        <v>6.6</v>
      </c>
      <c r="F554" s="2">
        <f>Datos!J554</f>
        <v>85</v>
      </c>
      <c r="G554" s="2">
        <f>Datos!L554</f>
        <v>67</v>
      </c>
      <c r="H554" s="2">
        <f>Datos!M554</f>
        <v>84.3</v>
      </c>
      <c r="I554" s="2" t="b">
        <f t="shared" si="40"/>
        <v>1</v>
      </c>
      <c r="J554" s="2">
        <f t="shared" si="41"/>
        <v>84.3</v>
      </c>
      <c r="K554" s="2">
        <f t="shared" si="42"/>
        <v>6.6</v>
      </c>
      <c r="L554" s="2">
        <f t="shared" si="43"/>
        <v>67</v>
      </c>
      <c r="M554" s="2">
        <f t="shared" si="44"/>
        <v>85</v>
      </c>
    </row>
    <row r="555" spans="1:13" x14ac:dyDescent="0.3">
      <c r="A555" s="2">
        <f>Datos!A555</f>
        <v>538</v>
      </c>
      <c r="B555" s="2" t="str">
        <f>Datos!B555</f>
        <v>Male</v>
      </c>
      <c r="C555" s="2" t="str">
        <f>Datos!C555</f>
        <v>High School</v>
      </c>
      <c r="D555" s="2" t="str">
        <f>Datos!G555</f>
        <v>D</v>
      </c>
      <c r="E555" s="2">
        <f>Datos!I555</f>
        <v>2.5</v>
      </c>
      <c r="F555" s="2">
        <f>Datos!J555</f>
        <v>69.8</v>
      </c>
      <c r="G555" s="2">
        <f>Datos!L555</f>
        <v>78.900000000000006</v>
      </c>
      <c r="H555" s="2">
        <f>Datos!M555</f>
        <v>68.599999999999994</v>
      </c>
      <c r="I555" s="2" t="b">
        <f t="shared" si="40"/>
        <v>1</v>
      </c>
      <c r="J555" s="2">
        <f t="shared" si="41"/>
        <v>68.599999999999994</v>
      </c>
      <c r="K555" s="2">
        <f t="shared" si="42"/>
        <v>2.5</v>
      </c>
      <c r="L555" s="2">
        <f t="shared" si="43"/>
        <v>78.900000000000006</v>
      </c>
      <c r="M555" s="2">
        <f t="shared" si="44"/>
        <v>69.8</v>
      </c>
    </row>
    <row r="556" spans="1:13" x14ac:dyDescent="0.3">
      <c r="A556" s="2">
        <f>Datos!A556</f>
        <v>792</v>
      </c>
      <c r="B556" s="2" t="str">
        <f>Datos!B556</f>
        <v>Male</v>
      </c>
      <c r="C556" s="2" t="str">
        <f>Datos!C556</f>
        <v>High School</v>
      </c>
      <c r="D556" s="2" t="str">
        <f>Datos!G556</f>
        <v>A</v>
      </c>
      <c r="E556" s="2">
        <f>Datos!I556</f>
        <v>5.0999999999999996</v>
      </c>
      <c r="F556" s="2">
        <f>Datos!J556</f>
        <v>70.5</v>
      </c>
      <c r="G556" s="2">
        <f>Datos!L556</f>
        <v>86.1</v>
      </c>
      <c r="H556" s="2">
        <f>Datos!M556</f>
        <v>97.3</v>
      </c>
      <c r="I556" s="2" t="b">
        <f t="shared" si="40"/>
        <v>1</v>
      </c>
      <c r="J556" s="2">
        <f t="shared" si="41"/>
        <v>97.3</v>
      </c>
      <c r="K556" s="2">
        <f t="shared" si="42"/>
        <v>5.0999999999999996</v>
      </c>
      <c r="L556" s="2">
        <f t="shared" si="43"/>
        <v>86.1</v>
      </c>
      <c r="M556" s="2">
        <f t="shared" si="44"/>
        <v>70.5</v>
      </c>
    </row>
    <row r="557" spans="1:13" x14ac:dyDescent="0.3">
      <c r="A557" s="2">
        <f>Datos!A557</f>
        <v>465</v>
      </c>
      <c r="B557" s="2" t="str">
        <f>Datos!B557</f>
        <v>Female</v>
      </c>
      <c r="C557" s="2" t="str">
        <f>Datos!C557</f>
        <v>PhD</v>
      </c>
      <c r="D557" s="2" t="str">
        <f>Datos!G557</f>
        <v>D</v>
      </c>
      <c r="E557" s="2">
        <f>Datos!I557</f>
        <v>1.2</v>
      </c>
      <c r="F557" s="2">
        <f>Datos!J557</f>
        <v>69.7</v>
      </c>
      <c r="G557" s="2">
        <f>Datos!L557</f>
        <v>68.099999999999994</v>
      </c>
      <c r="H557" s="2">
        <f>Datos!M557</f>
        <v>60.2</v>
      </c>
      <c r="I557" s="2" t="b">
        <f t="shared" si="40"/>
        <v>1</v>
      </c>
      <c r="J557" s="2">
        <f t="shared" si="41"/>
        <v>60.2</v>
      </c>
      <c r="K557" s="2">
        <f t="shared" si="42"/>
        <v>1.2</v>
      </c>
      <c r="L557" s="2">
        <f t="shared" si="43"/>
        <v>68.099999999999994</v>
      </c>
      <c r="M557" s="2">
        <f t="shared" si="44"/>
        <v>69.7</v>
      </c>
    </row>
    <row r="558" spans="1:13" x14ac:dyDescent="0.3">
      <c r="A558" s="2">
        <f>Datos!A558</f>
        <v>456</v>
      </c>
      <c r="B558" s="2" t="str">
        <f>Datos!B558</f>
        <v>Male</v>
      </c>
      <c r="C558" s="2" t="str">
        <f>Datos!C558</f>
        <v>PhD</v>
      </c>
      <c r="D558" s="2" t="str">
        <f>Datos!G558</f>
        <v>C</v>
      </c>
      <c r="E558" s="2">
        <f>Datos!I558</f>
        <v>1.1000000000000001</v>
      </c>
      <c r="F558" s="2">
        <f>Datos!J558</f>
        <v>89.9</v>
      </c>
      <c r="G558" s="2">
        <f>Datos!L558</f>
        <v>84.7</v>
      </c>
      <c r="H558" s="2">
        <f>Datos!M558</f>
        <v>70.3</v>
      </c>
      <c r="I558" s="2" t="b">
        <f t="shared" si="40"/>
        <v>1</v>
      </c>
      <c r="J558" s="2">
        <f t="shared" si="41"/>
        <v>70.3</v>
      </c>
      <c r="K558" s="2">
        <f t="shared" si="42"/>
        <v>1.1000000000000001</v>
      </c>
      <c r="L558" s="2">
        <f t="shared" si="43"/>
        <v>84.7</v>
      </c>
      <c r="M558" s="2">
        <f t="shared" si="44"/>
        <v>89.9</v>
      </c>
    </row>
    <row r="559" spans="1:13" x14ac:dyDescent="0.3">
      <c r="A559" s="2">
        <f>Datos!A559</f>
        <v>826</v>
      </c>
      <c r="B559" s="2" t="str">
        <f>Datos!B559</f>
        <v>Female</v>
      </c>
      <c r="C559" s="2" t="str">
        <f>Datos!C559</f>
        <v>Bachelors</v>
      </c>
      <c r="D559" s="2" t="str">
        <f>Datos!G559</f>
        <v>D</v>
      </c>
      <c r="E559" s="2">
        <f>Datos!I559</f>
        <v>0.8</v>
      </c>
      <c r="F559" s="2">
        <f>Datos!J559</f>
        <v>87.9</v>
      </c>
      <c r="G559" s="2">
        <f>Datos!L559</f>
        <v>49.4</v>
      </c>
      <c r="H559" s="2">
        <f>Datos!M559</f>
        <v>60.1</v>
      </c>
      <c r="I559" s="2" t="b">
        <f t="shared" si="40"/>
        <v>1</v>
      </c>
      <c r="J559" s="2">
        <f t="shared" si="41"/>
        <v>60.1</v>
      </c>
      <c r="K559" s="2">
        <f t="shared" si="42"/>
        <v>0.8</v>
      </c>
      <c r="L559" s="2">
        <f t="shared" si="43"/>
        <v>49.4</v>
      </c>
      <c r="M559" s="2">
        <f t="shared" si="44"/>
        <v>87.9</v>
      </c>
    </row>
    <row r="560" spans="1:13" x14ac:dyDescent="0.3">
      <c r="A560" s="2">
        <f>Datos!A560</f>
        <v>361</v>
      </c>
      <c r="B560" s="2" t="str">
        <f>Datos!B560</f>
        <v>Male</v>
      </c>
      <c r="C560" s="2" t="str">
        <f>Datos!C560</f>
        <v>High School</v>
      </c>
      <c r="D560" s="2" t="str">
        <f>Datos!G560</f>
        <v>B</v>
      </c>
      <c r="E560" s="2">
        <f>Datos!I560</f>
        <v>5.7</v>
      </c>
      <c r="F560" s="2">
        <f>Datos!J560</f>
        <v>95.8</v>
      </c>
      <c r="G560" s="2">
        <f>Datos!L560</f>
        <v>64.3</v>
      </c>
      <c r="H560" s="2">
        <f>Datos!M560</f>
        <v>87.2</v>
      </c>
      <c r="I560" s="2" t="b">
        <f t="shared" si="40"/>
        <v>1</v>
      </c>
      <c r="J560" s="2">
        <f t="shared" si="41"/>
        <v>87.2</v>
      </c>
      <c r="K560" s="2">
        <f t="shared" si="42"/>
        <v>5.7</v>
      </c>
      <c r="L560" s="2">
        <f t="shared" si="43"/>
        <v>64.3</v>
      </c>
      <c r="M560" s="2">
        <f t="shared" si="44"/>
        <v>95.8</v>
      </c>
    </row>
    <row r="561" spans="1:13" x14ac:dyDescent="0.3">
      <c r="A561" s="2">
        <f>Datos!A561</f>
        <v>425</v>
      </c>
      <c r="B561" s="2" t="str">
        <f>Datos!B561</f>
        <v>Female</v>
      </c>
      <c r="C561" s="2" t="str">
        <f>Datos!C561</f>
        <v>Masters</v>
      </c>
      <c r="D561" s="2" t="str">
        <f>Datos!G561</f>
        <v>C</v>
      </c>
      <c r="E561" s="2">
        <f>Datos!I561</f>
        <v>4</v>
      </c>
      <c r="F561" s="2">
        <f>Datos!J561</f>
        <v>74.5</v>
      </c>
      <c r="G561" s="2">
        <f>Datos!L561</f>
        <v>72.3</v>
      </c>
      <c r="H561" s="2">
        <f>Datos!M561</f>
        <v>70.900000000000006</v>
      </c>
      <c r="I561" s="2" t="b">
        <f t="shared" si="40"/>
        <v>1</v>
      </c>
      <c r="J561" s="2">
        <f t="shared" si="41"/>
        <v>70.900000000000006</v>
      </c>
      <c r="K561" s="2">
        <f t="shared" si="42"/>
        <v>4</v>
      </c>
      <c r="L561" s="2">
        <f t="shared" si="43"/>
        <v>72.3</v>
      </c>
      <c r="M561" s="2">
        <f t="shared" si="44"/>
        <v>74.5</v>
      </c>
    </row>
    <row r="562" spans="1:13" x14ac:dyDescent="0.3">
      <c r="A562" s="2">
        <f>Datos!A562</f>
        <v>408</v>
      </c>
      <c r="B562" s="2" t="str">
        <f>Datos!B562</f>
        <v>Female</v>
      </c>
      <c r="C562" s="2" t="str">
        <f>Datos!C562</f>
        <v>Masters</v>
      </c>
      <c r="D562" s="2" t="str">
        <f>Datos!G562</f>
        <v>D</v>
      </c>
      <c r="E562" s="2">
        <f>Datos!I562</f>
        <v>2.4</v>
      </c>
      <c r="F562" s="2">
        <f>Datos!J562</f>
        <v>77.099999999999994</v>
      </c>
      <c r="G562" s="2">
        <f>Datos!L562</f>
        <v>51.7</v>
      </c>
      <c r="H562" s="2">
        <f>Datos!M562</f>
        <v>61.9</v>
      </c>
      <c r="I562" s="2" t="b">
        <f t="shared" si="40"/>
        <v>1</v>
      </c>
      <c r="J562" s="2">
        <f t="shared" si="41"/>
        <v>61.9</v>
      </c>
      <c r="K562" s="2">
        <f t="shared" si="42"/>
        <v>2.4</v>
      </c>
      <c r="L562" s="2">
        <f t="shared" si="43"/>
        <v>51.7</v>
      </c>
      <c r="M562" s="2">
        <f t="shared" si="44"/>
        <v>77.099999999999994</v>
      </c>
    </row>
    <row r="563" spans="1:13" x14ac:dyDescent="0.3">
      <c r="A563" s="2">
        <f>Datos!A563</f>
        <v>682</v>
      </c>
      <c r="B563" s="2" t="str">
        <f>Datos!B563</f>
        <v>Male</v>
      </c>
      <c r="C563" s="2" t="str">
        <f>Datos!C563</f>
        <v>High School</v>
      </c>
      <c r="D563" s="2" t="str">
        <f>Datos!G563</f>
        <v>C</v>
      </c>
      <c r="E563" s="2">
        <f>Datos!I563</f>
        <v>2.6</v>
      </c>
      <c r="F563" s="2">
        <f>Datos!J563</f>
        <v>97.1</v>
      </c>
      <c r="G563" s="2">
        <f>Datos!L563</f>
        <v>52</v>
      </c>
      <c r="H563" s="2">
        <f>Datos!M563</f>
        <v>72</v>
      </c>
      <c r="I563" s="2" t="b">
        <f t="shared" si="40"/>
        <v>1</v>
      </c>
      <c r="J563" s="2">
        <f t="shared" si="41"/>
        <v>72</v>
      </c>
      <c r="K563" s="2">
        <f t="shared" si="42"/>
        <v>2.6</v>
      </c>
      <c r="L563" s="2">
        <f t="shared" si="43"/>
        <v>52</v>
      </c>
      <c r="M563" s="2">
        <f t="shared" si="44"/>
        <v>97.1</v>
      </c>
    </row>
    <row r="564" spans="1:13" x14ac:dyDescent="0.3">
      <c r="A564" s="2">
        <f>Datos!A564</f>
        <v>392</v>
      </c>
      <c r="B564" s="2" t="str">
        <f>Datos!B564</f>
        <v>Female</v>
      </c>
      <c r="C564" s="2" t="str">
        <f>Datos!C564</f>
        <v>Bachelors</v>
      </c>
      <c r="D564" s="2" t="str">
        <f>Datos!G564</f>
        <v>D</v>
      </c>
      <c r="E564" s="2">
        <f>Datos!I564</f>
        <v>1.2</v>
      </c>
      <c r="F564" s="2">
        <f>Datos!J564</f>
        <v>70.400000000000006</v>
      </c>
      <c r="G564" s="2">
        <f>Datos!L564</f>
        <v>63.4</v>
      </c>
      <c r="H564" s="2">
        <f>Datos!M564</f>
        <v>65.8</v>
      </c>
      <c r="I564" s="2" t="b">
        <f t="shared" si="40"/>
        <v>1</v>
      </c>
      <c r="J564" s="2">
        <f t="shared" si="41"/>
        <v>65.8</v>
      </c>
      <c r="K564" s="2">
        <f t="shared" si="42"/>
        <v>1.2</v>
      </c>
      <c r="L564" s="2">
        <f t="shared" si="43"/>
        <v>63.4</v>
      </c>
      <c r="M564" s="2">
        <f t="shared" si="44"/>
        <v>70.400000000000006</v>
      </c>
    </row>
    <row r="565" spans="1:13" x14ac:dyDescent="0.3">
      <c r="A565" s="2">
        <f>Datos!A565</f>
        <v>151</v>
      </c>
      <c r="B565" s="2" t="str">
        <f>Datos!B565</f>
        <v>Female</v>
      </c>
      <c r="C565" s="2" t="str">
        <f>Datos!C565</f>
        <v>High School</v>
      </c>
      <c r="D565" s="2" t="str">
        <f>Datos!G565</f>
        <v>B</v>
      </c>
      <c r="E565" s="2">
        <f>Datos!I565</f>
        <v>6.2</v>
      </c>
      <c r="F565" s="2">
        <f>Datos!J565</f>
        <v>65.8</v>
      </c>
      <c r="G565" s="2">
        <f>Datos!L565</f>
        <v>75.099999999999994</v>
      </c>
      <c r="H565" s="2">
        <f>Datos!M565</f>
        <v>83.7</v>
      </c>
      <c r="I565" s="2" t="b">
        <f t="shared" si="40"/>
        <v>1</v>
      </c>
      <c r="J565" s="2">
        <f t="shared" si="41"/>
        <v>83.7</v>
      </c>
      <c r="K565" s="2">
        <f t="shared" si="42"/>
        <v>6.2</v>
      </c>
      <c r="L565" s="2">
        <f t="shared" si="43"/>
        <v>75.099999999999994</v>
      </c>
      <c r="M565" s="2">
        <f t="shared" si="44"/>
        <v>65.8</v>
      </c>
    </row>
    <row r="566" spans="1:13" x14ac:dyDescent="0.3">
      <c r="A566" s="2">
        <f>Datos!A566</f>
        <v>454</v>
      </c>
      <c r="B566" s="2" t="str">
        <f>Datos!B566</f>
        <v>Male</v>
      </c>
      <c r="C566" s="2" t="str">
        <f>Datos!C566</f>
        <v>Bachelors</v>
      </c>
      <c r="D566" s="2" t="str">
        <f>Datos!G566</f>
        <v>D</v>
      </c>
      <c r="E566" s="2">
        <f>Datos!I566</f>
        <v>4.5</v>
      </c>
      <c r="F566" s="2">
        <f>Datos!J566</f>
        <v>67.599999999999994</v>
      </c>
      <c r="G566" s="2">
        <f>Datos!L566</f>
        <v>46.2</v>
      </c>
      <c r="H566" s="2">
        <f>Datos!M566</f>
        <v>74.099999999999994</v>
      </c>
      <c r="I566" s="2" t="b">
        <f t="shared" si="40"/>
        <v>1</v>
      </c>
      <c r="J566" s="2">
        <f t="shared" si="41"/>
        <v>74.099999999999994</v>
      </c>
      <c r="K566" s="2">
        <f t="shared" si="42"/>
        <v>4.5</v>
      </c>
      <c r="L566" s="2">
        <f t="shared" si="43"/>
        <v>46.2</v>
      </c>
      <c r="M566" s="2">
        <f t="shared" si="44"/>
        <v>67.599999999999994</v>
      </c>
    </row>
    <row r="567" spans="1:13" x14ac:dyDescent="0.3">
      <c r="A567" s="2">
        <f>Datos!A567</f>
        <v>586</v>
      </c>
      <c r="B567" s="2" t="str">
        <f>Datos!B567</f>
        <v>Female</v>
      </c>
      <c r="C567" s="2" t="str">
        <f>Datos!C567</f>
        <v>Bachelors</v>
      </c>
      <c r="D567" s="2" t="str">
        <f>Datos!G567</f>
        <v>D</v>
      </c>
      <c r="E567" s="2">
        <f>Datos!I567</f>
        <v>5.2</v>
      </c>
      <c r="F567" s="2">
        <f>Datos!J567</f>
        <v>71.2</v>
      </c>
      <c r="G567" s="2">
        <f>Datos!L567</f>
        <v>57.7</v>
      </c>
      <c r="H567" s="2">
        <f>Datos!M567</f>
        <v>67.900000000000006</v>
      </c>
      <c r="I567" s="2" t="b">
        <f t="shared" si="40"/>
        <v>1</v>
      </c>
      <c r="J567" s="2">
        <f t="shared" si="41"/>
        <v>67.900000000000006</v>
      </c>
      <c r="K567" s="2">
        <f t="shared" si="42"/>
        <v>5.2</v>
      </c>
      <c r="L567" s="2">
        <f t="shared" si="43"/>
        <v>57.7</v>
      </c>
      <c r="M567" s="2">
        <f t="shared" si="44"/>
        <v>71.2</v>
      </c>
    </row>
    <row r="568" spans="1:13" x14ac:dyDescent="0.3">
      <c r="A568" s="2">
        <f>Datos!A568</f>
        <v>497</v>
      </c>
      <c r="B568" s="2" t="str">
        <f>Datos!B568</f>
        <v>Female</v>
      </c>
      <c r="C568" s="2" t="str">
        <f>Datos!C568</f>
        <v>Bachelors</v>
      </c>
      <c r="D568" s="2" t="str">
        <f>Datos!G568</f>
        <v>C</v>
      </c>
      <c r="E568" s="2">
        <f>Datos!I568</f>
        <v>4.8</v>
      </c>
      <c r="F568" s="2">
        <f>Datos!J568</f>
        <v>83.8</v>
      </c>
      <c r="G568" s="2">
        <f>Datos!L568</f>
        <v>73.2</v>
      </c>
      <c r="H568" s="2">
        <f>Datos!M568</f>
        <v>75.7</v>
      </c>
      <c r="I568" s="2" t="b">
        <f t="shared" si="40"/>
        <v>1</v>
      </c>
      <c r="J568" s="2">
        <f t="shared" si="41"/>
        <v>75.7</v>
      </c>
      <c r="K568" s="2">
        <f t="shared" si="42"/>
        <v>4.8</v>
      </c>
      <c r="L568" s="2">
        <f t="shared" si="43"/>
        <v>73.2</v>
      </c>
      <c r="M568" s="2">
        <f t="shared" si="44"/>
        <v>83.8</v>
      </c>
    </row>
    <row r="569" spans="1:13" x14ac:dyDescent="0.3">
      <c r="A569" s="2">
        <f>Datos!A569</f>
        <v>723</v>
      </c>
      <c r="B569" s="2" t="str">
        <f>Datos!B569</f>
        <v>Male</v>
      </c>
      <c r="C569" s="2" t="str">
        <f>Datos!C569</f>
        <v>High School</v>
      </c>
      <c r="D569" s="2" t="str">
        <f>Datos!G569</f>
        <v>D</v>
      </c>
      <c r="E569" s="2">
        <f>Datos!I569</f>
        <v>5.3</v>
      </c>
      <c r="F569" s="2">
        <f>Datos!J569</f>
        <v>87.8</v>
      </c>
      <c r="G569" s="2">
        <f>Datos!L569</f>
        <v>37.700000000000003</v>
      </c>
      <c r="H569" s="2">
        <f>Datos!M569</f>
        <v>64.2</v>
      </c>
      <c r="I569" s="2" t="b">
        <f t="shared" si="40"/>
        <v>1</v>
      </c>
      <c r="J569" s="2">
        <f t="shared" si="41"/>
        <v>64.2</v>
      </c>
      <c r="K569" s="2">
        <f t="shared" si="42"/>
        <v>5.3</v>
      </c>
      <c r="L569" s="2">
        <f t="shared" si="43"/>
        <v>37.700000000000003</v>
      </c>
      <c r="M569" s="2">
        <f t="shared" si="44"/>
        <v>87.8</v>
      </c>
    </row>
    <row r="570" spans="1:13" x14ac:dyDescent="0.3">
      <c r="A570" s="2">
        <f>Datos!A570</f>
        <v>485</v>
      </c>
      <c r="B570" s="2" t="str">
        <f>Datos!B570</f>
        <v>Male</v>
      </c>
      <c r="C570" s="2" t="str">
        <f>Datos!C570</f>
        <v>Bachelors</v>
      </c>
      <c r="D570" s="2" t="str">
        <f>Datos!G570</f>
        <v>F</v>
      </c>
      <c r="E570" s="2">
        <f>Datos!I570</f>
        <v>4.3</v>
      </c>
      <c r="F570" s="2">
        <f>Datos!J570</f>
        <v>70.099999999999994</v>
      </c>
      <c r="G570" s="2">
        <f>Datos!L570</f>
        <v>44.9</v>
      </c>
      <c r="H570" s="2">
        <f>Datos!M570</f>
        <v>58.5</v>
      </c>
      <c r="I570" s="2" t="b">
        <f t="shared" si="40"/>
        <v>1</v>
      </c>
      <c r="J570" s="2">
        <f t="shared" si="41"/>
        <v>58.5</v>
      </c>
      <c r="K570" s="2">
        <f t="shared" si="42"/>
        <v>4.3</v>
      </c>
      <c r="L570" s="2">
        <f t="shared" si="43"/>
        <v>44.9</v>
      </c>
      <c r="M570" s="2">
        <f t="shared" si="44"/>
        <v>70.099999999999994</v>
      </c>
    </row>
    <row r="571" spans="1:13" x14ac:dyDescent="0.3">
      <c r="A571" s="2">
        <f>Datos!A571</f>
        <v>353</v>
      </c>
      <c r="B571" s="2" t="str">
        <f>Datos!B571</f>
        <v>Male</v>
      </c>
      <c r="C571" s="2" t="str">
        <f>Datos!C571</f>
        <v>Masters</v>
      </c>
      <c r="D571" s="2" t="str">
        <f>Datos!G571</f>
        <v>F</v>
      </c>
      <c r="E571" s="2">
        <f>Datos!I571</f>
        <v>0.8</v>
      </c>
      <c r="F571" s="2">
        <f>Datos!J571</f>
        <v>95.3</v>
      </c>
      <c r="G571" s="2">
        <f>Datos!L571</f>
        <v>50.4</v>
      </c>
      <c r="H571" s="2">
        <f>Datos!M571</f>
        <v>48.9</v>
      </c>
      <c r="I571" s="2" t="b">
        <f t="shared" si="40"/>
        <v>1</v>
      </c>
      <c r="J571" s="2">
        <f t="shared" si="41"/>
        <v>48.9</v>
      </c>
      <c r="K571" s="2">
        <f t="shared" si="42"/>
        <v>0.8</v>
      </c>
      <c r="L571" s="2">
        <f t="shared" si="43"/>
        <v>50.4</v>
      </c>
      <c r="M571" s="2">
        <f t="shared" si="44"/>
        <v>95.3</v>
      </c>
    </row>
    <row r="572" spans="1:13" x14ac:dyDescent="0.3">
      <c r="A572" s="2">
        <f>Datos!A572</f>
        <v>448</v>
      </c>
      <c r="B572" s="2" t="str">
        <f>Datos!B572</f>
        <v>Female</v>
      </c>
      <c r="C572" s="2" t="str">
        <f>Datos!C572</f>
        <v>Masters</v>
      </c>
      <c r="D572" s="2" t="str">
        <f>Datos!G572</f>
        <v>D</v>
      </c>
      <c r="E572" s="2">
        <f>Datos!I572</f>
        <v>4</v>
      </c>
      <c r="F572" s="2">
        <f>Datos!J572</f>
        <v>69.3</v>
      </c>
      <c r="G572" s="2">
        <f>Datos!L572</f>
        <v>84.3</v>
      </c>
      <c r="H572" s="2">
        <f>Datos!M572</f>
        <v>65</v>
      </c>
      <c r="I572" s="2" t="b">
        <f t="shared" si="40"/>
        <v>1</v>
      </c>
      <c r="J572" s="2">
        <f t="shared" si="41"/>
        <v>65</v>
      </c>
      <c r="K572" s="2">
        <f t="shared" si="42"/>
        <v>4</v>
      </c>
      <c r="L572" s="2">
        <f t="shared" si="43"/>
        <v>84.3</v>
      </c>
      <c r="M572" s="2">
        <f t="shared" si="44"/>
        <v>69.3</v>
      </c>
    </row>
    <row r="573" spans="1:13" x14ac:dyDescent="0.3">
      <c r="A573" s="2">
        <f>Datos!A573</f>
        <v>694</v>
      </c>
      <c r="B573" s="2" t="str">
        <f>Datos!B573</f>
        <v>Male</v>
      </c>
      <c r="C573" s="2" t="str">
        <f>Datos!C573</f>
        <v>PhD</v>
      </c>
      <c r="D573" s="2" t="str">
        <f>Datos!G573</f>
        <v>C</v>
      </c>
      <c r="E573" s="2">
        <f>Datos!I573</f>
        <v>6.5</v>
      </c>
      <c r="F573" s="2">
        <f>Datos!J573</f>
        <v>87.8</v>
      </c>
      <c r="G573" s="2">
        <f>Datos!L573</f>
        <v>43.3</v>
      </c>
      <c r="H573" s="2">
        <f>Datos!M573</f>
        <v>76.400000000000006</v>
      </c>
      <c r="I573" s="2" t="b">
        <f t="shared" si="40"/>
        <v>1</v>
      </c>
      <c r="J573" s="2">
        <f t="shared" si="41"/>
        <v>76.400000000000006</v>
      </c>
      <c r="K573" s="2">
        <f t="shared" si="42"/>
        <v>6.5</v>
      </c>
      <c r="L573" s="2">
        <f t="shared" si="43"/>
        <v>43.3</v>
      </c>
      <c r="M573" s="2">
        <f t="shared" si="44"/>
        <v>87.8</v>
      </c>
    </row>
    <row r="574" spans="1:13" x14ac:dyDescent="0.3">
      <c r="A574" s="2">
        <f>Datos!A574</f>
        <v>799</v>
      </c>
      <c r="B574" s="2" t="str">
        <f>Datos!B574</f>
        <v>Male</v>
      </c>
      <c r="C574" s="2" t="str">
        <f>Datos!C574</f>
        <v>High School</v>
      </c>
      <c r="D574" s="2" t="str">
        <f>Datos!G574</f>
        <v>F</v>
      </c>
      <c r="E574" s="2">
        <f>Datos!I574</f>
        <v>2.7</v>
      </c>
      <c r="F574" s="2">
        <f>Datos!J574</f>
        <v>65.2</v>
      </c>
      <c r="G574" s="2">
        <f>Datos!L574</f>
        <v>37.4</v>
      </c>
      <c r="H574" s="2">
        <f>Datos!M574</f>
        <v>74.099999999999994</v>
      </c>
      <c r="I574" s="2" t="b">
        <f t="shared" si="40"/>
        <v>1</v>
      </c>
      <c r="J574" s="2">
        <f t="shared" si="41"/>
        <v>74.099999999999994</v>
      </c>
      <c r="K574" s="2">
        <f t="shared" si="42"/>
        <v>2.7</v>
      </c>
      <c r="L574" s="2">
        <f t="shared" si="43"/>
        <v>37.4</v>
      </c>
      <c r="M574" s="2">
        <f t="shared" si="44"/>
        <v>65.2</v>
      </c>
    </row>
    <row r="575" spans="1:13" x14ac:dyDescent="0.3">
      <c r="A575" s="2">
        <f>Datos!A575</f>
        <v>21</v>
      </c>
      <c r="B575" s="2" t="str">
        <f>Datos!B575</f>
        <v>Female</v>
      </c>
      <c r="C575" s="2" t="str">
        <f>Datos!C575</f>
        <v>PhD</v>
      </c>
      <c r="D575" s="2" t="str">
        <f>Datos!G575</f>
        <v>B</v>
      </c>
      <c r="E575" s="2">
        <f>Datos!I575</f>
        <v>6.3</v>
      </c>
      <c r="F575" s="2">
        <f>Datos!J575</f>
        <v>83.2</v>
      </c>
      <c r="G575" s="2">
        <f>Datos!L575</f>
        <v>40.700000000000003</v>
      </c>
      <c r="H575" s="2">
        <f>Datos!M575</f>
        <v>83.8</v>
      </c>
      <c r="I575" s="2" t="b">
        <f t="shared" si="40"/>
        <v>1</v>
      </c>
      <c r="J575" s="2">
        <f t="shared" si="41"/>
        <v>83.8</v>
      </c>
      <c r="K575" s="2">
        <f t="shared" si="42"/>
        <v>6.3</v>
      </c>
      <c r="L575" s="2">
        <f t="shared" si="43"/>
        <v>40.700000000000003</v>
      </c>
      <c r="M575" s="2">
        <f t="shared" si="44"/>
        <v>83.2</v>
      </c>
    </row>
    <row r="576" spans="1:13" x14ac:dyDescent="0.3">
      <c r="A576" s="2">
        <f>Datos!A576</f>
        <v>542</v>
      </c>
      <c r="B576" s="2" t="str">
        <f>Datos!B576</f>
        <v>Female</v>
      </c>
      <c r="C576" s="2">
        <f>Datos!C576</f>
        <v>0</v>
      </c>
      <c r="D576" s="2" t="str">
        <f>Datos!G576</f>
        <v>B</v>
      </c>
      <c r="E576" s="2">
        <f>Datos!I576</f>
        <v>4.4000000000000004</v>
      </c>
      <c r="F576" s="2">
        <f>Datos!J576</f>
        <v>86.1</v>
      </c>
      <c r="G576" s="2">
        <f>Datos!L576</f>
        <v>66.75</v>
      </c>
      <c r="H576" s="2">
        <f>Datos!M576</f>
        <v>80.8</v>
      </c>
      <c r="I576" s="2" t="b">
        <f t="shared" si="40"/>
        <v>1</v>
      </c>
      <c r="J576" s="2">
        <f t="shared" si="41"/>
        <v>80.8</v>
      </c>
      <c r="K576" s="2">
        <f t="shared" si="42"/>
        <v>4.4000000000000004</v>
      </c>
      <c r="L576" s="2">
        <f t="shared" si="43"/>
        <v>66.75</v>
      </c>
      <c r="M576" s="2">
        <f t="shared" si="44"/>
        <v>86.1</v>
      </c>
    </row>
    <row r="577" spans="1:13" x14ac:dyDescent="0.3">
      <c r="A577" s="2">
        <f>Datos!A577</f>
        <v>48</v>
      </c>
      <c r="B577" s="2" t="str">
        <f>Datos!B577</f>
        <v>Female</v>
      </c>
      <c r="C577" s="2" t="str">
        <f>Datos!C577</f>
        <v>PhD</v>
      </c>
      <c r="D577" s="2" t="str">
        <f>Datos!G577</f>
        <v>C</v>
      </c>
      <c r="E577" s="2">
        <f>Datos!I577</f>
        <v>2.1</v>
      </c>
      <c r="F577" s="2">
        <f>Datos!J577</f>
        <v>94.7</v>
      </c>
      <c r="G577" s="2">
        <f>Datos!L577</f>
        <v>66.75</v>
      </c>
      <c r="H577" s="2">
        <f>Datos!M577</f>
        <v>76.599999999999994</v>
      </c>
      <c r="I577" s="2" t="b">
        <f t="shared" si="40"/>
        <v>1</v>
      </c>
      <c r="J577" s="2">
        <f t="shared" si="41"/>
        <v>76.599999999999994</v>
      </c>
      <c r="K577" s="2">
        <f t="shared" si="42"/>
        <v>2.1</v>
      </c>
      <c r="L577" s="2">
        <f t="shared" si="43"/>
        <v>66.75</v>
      </c>
      <c r="M577" s="2">
        <f t="shared" si="44"/>
        <v>94.7</v>
      </c>
    </row>
    <row r="578" spans="1:13" x14ac:dyDescent="0.3">
      <c r="A578" s="2">
        <f>Datos!A578</f>
        <v>629</v>
      </c>
      <c r="B578" s="2" t="str">
        <f>Datos!B578</f>
        <v>Male</v>
      </c>
      <c r="C578" s="2" t="str">
        <f>Datos!C578</f>
        <v>High School</v>
      </c>
      <c r="D578" s="2" t="str">
        <f>Datos!G578</f>
        <v>A</v>
      </c>
      <c r="E578" s="2">
        <f>Datos!I578</f>
        <v>5</v>
      </c>
      <c r="F578" s="2">
        <f>Datos!J578</f>
        <v>74</v>
      </c>
      <c r="G578" s="2">
        <f>Datos!L578</f>
        <v>87.1</v>
      </c>
      <c r="H578" s="2">
        <f>Datos!M578</f>
        <v>91.9</v>
      </c>
      <c r="I578" s="2" t="b">
        <f t="shared" ref="I578:I641" si="45">AND(E578&gt;=0,E578&lt;=12,F578&gt;=0,F578&lt;=100,G578&gt;=0,G578&lt;=100,H578&gt;=0,H578&lt;=100)</f>
        <v>1</v>
      </c>
      <c r="J578" s="2">
        <f t="shared" ref="J578:J641" si="46">IF(I578,H578,"")</f>
        <v>91.9</v>
      </c>
      <c r="K578" s="2">
        <f t="shared" ref="K578:K641" si="47">IF(I578,E578,"")</f>
        <v>5</v>
      </c>
      <c r="L578" s="2">
        <f t="shared" ref="L578:L641" si="48">IF(I578,G578,"")</f>
        <v>87.1</v>
      </c>
      <c r="M578" s="2">
        <f t="shared" ref="M578:M641" si="49">IF(I578,F578,"")</f>
        <v>74</v>
      </c>
    </row>
    <row r="579" spans="1:13" x14ac:dyDescent="0.3">
      <c r="A579" s="2">
        <f>Datos!A579</f>
        <v>912</v>
      </c>
      <c r="B579" s="2" t="str">
        <f>Datos!B579</f>
        <v>Male</v>
      </c>
      <c r="C579" s="2" t="str">
        <f>Datos!C579</f>
        <v>Bachelors</v>
      </c>
      <c r="D579" s="2" t="str">
        <f>Datos!G579</f>
        <v>D</v>
      </c>
      <c r="E579" s="2">
        <f>Datos!I579</f>
        <v>3.2</v>
      </c>
      <c r="F579" s="2">
        <f>Datos!J579</f>
        <v>83.5</v>
      </c>
      <c r="G579" s="2">
        <f>Datos!L579</f>
        <v>51.1</v>
      </c>
      <c r="H579" s="2">
        <f>Datos!M579</f>
        <v>67.599999999999994</v>
      </c>
      <c r="I579" s="2" t="b">
        <f t="shared" si="45"/>
        <v>1</v>
      </c>
      <c r="J579" s="2">
        <f t="shared" si="46"/>
        <v>67.599999999999994</v>
      </c>
      <c r="K579" s="2">
        <f t="shared" si="47"/>
        <v>3.2</v>
      </c>
      <c r="L579" s="2">
        <f t="shared" si="48"/>
        <v>51.1</v>
      </c>
      <c r="M579" s="2">
        <f t="shared" si="49"/>
        <v>83.5</v>
      </c>
    </row>
    <row r="580" spans="1:13" x14ac:dyDescent="0.3">
      <c r="A580" s="2">
        <f>Datos!A580</f>
        <v>710</v>
      </c>
      <c r="B580" s="2" t="str">
        <f>Datos!B580</f>
        <v>Male</v>
      </c>
      <c r="C580" s="2" t="str">
        <f>Datos!C580</f>
        <v>Bachelors</v>
      </c>
      <c r="D580" s="2" t="str">
        <f>Datos!G580</f>
        <v>B</v>
      </c>
      <c r="E580" s="2">
        <f>Datos!I580</f>
        <v>5.8</v>
      </c>
      <c r="F580" s="2">
        <f>Datos!J580</f>
        <v>83.5</v>
      </c>
      <c r="G580" s="2">
        <f>Datos!L580</f>
        <v>78.5</v>
      </c>
      <c r="H580" s="2">
        <f>Datos!M580</f>
        <v>74.099999999999994</v>
      </c>
      <c r="I580" s="2" t="b">
        <f t="shared" si="45"/>
        <v>1</v>
      </c>
      <c r="J580" s="2">
        <f t="shared" si="46"/>
        <v>74.099999999999994</v>
      </c>
      <c r="K580" s="2">
        <f t="shared" si="47"/>
        <v>5.8</v>
      </c>
      <c r="L580" s="2">
        <f t="shared" si="48"/>
        <v>78.5</v>
      </c>
      <c r="M580" s="2">
        <f t="shared" si="49"/>
        <v>83.5</v>
      </c>
    </row>
    <row r="581" spans="1:13" x14ac:dyDescent="0.3">
      <c r="A581" s="2">
        <f>Datos!A581</f>
        <v>944</v>
      </c>
      <c r="B581" s="2" t="str">
        <f>Datos!B581</f>
        <v>Male</v>
      </c>
      <c r="C581" s="2" t="str">
        <f>Datos!C581</f>
        <v>High School</v>
      </c>
      <c r="D581" s="2" t="str">
        <f>Datos!G581</f>
        <v>D</v>
      </c>
      <c r="E581" s="2">
        <f>Datos!I581</f>
        <v>4.2</v>
      </c>
      <c r="F581" s="2">
        <f>Datos!J581</f>
        <v>73.400000000000006</v>
      </c>
      <c r="G581" s="2">
        <f>Datos!L581</f>
        <v>65</v>
      </c>
      <c r="H581" s="2">
        <f>Datos!M581</f>
        <v>69.599999999999994</v>
      </c>
      <c r="I581" s="2" t="b">
        <f t="shared" si="45"/>
        <v>1</v>
      </c>
      <c r="J581" s="2">
        <f t="shared" si="46"/>
        <v>69.599999999999994</v>
      </c>
      <c r="K581" s="2">
        <f t="shared" si="47"/>
        <v>4.2</v>
      </c>
      <c r="L581" s="2">
        <f t="shared" si="48"/>
        <v>65</v>
      </c>
      <c r="M581" s="2">
        <f t="shared" si="49"/>
        <v>73.400000000000006</v>
      </c>
    </row>
    <row r="582" spans="1:13" x14ac:dyDescent="0.3">
      <c r="A582" s="2">
        <f>Datos!A582</f>
        <v>750</v>
      </c>
      <c r="B582" s="2" t="str">
        <f>Datos!B582</f>
        <v>Male</v>
      </c>
      <c r="C582" s="2" t="str">
        <f>Datos!C582</f>
        <v>Bachelors</v>
      </c>
      <c r="D582" s="2" t="str">
        <f>Datos!G582</f>
        <v>F</v>
      </c>
      <c r="E582" s="2">
        <f>Datos!I582</f>
        <v>2.1</v>
      </c>
      <c r="F582" s="2">
        <f>Datos!J582</f>
        <v>66.5</v>
      </c>
      <c r="G582" s="2">
        <f>Datos!L582</f>
        <v>73.599999999999994</v>
      </c>
      <c r="H582" s="2">
        <f>Datos!M582</f>
        <v>59.8</v>
      </c>
      <c r="I582" s="2" t="b">
        <f t="shared" si="45"/>
        <v>1</v>
      </c>
      <c r="J582" s="2">
        <f t="shared" si="46"/>
        <v>59.8</v>
      </c>
      <c r="K582" s="2">
        <f t="shared" si="47"/>
        <v>2.1</v>
      </c>
      <c r="L582" s="2">
        <f t="shared" si="48"/>
        <v>73.599999999999994</v>
      </c>
      <c r="M582" s="2">
        <f t="shared" si="49"/>
        <v>66.5</v>
      </c>
    </row>
    <row r="583" spans="1:13" x14ac:dyDescent="0.3">
      <c r="A583" s="2">
        <f>Datos!A583</f>
        <v>736</v>
      </c>
      <c r="B583" s="2" t="str">
        <f>Datos!B583</f>
        <v>Female</v>
      </c>
      <c r="C583" s="2" t="str">
        <f>Datos!C583</f>
        <v>PhD</v>
      </c>
      <c r="D583" s="2" t="str">
        <f>Datos!G583</f>
        <v>C</v>
      </c>
      <c r="E583" s="2">
        <f>Datos!I583</f>
        <v>4.3</v>
      </c>
      <c r="F583" s="2">
        <f>Datos!J583</f>
        <v>92.7</v>
      </c>
      <c r="G583" s="2">
        <f>Datos!L583</f>
        <v>58.2</v>
      </c>
      <c r="H583" s="2">
        <f>Datos!M583</f>
        <v>74.5</v>
      </c>
      <c r="I583" s="2" t="b">
        <f t="shared" si="45"/>
        <v>1</v>
      </c>
      <c r="J583" s="2">
        <f t="shared" si="46"/>
        <v>74.5</v>
      </c>
      <c r="K583" s="2">
        <f t="shared" si="47"/>
        <v>4.3</v>
      </c>
      <c r="L583" s="2">
        <f t="shared" si="48"/>
        <v>58.2</v>
      </c>
      <c r="M583" s="2">
        <f t="shared" si="49"/>
        <v>92.7</v>
      </c>
    </row>
    <row r="584" spans="1:13" x14ac:dyDescent="0.3">
      <c r="A584" s="2">
        <f>Datos!A584</f>
        <v>559</v>
      </c>
      <c r="B584" s="2" t="str">
        <f>Datos!B584</f>
        <v>Female</v>
      </c>
      <c r="C584" s="2" t="str">
        <f>Datos!C584</f>
        <v>Bachelors</v>
      </c>
      <c r="D584" s="2" t="str">
        <f>Datos!G584</f>
        <v>C</v>
      </c>
      <c r="E584" s="2">
        <f>Datos!I584</f>
        <v>4.5</v>
      </c>
      <c r="F584" s="2">
        <f>Datos!J584</f>
        <v>71.900000000000006</v>
      </c>
      <c r="G584" s="2">
        <f>Datos!L584</f>
        <v>49.4</v>
      </c>
      <c r="H584" s="2">
        <f>Datos!M584</f>
        <v>70.5</v>
      </c>
      <c r="I584" s="2" t="b">
        <f t="shared" si="45"/>
        <v>1</v>
      </c>
      <c r="J584" s="2">
        <f t="shared" si="46"/>
        <v>70.5</v>
      </c>
      <c r="K584" s="2">
        <f t="shared" si="47"/>
        <v>4.5</v>
      </c>
      <c r="L584" s="2">
        <f t="shared" si="48"/>
        <v>49.4</v>
      </c>
      <c r="M584" s="2">
        <f t="shared" si="49"/>
        <v>71.900000000000006</v>
      </c>
    </row>
    <row r="585" spans="1:13" x14ac:dyDescent="0.3">
      <c r="A585" s="2">
        <f>Datos!A585</f>
        <v>120</v>
      </c>
      <c r="B585" s="2" t="str">
        <f>Datos!B585</f>
        <v>Female</v>
      </c>
      <c r="C585" s="2" t="str">
        <f>Datos!C585</f>
        <v>PhD</v>
      </c>
      <c r="D585" s="2" t="str">
        <f>Datos!G585</f>
        <v>B</v>
      </c>
      <c r="E585" s="2">
        <f>Datos!I585</f>
        <v>2.6</v>
      </c>
      <c r="F585" s="2">
        <f>Datos!J585</f>
        <v>84.1</v>
      </c>
      <c r="G585" s="2">
        <f>Datos!L585</f>
        <v>89.8</v>
      </c>
      <c r="H585" s="2">
        <f>Datos!M585</f>
        <v>80.2</v>
      </c>
      <c r="I585" s="2" t="b">
        <f t="shared" si="45"/>
        <v>1</v>
      </c>
      <c r="J585" s="2">
        <f t="shared" si="46"/>
        <v>80.2</v>
      </c>
      <c r="K585" s="2">
        <f t="shared" si="47"/>
        <v>2.6</v>
      </c>
      <c r="L585" s="2">
        <f t="shared" si="48"/>
        <v>89.8</v>
      </c>
      <c r="M585" s="2">
        <f t="shared" si="49"/>
        <v>84.1</v>
      </c>
    </row>
    <row r="586" spans="1:13" x14ac:dyDescent="0.3">
      <c r="A586" s="2">
        <f>Datos!A586</f>
        <v>553</v>
      </c>
      <c r="B586" s="2" t="str">
        <f>Datos!B586</f>
        <v>Male</v>
      </c>
      <c r="C586" s="2" t="str">
        <f>Datos!C586</f>
        <v>PhD</v>
      </c>
      <c r="D586" s="2" t="str">
        <f>Datos!G586</f>
        <v>C</v>
      </c>
      <c r="E586" s="2">
        <f>Datos!I586</f>
        <v>6.4</v>
      </c>
      <c r="F586" s="2">
        <f>Datos!J586</f>
        <v>83.5</v>
      </c>
      <c r="G586" s="2">
        <f>Datos!L586</f>
        <v>73</v>
      </c>
      <c r="H586" s="2">
        <f>Datos!M586</f>
        <v>78.400000000000006</v>
      </c>
      <c r="I586" s="2" t="b">
        <f t="shared" si="45"/>
        <v>1</v>
      </c>
      <c r="J586" s="2">
        <f t="shared" si="46"/>
        <v>78.400000000000006</v>
      </c>
      <c r="K586" s="2">
        <f t="shared" si="47"/>
        <v>6.4</v>
      </c>
      <c r="L586" s="2">
        <f t="shared" si="48"/>
        <v>73</v>
      </c>
      <c r="M586" s="2">
        <f t="shared" si="49"/>
        <v>83.5</v>
      </c>
    </row>
    <row r="587" spans="1:13" x14ac:dyDescent="0.3">
      <c r="A587" s="2">
        <f>Datos!A587</f>
        <v>270</v>
      </c>
      <c r="B587" s="2" t="str">
        <f>Datos!B587</f>
        <v>Male</v>
      </c>
      <c r="C587" s="2" t="str">
        <f>Datos!C587</f>
        <v>High School</v>
      </c>
      <c r="D587" s="2" t="str">
        <f>Datos!G587</f>
        <v>C</v>
      </c>
      <c r="E587" s="2">
        <f>Datos!I587</f>
        <v>5.2</v>
      </c>
      <c r="F587" s="2">
        <f>Datos!J587</f>
        <v>83.5</v>
      </c>
      <c r="G587" s="2">
        <f>Datos!L587</f>
        <v>78.099999999999994</v>
      </c>
      <c r="H587" s="2">
        <f>Datos!M587</f>
        <v>73.400000000000006</v>
      </c>
      <c r="I587" s="2" t="b">
        <f t="shared" si="45"/>
        <v>1</v>
      </c>
      <c r="J587" s="2">
        <f t="shared" si="46"/>
        <v>73.400000000000006</v>
      </c>
      <c r="K587" s="2">
        <f t="shared" si="47"/>
        <v>5.2</v>
      </c>
      <c r="L587" s="2">
        <f t="shared" si="48"/>
        <v>78.099999999999994</v>
      </c>
      <c r="M587" s="2">
        <f t="shared" si="49"/>
        <v>83.5</v>
      </c>
    </row>
    <row r="588" spans="1:13" x14ac:dyDescent="0.3">
      <c r="A588" s="2">
        <f>Datos!A588</f>
        <v>612</v>
      </c>
      <c r="B588" s="2" t="str">
        <f>Datos!B588</f>
        <v>Female</v>
      </c>
      <c r="C588" s="2" t="str">
        <f>Datos!C588</f>
        <v>Bachelors</v>
      </c>
      <c r="D588" s="2" t="str">
        <f>Datos!G588</f>
        <v>D</v>
      </c>
      <c r="E588" s="2">
        <f>Datos!I588</f>
        <v>3.5</v>
      </c>
      <c r="F588" s="2">
        <f>Datos!J588</f>
        <v>76.400000000000006</v>
      </c>
      <c r="G588" s="2">
        <f>Datos!L588</f>
        <v>66.75</v>
      </c>
      <c r="H588" s="2">
        <f>Datos!M588</f>
        <v>69</v>
      </c>
      <c r="I588" s="2" t="b">
        <f t="shared" si="45"/>
        <v>1</v>
      </c>
      <c r="J588" s="2">
        <f t="shared" si="46"/>
        <v>69</v>
      </c>
      <c r="K588" s="2">
        <f t="shared" si="47"/>
        <v>3.5</v>
      </c>
      <c r="L588" s="2">
        <f t="shared" si="48"/>
        <v>66.75</v>
      </c>
      <c r="M588" s="2">
        <f t="shared" si="49"/>
        <v>76.400000000000006</v>
      </c>
    </row>
    <row r="589" spans="1:13" x14ac:dyDescent="0.3">
      <c r="A589" s="2">
        <f>Datos!A589</f>
        <v>566</v>
      </c>
      <c r="B589" s="2" t="str">
        <f>Datos!B589</f>
        <v>Male</v>
      </c>
      <c r="C589" s="2" t="str">
        <f>Datos!C589</f>
        <v>Masters</v>
      </c>
      <c r="D589" s="2" t="str">
        <f>Datos!G589</f>
        <v>A</v>
      </c>
      <c r="E589" s="2">
        <f>Datos!I589</f>
        <v>4.7</v>
      </c>
      <c r="F589" s="2">
        <f>Datos!J589</f>
        <v>94</v>
      </c>
      <c r="G589" s="2">
        <f>Datos!L589</f>
        <v>71.900000000000006</v>
      </c>
      <c r="H589" s="2">
        <f>Datos!M589</f>
        <v>97.8</v>
      </c>
      <c r="I589" s="2" t="b">
        <f t="shared" si="45"/>
        <v>1</v>
      </c>
      <c r="J589" s="2">
        <f t="shared" si="46"/>
        <v>97.8</v>
      </c>
      <c r="K589" s="2">
        <f t="shared" si="47"/>
        <v>4.7</v>
      </c>
      <c r="L589" s="2">
        <f t="shared" si="48"/>
        <v>71.900000000000006</v>
      </c>
      <c r="M589" s="2">
        <f t="shared" si="49"/>
        <v>94</v>
      </c>
    </row>
    <row r="590" spans="1:13" x14ac:dyDescent="0.3">
      <c r="A590" s="2">
        <f>Datos!A590</f>
        <v>149</v>
      </c>
      <c r="B590" s="2" t="str">
        <f>Datos!B590</f>
        <v>Female</v>
      </c>
      <c r="C590" s="2" t="str">
        <f>Datos!C590</f>
        <v>PhD</v>
      </c>
      <c r="D590" s="2" t="str">
        <f>Datos!G590</f>
        <v>D</v>
      </c>
      <c r="E590" s="2">
        <f>Datos!I590</f>
        <v>1.7</v>
      </c>
      <c r="F590" s="2">
        <f>Datos!J590</f>
        <v>85.8</v>
      </c>
      <c r="G590" s="2">
        <f>Datos!L590</f>
        <v>63.9</v>
      </c>
      <c r="H590" s="2">
        <f>Datos!M590</f>
        <v>66.8</v>
      </c>
      <c r="I590" s="2" t="b">
        <f t="shared" si="45"/>
        <v>1</v>
      </c>
      <c r="J590" s="2">
        <f t="shared" si="46"/>
        <v>66.8</v>
      </c>
      <c r="K590" s="2">
        <f t="shared" si="47"/>
        <v>1.7</v>
      </c>
      <c r="L590" s="2">
        <f t="shared" si="48"/>
        <v>63.9</v>
      </c>
      <c r="M590" s="2">
        <f t="shared" si="49"/>
        <v>85.8</v>
      </c>
    </row>
    <row r="591" spans="1:13" x14ac:dyDescent="0.3">
      <c r="A591" s="2">
        <f>Datos!A591</f>
        <v>523</v>
      </c>
      <c r="B591" s="2" t="str">
        <f>Datos!B591</f>
        <v>Male</v>
      </c>
      <c r="C591" s="2" t="str">
        <f>Datos!C591</f>
        <v>High School</v>
      </c>
      <c r="D591" s="2" t="str">
        <f>Datos!G591</f>
        <v>B</v>
      </c>
      <c r="E591" s="2">
        <f>Datos!I591</f>
        <v>5.7</v>
      </c>
      <c r="F591" s="2">
        <f>Datos!J591</f>
        <v>73.599999999999994</v>
      </c>
      <c r="G591" s="2">
        <f>Datos!L591</f>
        <v>67</v>
      </c>
      <c r="H591" s="2">
        <f>Datos!M591</f>
        <v>74.099999999999994</v>
      </c>
      <c r="I591" s="2" t="b">
        <f t="shared" si="45"/>
        <v>1</v>
      </c>
      <c r="J591" s="2">
        <f t="shared" si="46"/>
        <v>74.099999999999994</v>
      </c>
      <c r="K591" s="2">
        <f t="shared" si="47"/>
        <v>5.7</v>
      </c>
      <c r="L591" s="2">
        <f t="shared" si="48"/>
        <v>67</v>
      </c>
      <c r="M591" s="2">
        <f t="shared" si="49"/>
        <v>73.599999999999994</v>
      </c>
    </row>
    <row r="592" spans="1:13" x14ac:dyDescent="0.3">
      <c r="A592" s="2">
        <f>Datos!A592</f>
        <v>807</v>
      </c>
      <c r="B592" s="2" t="str">
        <f>Datos!B592</f>
        <v>Male</v>
      </c>
      <c r="C592" s="2">
        <f>Datos!C592</f>
        <v>0</v>
      </c>
      <c r="D592" s="2" t="str">
        <f>Datos!G592</f>
        <v>C</v>
      </c>
      <c r="E592" s="2">
        <f>Datos!I592</f>
        <v>2.1</v>
      </c>
      <c r="F592" s="2">
        <f>Datos!J592</f>
        <v>89.8</v>
      </c>
      <c r="G592" s="2">
        <f>Datos!L592</f>
        <v>79.400000000000006</v>
      </c>
      <c r="H592" s="2">
        <f>Datos!M592</f>
        <v>78.7</v>
      </c>
      <c r="I592" s="2" t="b">
        <f t="shared" si="45"/>
        <v>1</v>
      </c>
      <c r="J592" s="2">
        <f t="shared" si="46"/>
        <v>78.7</v>
      </c>
      <c r="K592" s="2">
        <f t="shared" si="47"/>
        <v>2.1</v>
      </c>
      <c r="L592" s="2">
        <f t="shared" si="48"/>
        <v>79.400000000000006</v>
      </c>
      <c r="M592" s="2">
        <f t="shared" si="49"/>
        <v>89.8</v>
      </c>
    </row>
    <row r="593" spans="1:13" x14ac:dyDescent="0.3">
      <c r="A593" s="2">
        <f>Datos!A593</f>
        <v>223</v>
      </c>
      <c r="B593" s="2" t="str">
        <f>Datos!B593</f>
        <v>Male</v>
      </c>
      <c r="C593" s="2" t="str">
        <f>Datos!C593</f>
        <v>Bachelors</v>
      </c>
      <c r="D593" s="2" t="str">
        <f>Datos!G593</f>
        <v>C</v>
      </c>
      <c r="E593" s="2">
        <f>Datos!I593</f>
        <v>6.7</v>
      </c>
      <c r="F593" s="2">
        <f>Datos!J593</f>
        <v>87.8</v>
      </c>
      <c r="G593" s="2">
        <f>Datos!L593</f>
        <v>44.2</v>
      </c>
      <c r="H593" s="2">
        <f>Datos!M593</f>
        <v>72.400000000000006</v>
      </c>
      <c r="I593" s="2" t="b">
        <f t="shared" si="45"/>
        <v>1</v>
      </c>
      <c r="J593" s="2">
        <f t="shared" si="46"/>
        <v>72.400000000000006</v>
      </c>
      <c r="K593" s="2">
        <f t="shared" si="47"/>
        <v>6.7</v>
      </c>
      <c r="L593" s="2">
        <f t="shared" si="48"/>
        <v>44.2</v>
      </c>
      <c r="M593" s="2">
        <f t="shared" si="49"/>
        <v>87.8</v>
      </c>
    </row>
    <row r="594" spans="1:13" x14ac:dyDescent="0.3">
      <c r="A594" s="2">
        <f>Datos!A594</f>
        <v>339</v>
      </c>
      <c r="B594" s="2" t="str">
        <f>Datos!B594</f>
        <v>Male</v>
      </c>
      <c r="C594" s="2" t="str">
        <f>Datos!C594</f>
        <v>Bachelors</v>
      </c>
      <c r="D594" s="2" t="str">
        <f>Datos!G594</f>
        <v>C</v>
      </c>
      <c r="E594" s="2">
        <f>Datos!I594</f>
        <v>4.7</v>
      </c>
      <c r="F594" s="2">
        <f>Datos!J594</f>
        <v>97.2</v>
      </c>
      <c r="G594" s="2">
        <f>Datos!L594</f>
        <v>82</v>
      </c>
      <c r="H594" s="2">
        <f>Datos!M594</f>
        <v>76.599999999999994</v>
      </c>
      <c r="I594" s="2" t="b">
        <f t="shared" si="45"/>
        <v>1</v>
      </c>
      <c r="J594" s="2">
        <f t="shared" si="46"/>
        <v>76.599999999999994</v>
      </c>
      <c r="K594" s="2">
        <f t="shared" si="47"/>
        <v>4.7</v>
      </c>
      <c r="L594" s="2">
        <f t="shared" si="48"/>
        <v>82</v>
      </c>
      <c r="M594" s="2">
        <f t="shared" si="49"/>
        <v>97.2</v>
      </c>
    </row>
    <row r="595" spans="1:13" x14ac:dyDescent="0.3">
      <c r="A595" s="2">
        <f>Datos!A595</f>
        <v>329</v>
      </c>
      <c r="B595" s="2" t="str">
        <f>Datos!B595</f>
        <v>Female</v>
      </c>
      <c r="C595" s="2">
        <f>Datos!C595</f>
        <v>0</v>
      </c>
      <c r="D595" s="2" t="str">
        <f>Datos!G595</f>
        <v>D</v>
      </c>
      <c r="E595" s="2">
        <f>Datos!I595</f>
        <v>0.6</v>
      </c>
      <c r="F595" s="2">
        <f>Datos!J595</f>
        <v>73.7</v>
      </c>
      <c r="G595" s="2">
        <f>Datos!L595</f>
        <v>70.5</v>
      </c>
      <c r="H595" s="2">
        <f>Datos!M595</f>
        <v>63.5</v>
      </c>
      <c r="I595" s="2" t="b">
        <f t="shared" si="45"/>
        <v>1</v>
      </c>
      <c r="J595" s="2">
        <f t="shared" si="46"/>
        <v>63.5</v>
      </c>
      <c r="K595" s="2">
        <f t="shared" si="47"/>
        <v>0.6</v>
      </c>
      <c r="L595" s="2">
        <f t="shared" si="48"/>
        <v>70.5</v>
      </c>
      <c r="M595" s="2">
        <f t="shared" si="49"/>
        <v>73.7</v>
      </c>
    </row>
    <row r="596" spans="1:13" x14ac:dyDescent="0.3">
      <c r="A596" s="2">
        <f>Datos!A596</f>
        <v>688</v>
      </c>
      <c r="B596" s="2" t="str">
        <f>Datos!B596</f>
        <v>Male</v>
      </c>
      <c r="C596" s="2" t="str">
        <f>Datos!C596</f>
        <v>Bachelors</v>
      </c>
      <c r="D596" s="2" t="str">
        <f>Datos!G596</f>
        <v>D</v>
      </c>
      <c r="E596" s="2">
        <f>Datos!I596</f>
        <v>3.7</v>
      </c>
      <c r="F596" s="2">
        <f>Datos!J596</f>
        <v>84.6</v>
      </c>
      <c r="G596" s="2">
        <f>Datos!L596</f>
        <v>52.4</v>
      </c>
      <c r="H596" s="2">
        <f>Datos!M596</f>
        <v>62.8</v>
      </c>
      <c r="I596" s="2" t="b">
        <f t="shared" si="45"/>
        <v>1</v>
      </c>
      <c r="J596" s="2">
        <f t="shared" si="46"/>
        <v>62.8</v>
      </c>
      <c r="K596" s="2">
        <f t="shared" si="47"/>
        <v>3.7</v>
      </c>
      <c r="L596" s="2">
        <f t="shared" si="48"/>
        <v>52.4</v>
      </c>
      <c r="M596" s="2">
        <f t="shared" si="49"/>
        <v>84.6</v>
      </c>
    </row>
    <row r="597" spans="1:13" x14ac:dyDescent="0.3">
      <c r="A597" s="2">
        <f>Datos!A597</f>
        <v>158</v>
      </c>
      <c r="B597" s="2" t="str">
        <f>Datos!B597</f>
        <v>Male</v>
      </c>
      <c r="C597" s="2" t="str">
        <f>Datos!C597</f>
        <v>Bachelors</v>
      </c>
      <c r="D597" s="2" t="str">
        <f>Datos!G597</f>
        <v>D</v>
      </c>
      <c r="E597" s="2">
        <f>Datos!I597</f>
        <v>4</v>
      </c>
      <c r="F597" s="2">
        <f>Datos!J597</f>
        <v>96.5</v>
      </c>
      <c r="G597" s="2">
        <f>Datos!L597</f>
        <v>58.2</v>
      </c>
      <c r="H597" s="2">
        <f>Datos!M597</f>
        <v>69.8</v>
      </c>
      <c r="I597" s="2" t="b">
        <f t="shared" si="45"/>
        <v>1</v>
      </c>
      <c r="J597" s="2">
        <f t="shared" si="46"/>
        <v>69.8</v>
      </c>
      <c r="K597" s="2">
        <f t="shared" si="47"/>
        <v>4</v>
      </c>
      <c r="L597" s="2">
        <f t="shared" si="48"/>
        <v>58.2</v>
      </c>
      <c r="M597" s="2">
        <f t="shared" si="49"/>
        <v>96.5</v>
      </c>
    </row>
    <row r="598" spans="1:13" x14ac:dyDescent="0.3">
      <c r="A598" s="2">
        <f>Datos!A598</f>
        <v>376</v>
      </c>
      <c r="B598" s="2" t="str">
        <f>Datos!B598</f>
        <v>Male</v>
      </c>
      <c r="C598" s="2" t="str">
        <f>Datos!C598</f>
        <v>PhD</v>
      </c>
      <c r="D598" s="2" t="str">
        <f>Datos!G598</f>
        <v>B</v>
      </c>
      <c r="E598" s="2">
        <f>Datos!I598</f>
        <v>6.5</v>
      </c>
      <c r="F598" s="2">
        <f>Datos!J598</f>
        <v>84.5</v>
      </c>
      <c r="G598" s="2">
        <f>Datos!L598</f>
        <v>67</v>
      </c>
      <c r="H598" s="2">
        <f>Datos!M598</f>
        <v>80.8</v>
      </c>
      <c r="I598" s="2" t="b">
        <f t="shared" si="45"/>
        <v>1</v>
      </c>
      <c r="J598" s="2">
        <f t="shared" si="46"/>
        <v>80.8</v>
      </c>
      <c r="K598" s="2">
        <f t="shared" si="47"/>
        <v>6.5</v>
      </c>
      <c r="L598" s="2">
        <f t="shared" si="48"/>
        <v>67</v>
      </c>
      <c r="M598" s="2">
        <f t="shared" si="49"/>
        <v>84.5</v>
      </c>
    </row>
    <row r="599" spans="1:13" x14ac:dyDescent="0.3">
      <c r="A599" s="2">
        <f>Datos!A599</f>
        <v>541</v>
      </c>
      <c r="B599" s="2" t="str">
        <f>Datos!B599</f>
        <v>Female</v>
      </c>
      <c r="C599" s="2" t="str">
        <f>Datos!C599</f>
        <v>High School</v>
      </c>
      <c r="D599" s="2" t="str">
        <f>Datos!G599</f>
        <v>A</v>
      </c>
      <c r="E599" s="2">
        <f>Datos!I599</f>
        <v>5</v>
      </c>
      <c r="F599" s="2">
        <f>Datos!J599</f>
        <v>85.5</v>
      </c>
      <c r="G599" s="2">
        <f>Datos!L599</f>
        <v>58.3</v>
      </c>
      <c r="H599" s="2">
        <f>Datos!M599</f>
        <v>94.6</v>
      </c>
      <c r="I599" s="2" t="b">
        <f t="shared" si="45"/>
        <v>1</v>
      </c>
      <c r="J599" s="2">
        <f t="shared" si="46"/>
        <v>94.6</v>
      </c>
      <c r="K599" s="2">
        <f t="shared" si="47"/>
        <v>5</v>
      </c>
      <c r="L599" s="2">
        <f t="shared" si="48"/>
        <v>58.3</v>
      </c>
      <c r="M599" s="2">
        <f t="shared" si="49"/>
        <v>85.5</v>
      </c>
    </row>
    <row r="600" spans="1:13" x14ac:dyDescent="0.3">
      <c r="A600" s="2">
        <f>Datos!A600</f>
        <v>385</v>
      </c>
      <c r="B600" s="2" t="str">
        <f>Datos!B600</f>
        <v>Male</v>
      </c>
      <c r="C600" s="2">
        <f>Datos!C600</f>
        <v>0</v>
      </c>
      <c r="D600" s="2" t="str">
        <f>Datos!G600</f>
        <v>C</v>
      </c>
      <c r="E600" s="2">
        <f>Datos!I600</f>
        <v>2.4</v>
      </c>
      <c r="F600" s="2">
        <f>Datos!J600</f>
        <v>91.3</v>
      </c>
      <c r="G600" s="2">
        <f>Datos!L600</f>
        <v>93</v>
      </c>
      <c r="H600" s="2">
        <f>Datos!M600</f>
        <v>42.8</v>
      </c>
      <c r="I600" s="2" t="b">
        <f t="shared" si="45"/>
        <v>1</v>
      </c>
      <c r="J600" s="2">
        <f t="shared" si="46"/>
        <v>42.8</v>
      </c>
      <c r="K600" s="2">
        <f t="shared" si="47"/>
        <v>2.4</v>
      </c>
      <c r="L600" s="2">
        <f t="shared" si="48"/>
        <v>93</v>
      </c>
      <c r="M600" s="2">
        <f t="shared" si="49"/>
        <v>91.3</v>
      </c>
    </row>
    <row r="601" spans="1:13" x14ac:dyDescent="0.3">
      <c r="A601" s="2">
        <f>Datos!A601</f>
        <v>854</v>
      </c>
      <c r="B601" s="2" t="str">
        <f>Datos!B601</f>
        <v>Male</v>
      </c>
      <c r="C601" s="2" t="str">
        <f>Datos!C601</f>
        <v>Bachelors</v>
      </c>
      <c r="D601" s="2" t="str">
        <f>Datos!G601</f>
        <v>D</v>
      </c>
      <c r="E601" s="2">
        <f>Datos!I601</f>
        <v>2.6</v>
      </c>
      <c r="F601" s="2">
        <f>Datos!J601</f>
        <v>94.1</v>
      </c>
      <c r="G601" s="2">
        <f>Datos!L601</f>
        <v>68.2</v>
      </c>
      <c r="H601" s="2">
        <f>Datos!M601</f>
        <v>67.5</v>
      </c>
      <c r="I601" s="2" t="b">
        <f t="shared" si="45"/>
        <v>1</v>
      </c>
      <c r="J601" s="2">
        <f t="shared" si="46"/>
        <v>67.5</v>
      </c>
      <c r="K601" s="2">
        <f t="shared" si="47"/>
        <v>2.6</v>
      </c>
      <c r="L601" s="2">
        <f t="shared" si="48"/>
        <v>68.2</v>
      </c>
      <c r="M601" s="2">
        <f t="shared" si="49"/>
        <v>94.1</v>
      </c>
    </row>
    <row r="602" spans="1:13" x14ac:dyDescent="0.3">
      <c r="A602" s="2">
        <f>Datos!A602</f>
        <v>290</v>
      </c>
      <c r="B602" s="2" t="str">
        <f>Datos!B602</f>
        <v>Male</v>
      </c>
      <c r="C602" s="2">
        <f>Datos!C602</f>
        <v>0</v>
      </c>
      <c r="D602" s="2" t="str">
        <f>Datos!G602</f>
        <v>F</v>
      </c>
      <c r="E602" s="2">
        <f>Datos!I602</f>
        <v>1.4</v>
      </c>
      <c r="F602" s="2">
        <f>Datos!J602</f>
        <v>86.5</v>
      </c>
      <c r="G602" s="2">
        <f>Datos!L602</f>
        <v>84.2</v>
      </c>
      <c r="H602" s="2">
        <f>Datos!M602</f>
        <v>55.3</v>
      </c>
      <c r="I602" s="2" t="b">
        <f t="shared" si="45"/>
        <v>1</v>
      </c>
      <c r="J602" s="2">
        <f t="shared" si="46"/>
        <v>55.3</v>
      </c>
      <c r="K602" s="2">
        <f t="shared" si="47"/>
        <v>1.4</v>
      </c>
      <c r="L602" s="2">
        <f t="shared" si="48"/>
        <v>84.2</v>
      </c>
      <c r="M602" s="2">
        <f t="shared" si="49"/>
        <v>86.5</v>
      </c>
    </row>
    <row r="603" spans="1:13" x14ac:dyDescent="0.3">
      <c r="A603" s="2">
        <f>Datos!A603</f>
        <v>803</v>
      </c>
      <c r="B603" s="2" t="str">
        <f>Datos!B603</f>
        <v>Female</v>
      </c>
      <c r="C603" s="2" t="str">
        <f>Datos!C603</f>
        <v>High School</v>
      </c>
      <c r="D603" s="2" t="str">
        <f>Datos!G603</f>
        <v>A</v>
      </c>
      <c r="E603" s="2">
        <f>Datos!I603</f>
        <v>4.5999999999999996</v>
      </c>
      <c r="F603" s="2">
        <f>Datos!J603</f>
        <v>81.900000000000006</v>
      </c>
      <c r="G603" s="2">
        <f>Datos!L603</f>
        <v>84.2</v>
      </c>
      <c r="H603" s="2">
        <f>Datos!M603</f>
        <v>92.7</v>
      </c>
      <c r="I603" s="2" t="b">
        <f t="shared" si="45"/>
        <v>1</v>
      </c>
      <c r="J603" s="2">
        <f t="shared" si="46"/>
        <v>92.7</v>
      </c>
      <c r="K603" s="2">
        <f t="shared" si="47"/>
        <v>4.5999999999999996</v>
      </c>
      <c r="L603" s="2">
        <f t="shared" si="48"/>
        <v>84.2</v>
      </c>
      <c r="M603" s="2">
        <f t="shared" si="49"/>
        <v>81.900000000000006</v>
      </c>
    </row>
    <row r="604" spans="1:13" x14ac:dyDescent="0.3">
      <c r="A604" s="2">
        <f>Datos!A604</f>
        <v>607</v>
      </c>
      <c r="B604" s="2" t="str">
        <f>Datos!B604</f>
        <v>Male</v>
      </c>
      <c r="C604" s="2" t="str">
        <f>Datos!C604</f>
        <v>Masters</v>
      </c>
      <c r="D604" s="2" t="str">
        <f>Datos!G604</f>
        <v>F</v>
      </c>
      <c r="E604" s="2">
        <f>Datos!I604</f>
        <v>1.4</v>
      </c>
      <c r="F604" s="2">
        <f>Datos!J604</f>
        <v>83.1</v>
      </c>
      <c r="G604" s="2">
        <f>Datos!L604</f>
        <v>47.5</v>
      </c>
      <c r="H604" s="2">
        <f>Datos!M604</f>
        <v>55.7</v>
      </c>
      <c r="I604" s="2" t="b">
        <f t="shared" si="45"/>
        <v>1</v>
      </c>
      <c r="J604" s="2">
        <f t="shared" si="46"/>
        <v>55.7</v>
      </c>
      <c r="K604" s="2">
        <f t="shared" si="47"/>
        <v>1.4</v>
      </c>
      <c r="L604" s="2">
        <f t="shared" si="48"/>
        <v>47.5</v>
      </c>
      <c r="M604" s="2">
        <f t="shared" si="49"/>
        <v>83.1</v>
      </c>
    </row>
    <row r="605" spans="1:13" x14ac:dyDescent="0.3">
      <c r="A605" s="2">
        <f>Datos!A605</f>
        <v>130</v>
      </c>
      <c r="B605" s="2" t="str">
        <f>Datos!B605</f>
        <v>Male</v>
      </c>
      <c r="C605" s="2">
        <f>Datos!C605</f>
        <v>0</v>
      </c>
      <c r="D605" s="2" t="str">
        <f>Datos!G605</f>
        <v>A</v>
      </c>
      <c r="E605" s="2">
        <f>Datos!I605</f>
        <v>6.1</v>
      </c>
      <c r="F605" s="2">
        <f>Datos!J605</f>
        <v>93.8</v>
      </c>
      <c r="G605" s="2">
        <f>Datos!L605</f>
        <v>79.3</v>
      </c>
      <c r="H605" s="2">
        <f>Datos!M605</f>
        <v>92.4</v>
      </c>
      <c r="I605" s="2" t="b">
        <f t="shared" si="45"/>
        <v>1</v>
      </c>
      <c r="J605" s="2">
        <f t="shared" si="46"/>
        <v>92.4</v>
      </c>
      <c r="K605" s="2">
        <f t="shared" si="47"/>
        <v>6.1</v>
      </c>
      <c r="L605" s="2">
        <f t="shared" si="48"/>
        <v>79.3</v>
      </c>
      <c r="M605" s="2">
        <f t="shared" si="49"/>
        <v>93.8</v>
      </c>
    </row>
    <row r="606" spans="1:13" x14ac:dyDescent="0.3">
      <c r="A606" s="2">
        <f>Datos!A606</f>
        <v>46</v>
      </c>
      <c r="B606" s="2" t="str">
        <f>Datos!B606</f>
        <v>Female</v>
      </c>
      <c r="C606" s="2" t="str">
        <f>Datos!C606</f>
        <v>Bachelors</v>
      </c>
      <c r="D606" s="2" t="str">
        <f>Datos!G606</f>
        <v>F</v>
      </c>
      <c r="E606" s="2">
        <f>Datos!I606</f>
        <v>1.2</v>
      </c>
      <c r="F606" s="2">
        <f>Datos!J606</f>
        <v>100</v>
      </c>
      <c r="G606" s="2">
        <f>Datos!L606</f>
        <v>36.700000000000003</v>
      </c>
      <c r="H606" s="2">
        <f>Datos!M606</f>
        <v>53.6</v>
      </c>
      <c r="I606" s="2" t="b">
        <f t="shared" si="45"/>
        <v>1</v>
      </c>
      <c r="J606" s="2">
        <f t="shared" si="46"/>
        <v>53.6</v>
      </c>
      <c r="K606" s="2">
        <f t="shared" si="47"/>
        <v>1.2</v>
      </c>
      <c r="L606" s="2">
        <f t="shared" si="48"/>
        <v>36.700000000000003</v>
      </c>
      <c r="M606" s="2">
        <f t="shared" si="49"/>
        <v>100</v>
      </c>
    </row>
    <row r="607" spans="1:13" x14ac:dyDescent="0.3">
      <c r="A607" s="2">
        <f>Datos!A607</f>
        <v>516</v>
      </c>
      <c r="B607" s="2" t="str">
        <f>Datos!B607</f>
        <v>Female</v>
      </c>
      <c r="C607" s="2" t="str">
        <f>Datos!C607</f>
        <v>PhD</v>
      </c>
      <c r="D607" s="2" t="str">
        <f>Datos!G607</f>
        <v>F</v>
      </c>
      <c r="E607" s="2">
        <f>Datos!I607</f>
        <v>6.5</v>
      </c>
      <c r="F607" s="2">
        <f>Datos!J607</f>
        <v>72.5</v>
      </c>
      <c r="G607" s="2">
        <f>Datos!L607</f>
        <v>42.6</v>
      </c>
      <c r="H607" s="2">
        <f>Datos!M607</f>
        <v>57.3</v>
      </c>
      <c r="I607" s="2" t="b">
        <f t="shared" si="45"/>
        <v>1</v>
      </c>
      <c r="J607" s="2">
        <f t="shared" si="46"/>
        <v>57.3</v>
      </c>
      <c r="K607" s="2">
        <f t="shared" si="47"/>
        <v>6.5</v>
      </c>
      <c r="L607" s="2">
        <f t="shared" si="48"/>
        <v>42.6</v>
      </c>
      <c r="M607" s="2">
        <f t="shared" si="49"/>
        <v>72.5</v>
      </c>
    </row>
    <row r="608" spans="1:13" x14ac:dyDescent="0.3">
      <c r="A608" s="2">
        <f>Datos!A608</f>
        <v>120</v>
      </c>
      <c r="B608" s="2" t="str">
        <f>Datos!B608</f>
        <v>Female</v>
      </c>
      <c r="C608" s="2" t="str">
        <f>Datos!C608</f>
        <v>PhD</v>
      </c>
      <c r="D608" s="2" t="str">
        <f>Datos!G608</f>
        <v>B</v>
      </c>
      <c r="E608" s="2">
        <f>Datos!I608</f>
        <v>2.6</v>
      </c>
      <c r="F608" s="2">
        <f>Datos!J608</f>
        <v>84.1</v>
      </c>
      <c r="G608" s="2">
        <f>Datos!L608</f>
        <v>89.8</v>
      </c>
      <c r="H608" s="2">
        <f>Datos!M608</f>
        <v>77.5</v>
      </c>
      <c r="I608" s="2" t="b">
        <f t="shared" si="45"/>
        <v>1</v>
      </c>
      <c r="J608" s="2">
        <f t="shared" si="46"/>
        <v>77.5</v>
      </c>
      <c r="K608" s="2">
        <f t="shared" si="47"/>
        <v>2.6</v>
      </c>
      <c r="L608" s="2">
        <f t="shared" si="48"/>
        <v>89.8</v>
      </c>
      <c r="M608" s="2">
        <f t="shared" si="49"/>
        <v>84.1</v>
      </c>
    </row>
    <row r="609" spans="1:13" x14ac:dyDescent="0.3">
      <c r="A609" s="2">
        <f>Datos!A609</f>
        <v>403</v>
      </c>
      <c r="B609" s="2" t="str">
        <f>Datos!B609</f>
        <v>Female</v>
      </c>
      <c r="C609" s="2" t="str">
        <f>Datos!C609</f>
        <v>PhD</v>
      </c>
      <c r="D609" s="2" t="str">
        <f>Datos!G609</f>
        <v>C</v>
      </c>
      <c r="E609" s="2">
        <f>Datos!I609</f>
        <v>4.9000000000000004</v>
      </c>
      <c r="F609" s="2">
        <f>Datos!J609</f>
        <v>87.5</v>
      </c>
      <c r="G609" s="2">
        <f>Datos!L609</f>
        <v>59.9</v>
      </c>
      <c r="H609" s="2">
        <f>Datos!M609</f>
        <v>70.2</v>
      </c>
      <c r="I609" s="2" t="b">
        <f t="shared" si="45"/>
        <v>1</v>
      </c>
      <c r="J609" s="2">
        <f t="shared" si="46"/>
        <v>70.2</v>
      </c>
      <c r="K609" s="2">
        <f t="shared" si="47"/>
        <v>4.9000000000000004</v>
      </c>
      <c r="L609" s="2">
        <f t="shared" si="48"/>
        <v>59.9</v>
      </c>
      <c r="M609" s="2">
        <f t="shared" si="49"/>
        <v>87.5</v>
      </c>
    </row>
    <row r="610" spans="1:13" x14ac:dyDescent="0.3">
      <c r="A610" s="2">
        <f>Datos!A610</f>
        <v>934</v>
      </c>
      <c r="B610" s="2" t="str">
        <f>Datos!B610</f>
        <v>Male</v>
      </c>
      <c r="C610" s="2" t="str">
        <f>Datos!C610</f>
        <v>PhD</v>
      </c>
      <c r="D610" s="2" t="str">
        <f>Datos!G610</f>
        <v>B</v>
      </c>
      <c r="E610" s="2">
        <f>Datos!I610</f>
        <v>6.6</v>
      </c>
      <c r="F610" s="2">
        <f>Datos!J610</f>
        <v>95</v>
      </c>
      <c r="G610" s="2">
        <f>Datos!L610</f>
        <v>74.3</v>
      </c>
      <c r="H610" s="2">
        <f>Datos!M610</f>
        <v>85.4</v>
      </c>
      <c r="I610" s="2" t="b">
        <f t="shared" si="45"/>
        <v>1</v>
      </c>
      <c r="J610" s="2">
        <f t="shared" si="46"/>
        <v>85.4</v>
      </c>
      <c r="K610" s="2">
        <f t="shared" si="47"/>
        <v>6.6</v>
      </c>
      <c r="L610" s="2">
        <f t="shared" si="48"/>
        <v>74.3</v>
      </c>
      <c r="M610" s="2">
        <f t="shared" si="49"/>
        <v>95</v>
      </c>
    </row>
    <row r="611" spans="1:13" x14ac:dyDescent="0.3">
      <c r="A611" s="2">
        <f>Datos!A611</f>
        <v>404</v>
      </c>
      <c r="B611" s="2" t="str">
        <f>Datos!B611</f>
        <v>Male</v>
      </c>
      <c r="C611" s="2">
        <f>Datos!C611</f>
        <v>0</v>
      </c>
      <c r="D611" s="2" t="str">
        <f>Datos!G611</f>
        <v>B</v>
      </c>
      <c r="E611" s="2">
        <f>Datos!I611</f>
        <v>5.8</v>
      </c>
      <c r="F611" s="2">
        <f>Datos!J611</f>
        <v>72.599999999999994</v>
      </c>
      <c r="G611" s="2">
        <f>Datos!L611</f>
        <v>84</v>
      </c>
      <c r="H611" s="2">
        <f>Datos!M611</f>
        <v>84.7</v>
      </c>
      <c r="I611" s="2" t="b">
        <f t="shared" si="45"/>
        <v>1</v>
      </c>
      <c r="J611" s="2">
        <f t="shared" si="46"/>
        <v>84.7</v>
      </c>
      <c r="K611" s="2">
        <f t="shared" si="47"/>
        <v>5.8</v>
      </c>
      <c r="L611" s="2">
        <f t="shared" si="48"/>
        <v>84</v>
      </c>
      <c r="M611" s="2">
        <f t="shared" si="49"/>
        <v>72.599999999999994</v>
      </c>
    </row>
    <row r="612" spans="1:13" x14ac:dyDescent="0.3">
      <c r="A612" s="2">
        <f>Datos!A612</f>
        <v>461</v>
      </c>
      <c r="B612" s="2" t="str">
        <f>Datos!B612</f>
        <v>Male</v>
      </c>
      <c r="C612" s="2" t="str">
        <f>Datos!C612</f>
        <v>Bachelors</v>
      </c>
      <c r="D612" s="2" t="str">
        <f>Datos!G612</f>
        <v>B</v>
      </c>
      <c r="E612" s="2">
        <f>Datos!I612</f>
        <v>2.1</v>
      </c>
      <c r="F612" s="2">
        <f>Datos!J612</f>
        <v>83.8</v>
      </c>
      <c r="G612" s="2">
        <f>Datos!L612</f>
        <v>89.5</v>
      </c>
      <c r="H612" s="2">
        <f>Datos!M612</f>
        <v>80.5</v>
      </c>
      <c r="I612" s="2" t="b">
        <f t="shared" si="45"/>
        <v>1</v>
      </c>
      <c r="J612" s="2">
        <f t="shared" si="46"/>
        <v>80.5</v>
      </c>
      <c r="K612" s="2">
        <f t="shared" si="47"/>
        <v>2.1</v>
      </c>
      <c r="L612" s="2">
        <f t="shared" si="48"/>
        <v>89.5</v>
      </c>
      <c r="M612" s="2">
        <f t="shared" si="49"/>
        <v>83.8</v>
      </c>
    </row>
    <row r="613" spans="1:13" x14ac:dyDescent="0.3">
      <c r="A613" s="2">
        <f>Datos!A613</f>
        <v>188</v>
      </c>
      <c r="B613" s="2" t="str">
        <f>Datos!B613</f>
        <v>Male</v>
      </c>
      <c r="C613" s="2" t="str">
        <f>Datos!C613</f>
        <v>Bachelors</v>
      </c>
      <c r="D613" s="2" t="str">
        <f>Datos!G613</f>
        <v>C</v>
      </c>
      <c r="E613" s="2">
        <f>Datos!I613</f>
        <v>3.8</v>
      </c>
      <c r="F613" s="2">
        <f>Datos!J613</f>
        <v>85.4</v>
      </c>
      <c r="G613" s="2">
        <f>Datos!L613</f>
        <v>79.2</v>
      </c>
      <c r="H613" s="2">
        <f>Datos!M613</f>
        <v>75.900000000000006</v>
      </c>
      <c r="I613" s="2" t="b">
        <f t="shared" si="45"/>
        <v>1</v>
      </c>
      <c r="J613" s="2">
        <f t="shared" si="46"/>
        <v>75.900000000000006</v>
      </c>
      <c r="K613" s="2">
        <f t="shared" si="47"/>
        <v>3.8</v>
      </c>
      <c r="L613" s="2">
        <f t="shared" si="48"/>
        <v>79.2</v>
      </c>
      <c r="M613" s="2">
        <f t="shared" si="49"/>
        <v>85.4</v>
      </c>
    </row>
    <row r="614" spans="1:13" x14ac:dyDescent="0.3">
      <c r="A614" s="2">
        <f>Datos!A614</f>
        <v>195</v>
      </c>
      <c r="B614" s="2" t="str">
        <f>Datos!B614</f>
        <v>Male</v>
      </c>
      <c r="C614" s="2" t="str">
        <f>Datos!C614</f>
        <v>Bachelors</v>
      </c>
      <c r="D614" s="2" t="str">
        <f>Datos!G614</f>
        <v>D</v>
      </c>
      <c r="E614" s="2">
        <f>Datos!I614</f>
        <v>4.7</v>
      </c>
      <c r="F614" s="2">
        <f>Datos!J614</f>
        <v>72.099999999999994</v>
      </c>
      <c r="G614" s="2">
        <f>Datos!L614</f>
        <v>43.5</v>
      </c>
      <c r="H614" s="2">
        <f>Datos!M614</f>
        <v>65.099999999999994</v>
      </c>
      <c r="I614" s="2" t="b">
        <f t="shared" si="45"/>
        <v>1</v>
      </c>
      <c r="J614" s="2">
        <f t="shared" si="46"/>
        <v>65.099999999999994</v>
      </c>
      <c r="K614" s="2">
        <f t="shared" si="47"/>
        <v>4.7</v>
      </c>
      <c r="L614" s="2">
        <f t="shared" si="48"/>
        <v>43.5</v>
      </c>
      <c r="M614" s="2">
        <f t="shared" si="49"/>
        <v>72.099999999999994</v>
      </c>
    </row>
    <row r="615" spans="1:13" x14ac:dyDescent="0.3">
      <c r="A615" s="2">
        <f>Datos!A615</f>
        <v>73</v>
      </c>
      <c r="B615" s="2" t="str">
        <f>Datos!B615</f>
        <v>Female</v>
      </c>
      <c r="C615" s="2" t="str">
        <f>Datos!C615</f>
        <v>Bachelors</v>
      </c>
      <c r="D615" s="2" t="str">
        <f>Datos!G615</f>
        <v>D</v>
      </c>
      <c r="E615" s="2">
        <f>Datos!I615</f>
        <v>6.3</v>
      </c>
      <c r="F615" s="2">
        <f>Datos!J615</f>
        <v>88.5</v>
      </c>
      <c r="G615" s="2">
        <f>Datos!L615</f>
        <v>52.9</v>
      </c>
      <c r="H615" s="2">
        <f>Datos!M615</f>
        <v>67.8</v>
      </c>
      <c r="I615" s="2" t="b">
        <f t="shared" si="45"/>
        <v>1</v>
      </c>
      <c r="J615" s="2">
        <f t="shared" si="46"/>
        <v>67.8</v>
      </c>
      <c r="K615" s="2">
        <f t="shared" si="47"/>
        <v>6.3</v>
      </c>
      <c r="L615" s="2">
        <f t="shared" si="48"/>
        <v>52.9</v>
      </c>
      <c r="M615" s="2">
        <f t="shared" si="49"/>
        <v>88.5</v>
      </c>
    </row>
    <row r="616" spans="1:13" x14ac:dyDescent="0.3">
      <c r="A616" s="2">
        <f>Datos!A616</f>
        <v>918</v>
      </c>
      <c r="B616" s="2" t="str">
        <f>Datos!B616</f>
        <v>Male</v>
      </c>
      <c r="C616" s="2">
        <f>Datos!C616</f>
        <v>0</v>
      </c>
      <c r="D616" s="2" t="str">
        <f>Datos!G616</f>
        <v>B</v>
      </c>
      <c r="E616" s="2">
        <f>Datos!I616</f>
        <v>6.8</v>
      </c>
      <c r="F616" s="2">
        <f>Datos!J616</f>
        <v>90.4</v>
      </c>
      <c r="G616" s="2">
        <f>Datos!L616</f>
        <v>67</v>
      </c>
      <c r="H616" s="2">
        <f>Datos!M616</f>
        <v>89.5</v>
      </c>
      <c r="I616" s="2" t="b">
        <f t="shared" si="45"/>
        <v>1</v>
      </c>
      <c r="J616" s="2">
        <f t="shared" si="46"/>
        <v>89.5</v>
      </c>
      <c r="K616" s="2">
        <f t="shared" si="47"/>
        <v>6.8</v>
      </c>
      <c r="L616" s="2">
        <f t="shared" si="48"/>
        <v>67</v>
      </c>
      <c r="M616" s="2">
        <f t="shared" si="49"/>
        <v>90.4</v>
      </c>
    </row>
    <row r="617" spans="1:13" x14ac:dyDescent="0.3">
      <c r="A617" s="2">
        <f>Datos!A617</f>
        <v>843</v>
      </c>
      <c r="B617" s="2" t="str">
        <f>Datos!B617</f>
        <v>Female</v>
      </c>
      <c r="C617" s="2" t="str">
        <f>Datos!C617</f>
        <v>High School</v>
      </c>
      <c r="D617" s="2" t="str">
        <f>Datos!G617</f>
        <v>C</v>
      </c>
      <c r="E617" s="2">
        <f>Datos!I617</f>
        <v>5.0999999999999996</v>
      </c>
      <c r="F617" s="2">
        <f>Datos!J617</f>
        <v>79.2</v>
      </c>
      <c r="G617" s="2">
        <f>Datos!L617</f>
        <v>69.400000000000006</v>
      </c>
      <c r="H617" s="2">
        <f>Datos!M617</f>
        <v>79.3</v>
      </c>
      <c r="I617" s="2" t="b">
        <f t="shared" si="45"/>
        <v>1</v>
      </c>
      <c r="J617" s="2">
        <f t="shared" si="46"/>
        <v>79.3</v>
      </c>
      <c r="K617" s="2">
        <f t="shared" si="47"/>
        <v>5.0999999999999996</v>
      </c>
      <c r="L617" s="2">
        <f t="shared" si="48"/>
        <v>69.400000000000006</v>
      </c>
      <c r="M617" s="2">
        <f t="shared" si="49"/>
        <v>79.2</v>
      </c>
    </row>
    <row r="618" spans="1:13" x14ac:dyDescent="0.3">
      <c r="A618" s="2">
        <f>Datos!A618</f>
        <v>617</v>
      </c>
      <c r="B618" s="2" t="str">
        <f>Datos!B618</f>
        <v>Female</v>
      </c>
      <c r="C618" s="2" t="str">
        <f>Datos!C618</f>
        <v>High School</v>
      </c>
      <c r="D618" s="2" t="str">
        <f>Datos!G618</f>
        <v>F</v>
      </c>
      <c r="E618" s="2">
        <f>Datos!I618</f>
        <v>2.7</v>
      </c>
      <c r="F618" s="2">
        <f>Datos!J618</f>
        <v>88.5</v>
      </c>
      <c r="G618" s="2">
        <f>Datos!L618</f>
        <v>45.5</v>
      </c>
      <c r="H618" s="2">
        <f>Datos!M618</f>
        <v>53.1</v>
      </c>
      <c r="I618" s="2" t="b">
        <f t="shared" si="45"/>
        <v>1</v>
      </c>
      <c r="J618" s="2">
        <f t="shared" si="46"/>
        <v>53.1</v>
      </c>
      <c r="K618" s="2">
        <f t="shared" si="47"/>
        <v>2.7</v>
      </c>
      <c r="L618" s="2">
        <f t="shared" si="48"/>
        <v>45.5</v>
      </c>
      <c r="M618" s="2">
        <f t="shared" si="49"/>
        <v>88.5</v>
      </c>
    </row>
    <row r="619" spans="1:13" x14ac:dyDescent="0.3">
      <c r="A619" s="2">
        <f>Datos!A619</f>
        <v>91</v>
      </c>
      <c r="B619" s="2" t="str">
        <f>Datos!B619</f>
        <v>Female</v>
      </c>
      <c r="C619" s="2" t="str">
        <f>Datos!C619</f>
        <v>Bachelors</v>
      </c>
      <c r="D619" s="2" t="str">
        <f>Datos!G619</f>
        <v>F</v>
      </c>
      <c r="E619" s="2">
        <f>Datos!I619</f>
        <v>1.3</v>
      </c>
      <c r="F619" s="2">
        <f>Datos!J619</f>
        <v>96.4</v>
      </c>
      <c r="G619" s="2">
        <f>Datos!L619</f>
        <v>66.75</v>
      </c>
      <c r="H619" s="2">
        <f>Datos!M619</f>
        <v>52.5</v>
      </c>
      <c r="I619" s="2" t="b">
        <f t="shared" si="45"/>
        <v>1</v>
      </c>
      <c r="J619" s="2">
        <f t="shared" si="46"/>
        <v>52.5</v>
      </c>
      <c r="K619" s="2">
        <f t="shared" si="47"/>
        <v>1.3</v>
      </c>
      <c r="L619" s="2">
        <f t="shared" si="48"/>
        <v>66.75</v>
      </c>
      <c r="M619" s="2">
        <f t="shared" si="49"/>
        <v>96.4</v>
      </c>
    </row>
    <row r="620" spans="1:13" x14ac:dyDescent="0.3">
      <c r="A620" s="2">
        <f>Datos!A620</f>
        <v>470</v>
      </c>
      <c r="B620" s="2" t="str">
        <f>Datos!B620</f>
        <v>Female</v>
      </c>
      <c r="C620" s="2" t="str">
        <f>Datos!C620</f>
        <v>PhD</v>
      </c>
      <c r="D620" s="2" t="str">
        <f>Datos!G620</f>
        <v>C</v>
      </c>
      <c r="E620" s="2">
        <f>Datos!I620</f>
        <v>0.7</v>
      </c>
      <c r="F620" s="2">
        <f>Datos!J620</f>
        <v>90.6</v>
      </c>
      <c r="G620" s="2">
        <f>Datos!L620</f>
        <v>87.1</v>
      </c>
      <c r="H620" s="2">
        <f>Datos!M620</f>
        <v>70.8</v>
      </c>
      <c r="I620" s="2" t="b">
        <f t="shared" si="45"/>
        <v>1</v>
      </c>
      <c r="J620" s="2">
        <f t="shared" si="46"/>
        <v>70.8</v>
      </c>
      <c r="K620" s="2">
        <f t="shared" si="47"/>
        <v>0.7</v>
      </c>
      <c r="L620" s="2">
        <f t="shared" si="48"/>
        <v>87.1</v>
      </c>
      <c r="M620" s="2">
        <f t="shared" si="49"/>
        <v>90.6</v>
      </c>
    </row>
    <row r="621" spans="1:13" x14ac:dyDescent="0.3">
      <c r="A621" s="2">
        <f>Datos!A621</f>
        <v>631</v>
      </c>
      <c r="B621" s="2" t="str">
        <f>Datos!B621</f>
        <v>Female</v>
      </c>
      <c r="C621" s="2">
        <f>Datos!C621</f>
        <v>0</v>
      </c>
      <c r="D621" s="2" t="str">
        <f>Datos!G621</f>
        <v>C</v>
      </c>
      <c r="E621" s="2">
        <f>Datos!I621</f>
        <v>4.3</v>
      </c>
      <c r="F621" s="2">
        <f>Datos!J621</f>
        <v>79.7</v>
      </c>
      <c r="G621" s="2">
        <f>Datos!L621</f>
        <v>88.5</v>
      </c>
      <c r="H621" s="2">
        <f>Datos!M621</f>
        <v>79.900000000000006</v>
      </c>
      <c r="I621" s="2" t="b">
        <f t="shared" si="45"/>
        <v>1</v>
      </c>
      <c r="J621" s="2">
        <f t="shared" si="46"/>
        <v>79.900000000000006</v>
      </c>
      <c r="K621" s="2">
        <f t="shared" si="47"/>
        <v>4.3</v>
      </c>
      <c r="L621" s="2">
        <f t="shared" si="48"/>
        <v>88.5</v>
      </c>
      <c r="M621" s="2">
        <f t="shared" si="49"/>
        <v>79.7</v>
      </c>
    </row>
    <row r="622" spans="1:13" x14ac:dyDescent="0.3">
      <c r="A622" s="2">
        <f>Datos!A622</f>
        <v>625</v>
      </c>
      <c r="B622" s="2" t="str">
        <f>Datos!B622</f>
        <v>Male</v>
      </c>
      <c r="C622" s="2">
        <f>Datos!C622</f>
        <v>0</v>
      </c>
      <c r="D622" s="2" t="str">
        <f>Datos!G622</f>
        <v>D</v>
      </c>
      <c r="E622" s="2">
        <f>Datos!I622</f>
        <v>2.5</v>
      </c>
      <c r="F622" s="2">
        <f>Datos!J622</f>
        <v>79.7</v>
      </c>
      <c r="G622" s="2">
        <f>Datos!L622</f>
        <v>75.099999999999994</v>
      </c>
      <c r="H622" s="2">
        <f>Datos!M622</f>
        <v>67.7</v>
      </c>
      <c r="I622" s="2" t="b">
        <f t="shared" si="45"/>
        <v>1</v>
      </c>
      <c r="J622" s="2">
        <f t="shared" si="46"/>
        <v>67.7</v>
      </c>
      <c r="K622" s="2">
        <f t="shared" si="47"/>
        <v>2.5</v>
      </c>
      <c r="L622" s="2">
        <f t="shared" si="48"/>
        <v>75.099999999999994</v>
      </c>
      <c r="M622" s="2">
        <f t="shared" si="49"/>
        <v>79.7</v>
      </c>
    </row>
    <row r="623" spans="1:13" x14ac:dyDescent="0.3">
      <c r="A623" s="2">
        <f>Datos!A623</f>
        <v>443</v>
      </c>
      <c r="B623" s="2" t="str">
        <f>Datos!B623</f>
        <v>Male</v>
      </c>
      <c r="C623" s="2" t="str">
        <f>Datos!C623</f>
        <v>Bachelors</v>
      </c>
      <c r="D623" s="2" t="str">
        <f>Datos!G623</f>
        <v>B</v>
      </c>
      <c r="E623" s="2">
        <f>Datos!I623</f>
        <v>6.9</v>
      </c>
      <c r="F623" s="2">
        <f>Datos!J623</f>
        <v>99.9</v>
      </c>
      <c r="G623" s="2">
        <f>Datos!L623</f>
        <v>49.3</v>
      </c>
      <c r="H623" s="2">
        <f>Datos!M623</f>
        <v>89.7</v>
      </c>
      <c r="I623" s="2" t="b">
        <f t="shared" si="45"/>
        <v>1</v>
      </c>
      <c r="J623" s="2">
        <f t="shared" si="46"/>
        <v>89.7</v>
      </c>
      <c r="K623" s="2">
        <f t="shared" si="47"/>
        <v>6.9</v>
      </c>
      <c r="L623" s="2">
        <f t="shared" si="48"/>
        <v>49.3</v>
      </c>
      <c r="M623" s="2">
        <f t="shared" si="49"/>
        <v>99.9</v>
      </c>
    </row>
    <row r="624" spans="1:13" x14ac:dyDescent="0.3">
      <c r="A624" s="2">
        <f>Datos!A624</f>
        <v>434</v>
      </c>
      <c r="B624" s="2" t="str">
        <f>Datos!B624</f>
        <v>Male</v>
      </c>
      <c r="C624" s="2" t="str">
        <f>Datos!C624</f>
        <v>PhD</v>
      </c>
      <c r="D624" s="2" t="str">
        <f>Datos!G624</f>
        <v>B</v>
      </c>
      <c r="E624" s="2">
        <f>Datos!I624</f>
        <v>6.2</v>
      </c>
      <c r="F624" s="2">
        <f>Datos!J624</f>
        <v>84.1</v>
      </c>
      <c r="G624" s="2">
        <f>Datos!L624</f>
        <v>58.2</v>
      </c>
      <c r="H624" s="2">
        <f>Datos!M624</f>
        <v>84.2</v>
      </c>
      <c r="I624" s="2" t="b">
        <f t="shared" si="45"/>
        <v>1</v>
      </c>
      <c r="J624" s="2">
        <f t="shared" si="46"/>
        <v>84.2</v>
      </c>
      <c r="K624" s="2">
        <f t="shared" si="47"/>
        <v>6.2</v>
      </c>
      <c r="L624" s="2">
        <f t="shared" si="48"/>
        <v>58.2</v>
      </c>
      <c r="M624" s="2">
        <f t="shared" si="49"/>
        <v>84.1</v>
      </c>
    </row>
    <row r="625" spans="1:13" x14ac:dyDescent="0.3">
      <c r="A625" s="2">
        <f>Datos!A625</f>
        <v>505</v>
      </c>
      <c r="B625" s="2" t="str">
        <f>Datos!B625</f>
        <v>Female</v>
      </c>
      <c r="C625" s="2" t="str">
        <f>Datos!C625</f>
        <v>PhD</v>
      </c>
      <c r="D625" s="2" t="str">
        <f>Datos!G625</f>
        <v>D</v>
      </c>
      <c r="E625" s="2">
        <f>Datos!I625</f>
        <v>2.1</v>
      </c>
      <c r="F625" s="2">
        <f>Datos!J625</f>
        <v>90.4</v>
      </c>
      <c r="G625" s="2">
        <f>Datos!L625</f>
        <v>75.5</v>
      </c>
      <c r="H625" s="2">
        <f>Datos!M625</f>
        <v>69.3</v>
      </c>
      <c r="I625" s="2" t="b">
        <f t="shared" si="45"/>
        <v>1</v>
      </c>
      <c r="J625" s="2">
        <f t="shared" si="46"/>
        <v>69.3</v>
      </c>
      <c r="K625" s="2">
        <f t="shared" si="47"/>
        <v>2.1</v>
      </c>
      <c r="L625" s="2">
        <f t="shared" si="48"/>
        <v>75.5</v>
      </c>
      <c r="M625" s="2">
        <f t="shared" si="49"/>
        <v>90.4</v>
      </c>
    </row>
    <row r="626" spans="1:13" x14ac:dyDescent="0.3">
      <c r="A626" s="2">
        <f>Datos!A626</f>
        <v>708</v>
      </c>
      <c r="B626" s="2" t="str">
        <f>Datos!B626</f>
        <v>Female</v>
      </c>
      <c r="C626" s="2" t="str">
        <f>Datos!C626</f>
        <v>Masters</v>
      </c>
      <c r="D626" s="2" t="str">
        <f>Datos!G626</f>
        <v>B</v>
      </c>
      <c r="E626" s="2">
        <f>Datos!I626</f>
        <v>6.2</v>
      </c>
      <c r="F626" s="2">
        <f>Datos!J626</f>
        <v>88</v>
      </c>
      <c r="G626" s="2">
        <f>Datos!L626</f>
        <v>42.7</v>
      </c>
      <c r="H626" s="2">
        <f>Datos!M626</f>
        <v>85.8</v>
      </c>
      <c r="I626" s="2" t="b">
        <f t="shared" si="45"/>
        <v>1</v>
      </c>
      <c r="J626" s="2">
        <f t="shared" si="46"/>
        <v>85.8</v>
      </c>
      <c r="K626" s="2">
        <f t="shared" si="47"/>
        <v>6.2</v>
      </c>
      <c r="L626" s="2">
        <f t="shared" si="48"/>
        <v>42.7</v>
      </c>
      <c r="M626" s="2">
        <f t="shared" si="49"/>
        <v>88</v>
      </c>
    </row>
    <row r="627" spans="1:13" x14ac:dyDescent="0.3">
      <c r="A627" s="2">
        <f>Datos!A627</f>
        <v>458</v>
      </c>
      <c r="B627" s="2" t="str">
        <f>Datos!B627</f>
        <v>Female</v>
      </c>
      <c r="C627" s="2" t="str">
        <f>Datos!C627</f>
        <v>PhD</v>
      </c>
      <c r="D627" s="2" t="str">
        <f>Datos!G627</f>
        <v>A</v>
      </c>
      <c r="E627" s="2">
        <f>Datos!I627</f>
        <v>3</v>
      </c>
      <c r="F627" s="2">
        <f>Datos!J627</f>
        <v>99.9</v>
      </c>
      <c r="G627" s="2">
        <f>Datos!L627</f>
        <v>89.5</v>
      </c>
      <c r="H627" s="2">
        <f>Datos!M627</f>
        <v>92.6</v>
      </c>
      <c r="I627" s="2" t="b">
        <f t="shared" si="45"/>
        <v>1</v>
      </c>
      <c r="J627" s="2">
        <f t="shared" si="46"/>
        <v>92.6</v>
      </c>
      <c r="K627" s="2">
        <f t="shared" si="47"/>
        <v>3</v>
      </c>
      <c r="L627" s="2">
        <f t="shared" si="48"/>
        <v>89.5</v>
      </c>
      <c r="M627" s="2">
        <f t="shared" si="49"/>
        <v>99.9</v>
      </c>
    </row>
    <row r="628" spans="1:13" x14ac:dyDescent="0.3">
      <c r="A628" s="2">
        <f>Datos!A628</f>
        <v>654</v>
      </c>
      <c r="B628" s="2" t="str">
        <f>Datos!B628</f>
        <v>Female</v>
      </c>
      <c r="C628" s="2" t="str">
        <f>Datos!C628</f>
        <v>Bachelors</v>
      </c>
      <c r="D628" s="2" t="str">
        <f>Datos!G628</f>
        <v>D</v>
      </c>
      <c r="E628" s="2">
        <f>Datos!I628</f>
        <v>3.9</v>
      </c>
      <c r="F628" s="2">
        <f>Datos!J628</f>
        <v>94.7</v>
      </c>
      <c r="G628" s="2">
        <f>Datos!L628</f>
        <v>66.75</v>
      </c>
      <c r="H628" s="2">
        <f>Datos!M628</f>
        <v>69.2</v>
      </c>
      <c r="I628" s="2" t="b">
        <f t="shared" si="45"/>
        <v>1</v>
      </c>
      <c r="J628" s="2">
        <f t="shared" si="46"/>
        <v>69.2</v>
      </c>
      <c r="K628" s="2">
        <f t="shared" si="47"/>
        <v>3.9</v>
      </c>
      <c r="L628" s="2">
        <f t="shared" si="48"/>
        <v>66.75</v>
      </c>
      <c r="M628" s="2">
        <f t="shared" si="49"/>
        <v>94.7</v>
      </c>
    </row>
    <row r="629" spans="1:13" x14ac:dyDescent="0.3">
      <c r="A629" s="2">
        <f>Datos!A629</f>
        <v>272</v>
      </c>
      <c r="B629" s="2" t="str">
        <f>Datos!B629</f>
        <v>Male</v>
      </c>
      <c r="C629" s="2" t="str">
        <f>Datos!C629</f>
        <v>High School</v>
      </c>
      <c r="D629" s="2" t="str">
        <f>Datos!G629</f>
        <v>C</v>
      </c>
      <c r="E629" s="2">
        <f>Datos!I629</f>
        <v>4</v>
      </c>
      <c r="F629" s="2">
        <f>Datos!J629</f>
        <v>81.8</v>
      </c>
      <c r="G629" s="2">
        <f>Datos!L629</f>
        <v>70.099999999999994</v>
      </c>
      <c r="H629" s="2">
        <f>Datos!M629</f>
        <v>74.099999999999994</v>
      </c>
      <c r="I629" s="2" t="b">
        <f t="shared" si="45"/>
        <v>1</v>
      </c>
      <c r="J629" s="2">
        <f t="shared" si="46"/>
        <v>74.099999999999994</v>
      </c>
      <c r="K629" s="2">
        <f t="shared" si="47"/>
        <v>4</v>
      </c>
      <c r="L629" s="2">
        <f t="shared" si="48"/>
        <v>70.099999999999994</v>
      </c>
      <c r="M629" s="2">
        <f t="shared" si="49"/>
        <v>81.8</v>
      </c>
    </row>
    <row r="630" spans="1:13" x14ac:dyDescent="0.3">
      <c r="A630" s="2">
        <f>Datos!A630</f>
        <v>416</v>
      </c>
      <c r="B630" s="2" t="str">
        <f>Datos!B630</f>
        <v>Female</v>
      </c>
      <c r="C630" s="2" t="str">
        <f>Datos!C630</f>
        <v>Bachelors</v>
      </c>
      <c r="D630" s="2" t="str">
        <f>Datos!G630</f>
        <v>F</v>
      </c>
      <c r="E630" s="2">
        <f>Datos!I630</f>
        <v>1.1000000000000001</v>
      </c>
      <c r="F630" s="2">
        <f>Datos!J630</f>
        <v>90.1</v>
      </c>
      <c r="G630" s="2">
        <f>Datos!L630</f>
        <v>40.1</v>
      </c>
      <c r="H630" s="2">
        <f>Datos!M630</f>
        <v>51.1</v>
      </c>
      <c r="I630" s="2" t="b">
        <f t="shared" si="45"/>
        <v>1</v>
      </c>
      <c r="J630" s="2">
        <f t="shared" si="46"/>
        <v>51.1</v>
      </c>
      <c r="K630" s="2">
        <f t="shared" si="47"/>
        <v>1.1000000000000001</v>
      </c>
      <c r="L630" s="2">
        <f t="shared" si="48"/>
        <v>40.1</v>
      </c>
      <c r="M630" s="2">
        <f t="shared" si="49"/>
        <v>90.1</v>
      </c>
    </row>
    <row r="631" spans="1:13" x14ac:dyDescent="0.3">
      <c r="A631" s="2">
        <f>Datos!A631</f>
        <v>122</v>
      </c>
      <c r="B631" s="2" t="str">
        <f>Datos!B631</f>
        <v>Female</v>
      </c>
      <c r="C631" s="2" t="str">
        <f>Datos!C631</f>
        <v>High School</v>
      </c>
      <c r="D631" s="2" t="str">
        <f>Datos!G631</f>
        <v>F</v>
      </c>
      <c r="E631" s="2">
        <f>Datos!I631</f>
        <v>2.2000000000000002</v>
      </c>
      <c r="F631" s="2">
        <f>Datos!J631</f>
        <v>85.5</v>
      </c>
      <c r="G631" s="2">
        <f>Datos!L631</f>
        <v>45.1</v>
      </c>
      <c r="H631" s="2">
        <f>Datos!M631</f>
        <v>58.7</v>
      </c>
      <c r="I631" s="2" t="b">
        <f t="shared" si="45"/>
        <v>1</v>
      </c>
      <c r="J631" s="2">
        <f t="shared" si="46"/>
        <v>58.7</v>
      </c>
      <c r="K631" s="2">
        <f t="shared" si="47"/>
        <v>2.2000000000000002</v>
      </c>
      <c r="L631" s="2">
        <f t="shared" si="48"/>
        <v>45.1</v>
      </c>
      <c r="M631" s="2">
        <f t="shared" si="49"/>
        <v>85.5</v>
      </c>
    </row>
    <row r="632" spans="1:13" x14ac:dyDescent="0.3">
      <c r="A632" s="2">
        <f>Datos!A632</f>
        <v>377</v>
      </c>
      <c r="B632" s="2" t="str">
        <f>Datos!B632</f>
        <v>Female</v>
      </c>
      <c r="C632" s="2">
        <f>Datos!C632</f>
        <v>0</v>
      </c>
      <c r="D632" s="2" t="str">
        <f>Datos!G632</f>
        <v>D</v>
      </c>
      <c r="E632" s="2">
        <f>Datos!I632</f>
        <v>5</v>
      </c>
      <c r="F632" s="2">
        <f>Datos!J632</f>
        <v>99.1</v>
      </c>
      <c r="G632" s="2">
        <f>Datos!L632</f>
        <v>41.6</v>
      </c>
      <c r="H632" s="2">
        <f>Datos!M632</f>
        <v>68.2</v>
      </c>
      <c r="I632" s="2" t="b">
        <f t="shared" si="45"/>
        <v>1</v>
      </c>
      <c r="J632" s="2">
        <f t="shared" si="46"/>
        <v>68.2</v>
      </c>
      <c r="K632" s="2">
        <f t="shared" si="47"/>
        <v>5</v>
      </c>
      <c r="L632" s="2">
        <f t="shared" si="48"/>
        <v>41.6</v>
      </c>
      <c r="M632" s="2">
        <f t="shared" si="49"/>
        <v>99.1</v>
      </c>
    </row>
    <row r="633" spans="1:13" x14ac:dyDescent="0.3">
      <c r="A633" s="2">
        <f>Datos!A633</f>
        <v>745</v>
      </c>
      <c r="B633" s="2" t="str">
        <f>Datos!B633</f>
        <v>Male</v>
      </c>
      <c r="C633" s="2" t="str">
        <f>Datos!C633</f>
        <v>Masters</v>
      </c>
      <c r="D633" s="2" t="str">
        <f>Datos!G633</f>
        <v>C</v>
      </c>
      <c r="E633" s="2">
        <f>Datos!I633</f>
        <v>4.5999999999999996</v>
      </c>
      <c r="F633" s="2">
        <f>Datos!J633</f>
        <v>94.4</v>
      </c>
      <c r="G633" s="2">
        <f>Datos!L633</f>
        <v>58.6</v>
      </c>
      <c r="H633" s="2">
        <f>Datos!M633</f>
        <v>52.8</v>
      </c>
      <c r="I633" s="2" t="b">
        <f t="shared" si="45"/>
        <v>1</v>
      </c>
      <c r="J633" s="2">
        <f t="shared" si="46"/>
        <v>52.8</v>
      </c>
      <c r="K633" s="2">
        <f t="shared" si="47"/>
        <v>4.5999999999999996</v>
      </c>
      <c r="L633" s="2">
        <f t="shared" si="48"/>
        <v>58.6</v>
      </c>
      <c r="M633" s="2">
        <f t="shared" si="49"/>
        <v>94.4</v>
      </c>
    </row>
    <row r="634" spans="1:13" x14ac:dyDescent="0.3">
      <c r="A634" s="2">
        <f>Datos!A634</f>
        <v>806</v>
      </c>
      <c r="B634" s="2" t="str">
        <f>Datos!B634</f>
        <v>Male</v>
      </c>
      <c r="C634" s="2">
        <f>Datos!C634</f>
        <v>0</v>
      </c>
      <c r="D634" s="2" t="str">
        <f>Datos!G634</f>
        <v>C</v>
      </c>
      <c r="E634" s="2">
        <f>Datos!I634</f>
        <v>4.2</v>
      </c>
      <c r="F634" s="2">
        <f>Datos!J634</f>
        <v>66.900000000000006</v>
      </c>
      <c r="G634" s="2">
        <f>Datos!L634</f>
        <v>86.6</v>
      </c>
      <c r="H634" s="2">
        <f>Datos!M634</f>
        <v>73.900000000000006</v>
      </c>
      <c r="I634" s="2" t="b">
        <f t="shared" si="45"/>
        <v>1</v>
      </c>
      <c r="J634" s="2">
        <f t="shared" si="46"/>
        <v>73.900000000000006</v>
      </c>
      <c r="K634" s="2">
        <f t="shared" si="47"/>
        <v>4.2</v>
      </c>
      <c r="L634" s="2">
        <f t="shared" si="48"/>
        <v>86.6</v>
      </c>
      <c r="M634" s="2">
        <f t="shared" si="49"/>
        <v>66.900000000000006</v>
      </c>
    </row>
    <row r="635" spans="1:13" x14ac:dyDescent="0.3">
      <c r="A635" s="2">
        <f>Datos!A635</f>
        <v>303</v>
      </c>
      <c r="B635" s="2" t="str">
        <f>Datos!B635</f>
        <v>Female</v>
      </c>
      <c r="C635" s="2" t="str">
        <f>Datos!C635</f>
        <v>PhD</v>
      </c>
      <c r="D635" s="2" t="str">
        <f>Datos!G635</f>
        <v>D</v>
      </c>
      <c r="E635" s="2">
        <f>Datos!I635</f>
        <v>2.8</v>
      </c>
      <c r="F635" s="2">
        <f>Datos!J635</f>
        <v>79.400000000000006</v>
      </c>
      <c r="G635" s="2">
        <f>Datos!L635</f>
        <v>58.6</v>
      </c>
      <c r="H635" s="2">
        <f>Datos!M635</f>
        <v>60.9</v>
      </c>
      <c r="I635" s="2" t="b">
        <f t="shared" si="45"/>
        <v>1</v>
      </c>
      <c r="J635" s="2">
        <f t="shared" si="46"/>
        <v>60.9</v>
      </c>
      <c r="K635" s="2">
        <f t="shared" si="47"/>
        <v>2.8</v>
      </c>
      <c r="L635" s="2">
        <f t="shared" si="48"/>
        <v>58.6</v>
      </c>
      <c r="M635" s="2">
        <f t="shared" si="49"/>
        <v>79.400000000000006</v>
      </c>
    </row>
    <row r="636" spans="1:13" x14ac:dyDescent="0.3">
      <c r="A636" s="2">
        <f>Datos!A636</f>
        <v>152</v>
      </c>
      <c r="B636" s="2" t="str">
        <f>Datos!B636</f>
        <v>Female</v>
      </c>
      <c r="C636" s="2" t="str">
        <f>Datos!C636</f>
        <v>Masters</v>
      </c>
      <c r="D636" s="2" t="str">
        <f>Datos!G636</f>
        <v>F</v>
      </c>
      <c r="E636" s="2">
        <f>Datos!I636</f>
        <v>0.8</v>
      </c>
      <c r="F636" s="2">
        <f>Datos!J636</f>
        <v>81.2</v>
      </c>
      <c r="G636" s="2">
        <f>Datos!L636</f>
        <v>66.75</v>
      </c>
      <c r="H636" s="2">
        <f>Datos!M636</f>
        <v>50.1</v>
      </c>
      <c r="I636" s="2" t="b">
        <f t="shared" si="45"/>
        <v>1</v>
      </c>
      <c r="J636" s="2">
        <f t="shared" si="46"/>
        <v>50.1</v>
      </c>
      <c r="K636" s="2">
        <f t="shared" si="47"/>
        <v>0.8</v>
      </c>
      <c r="L636" s="2">
        <f t="shared" si="48"/>
        <v>66.75</v>
      </c>
      <c r="M636" s="2">
        <f t="shared" si="49"/>
        <v>81.2</v>
      </c>
    </row>
    <row r="637" spans="1:13" x14ac:dyDescent="0.3">
      <c r="A637" s="2">
        <f>Datos!A637</f>
        <v>534</v>
      </c>
      <c r="B637" s="2" t="str">
        <f>Datos!B637</f>
        <v>Male</v>
      </c>
      <c r="C637" s="2" t="str">
        <f>Datos!C637</f>
        <v>Bachelors</v>
      </c>
      <c r="D637" s="2" t="str">
        <f>Datos!G637</f>
        <v>C</v>
      </c>
      <c r="E637" s="2">
        <f>Datos!I637</f>
        <v>4.3</v>
      </c>
      <c r="F637" s="2">
        <f>Datos!J637</f>
        <v>83.1</v>
      </c>
      <c r="G637" s="2">
        <f>Datos!L637</f>
        <v>36</v>
      </c>
      <c r="H637" s="2">
        <f>Datos!M637</f>
        <v>74</v>
      </c>
      <c r="I637" s="2" t="b">
        <f t="shared" si="45"/>
        <v>1</v>
      </c>
      <c r="J637" s="2">
        <f t="shared" si="46"/>
        <v>74</v>
      </c>
      <c r="K637" s="2">
        <f t="shared" si="47"/>
        <v>4.3</v>
      </c>
      <c r="L637" s="2">
        <f t="shared" si="48"/>
        <v>36</v>
      </c>
      <c r="M637" s="2">
        <f t="shared" si="49"/>
        <v>83.1</v>
      </c>
    </row>
    <row r="638" spans="1:13" x14ac:dyDescent="0.3">
      <c r="A638" s="2">
        <f>Datos!A638</f>
        <v>847</v>
      </c>
      <c r="B638" s="2" t="str">
        <f>Datos!B638</f>
        <v>Female</v>
      </c>
      <c r="C638" s="2" t="str">
        <f>Datos!C638</f>
        <v>PhD</v>
      </c>
      <c r="D638" s="2" t="str">
        <f>Datos!G638</f>
        <v>D</v>
      </c>
      <c r="E638" s="2">
        <f>Datos!I638</f>
        <v>4.3</v>
      </c>
      <c r="F638" s="2">
        <f>Datos!J638</f>
        <v>69.099999999999994</v>
      </c>
      <c r="G638" s="2">
        <f>Datos!L638</f>
        <v>57.4</v>
      </c>
      <c r="H638" s="2">
        <f>Datos!M638</f>
        <v>62.8</v>
      </c>
      <c r="I638" s="2" t="b">
        <f t="shared" si="45"/>
        <v>1</v>
      </c>
      <c r="J638" s="2">
        <f t="shared" si="46"/>
        <v>62.8</v>
      </c>
      <c r="K638" s="2">
        <f t="shared" si="47"/>
        <v>4.3</v>
      </c>
      <c r="L638" s="2">
        <f t="shared" si="48"/>
        <v>57.4</v>
      </c>
      <c r="M638" s="2">
        <f t="shared" si="49"/>
        <v>69.099999999999994</v>
      </c>
    </row>
    <row r="639" spans="1:13" x14ac:dyDescent="0.3">
      <c r="A639" s="2">
        <f>Datos!A639</f>
        <v>324</v>
      </c>
      <c r="B639" s="2" t="str">
        <f>Datos!B639</f>
        <v>Female</v>
      </c>
      <c r="C639" s="2" t="str">
        <f>Datos!C639</f>
        <v>Bachelors</v>
      </c>
      <c r="D639" s="2" t="str">
        <f>Datos!G639</f>
        <v>D</v>
      </c>
      <c r="E639" s="2">
        <f>Datos!I639</f>
        <v>4</v>
      </c>
      <c r="F639" s="2">
        <f>Datos!J639</f>
        <v>88.6</v>
      </c>
      <c r="G639" s="2">
        <f>Datos!L639</f>
        <v>37.1</v>
      </c>
      <c r="H639" s="2">
        <f>Datos!M639</f>
        <v>60.8</v>
      </c>
      <c r="I639" s="2" t="b">
        <f t="shared" si="45"/>
        <v>1</v>
      </c>
      <c r="J639" s="2">
        <f t="shared" si="46"/>
        <v>60.8</v>
      </c>
      <c r="K639" s="2">
        <f t="shared" si="47"/>
        <v>4</v>
      </c>
      <c r="L639" s="2">
        <f t="shared" si="48"/>
        <v>37.1</v>
      </c>
      <c r="M639" s="2">
        <f t="shared" si="49"/>
        <v>88.6</v>
      </c>
    </row>
    <row r="640" spans="1:13" x14ac:dyDescent="0.3">
      <c r="A640" s="2">
        <f>Datos!A640</f>
        <v>142</v>
      </c>
      <c r="B640" s="2" t="str">
        <f>Datos!B640</f>
        <v>Female</v>
      </c>
      <c r="C640" s="2" t="str">
        <f>Datos!C640</f>
        <v>High School</v>
      </c>
      <c r="D640" s="2" t="str">
        <f>Datos!G640</f>
        <v>B</v>
      </c>
      <c r="E640" s="2">
        <f>Datos!I640</f>
        <v>4.3</v>
      </c>
      <c r="F640" s="2">
        <f>Datos!J640</f>
        <v>69.5</v>
      </c>
      <c r="G640" s="2">
        <f>Datos!L640</f>
        <v>70.400000000000006</v>
      </c>
      <c r="H640" s="2">
        <f>Datos!M640</f>
        <v>82.7</v>
      </c>
      <c r="I640" s="2" t="b">
        <f t="shared" si="45"/>
        <v>1</v>
      </c>
      <c r="J640" s="2">
        <f t="shared" si="46"/>
        <v>82.7</v>
      </c>
      <c r="K640" s="2">
        <f t="shared" si="47"/>
        <v>4.3</v>
      </c>
      <c r="L640" s="2">
        <f t="shared" si="48"/>
        <v>70.400000000000006</v>
      </c>
      <c r="M640" s="2">
        <f t="shared" si="49"/>
        <v>69.5</v>
      </c>
    </row>
    <row r="641" spans="1:13" x14ac:dyDescent="0.3">
      <c r="A641" s="2">
        <f>Datos!A641</f>
        <v>297</v>
      </c>
      <c r="B641" s="2" t="str">
        <f>Datos!B641</f>
        <v>Female</v>
      </c>
      <c r="C641" s="2">
        <f>Datos!C641</f>
        <v>0</v>
      </c>
      <c r="D641" s="2" t="str">
        <f>Datos!G641</f>
        <v>C</v>
      </c>
      <c r="E641" s="2">
        <f>Datos!I641</f>
        <v>4.2</v>
      </c>
      <c r="F641" s="2">
        <f>Datos!J641</f>
        <v>81.400000000000006</v>
      </c>
      <c r="G641" s="2">
        <f>Datos!L641</f>
        <v>69.900000000000006</v>
      </c>
      <c r="H641" s="2">
        <f>Datos!M641</f>
        <v>77.900000000000006</v>
      </c>
      <c r="I641" s="2" t="b">
        <f t="shared" si="45"/>
        <v>1</v>
      </c>
      <c r="J641" s="2">
        <f t="shared" si="46"/>
        <v>77.900000000000006</v>
      </c>
      <c r="K641" s="2">
        <f t="shared" si="47"/>
        <v>4.2</v>
      </c>
      <c r="L641" s="2">
        <f t="shared" si="48"/>
        <v>69.900000000000006</v>
      </c>
      <c r="M641" s="2">
        <f t="shared" si="49"/>
        <v>81.400000000000006</v>
      </c>
    </row>
    <row r="642" spans="1:13" x14ac:dyDescent="0.3">
      <c r="A642" s="2">
        <f>Datos!A642</f>
        <v>401</v>
      </c>
      <c r="B642" s="2" t="str">
        <f>Datos!B642</f>
        <v>Female</v>
      </c>
      <c r="C642" s="2">
        <f>Datos!C642</f>
        <v>0</v>
      </c>
      <c r="D642" s="2" t="str">
        <f>Datos!G642</f>
        <v>C</v>
      </c>
      <c r="E642" s="2">
        <f>Datos!I642</f>
        <v>2</v>
      </c>
      <c r="F642" s="2">
        <f>Datos!J642</f>
        <v>88</v>
      </c>
      <c r="G642" s="2">
        <f>Datos!L642</f>
        <v>76.7</v>
      </c>
      <c r="H642" s="2">
        <f>Datos!M642</f>
        <v>76.900000000000006</v>
      </c>
      <c r="I642" s="2" t="b">
        <f t="shared" ref="I642:I705" si="50">AND(E642&gt;=0,E642&lt;=12,F642&gt;=0,F642&lt;=100,G642&gt;=0,G642&lt;=100,H642&gt;=0,H642&lt;=100)</f>
        <v>1</v>
      </c>
      <c r="J642" s="2">
        <f t="shared" ref="J642:J705" si="51">IF(I642,H642,"")</f>
        <v>76.900000000000006</v>
      </c>
      <c r="K642" s="2">
        <f t="shared" ref="K642:K705" si="52">IF(I642,E642,"")</f>
        <v>2</v>
      </c>
      <c r="L642" s="2">
        <f t="shared" ref="L642:L705" si="53">IF(I642,G642,"")</f>
        <v>76.7</v>
      </c>
      <c r="M642" s="2">
        <f t="shared" ref="M642:M705" si="54">IF(I642,F642,"")</f>
        <v>88</v>
      </c>
    </row>
    <row r="643" spans="1:13" x14ac:dyDescent="0.3">
      <c r="A643" s="2">
        <f>Datos!A643</f>
        <v>932</v>
      </c>
      <c r="B643" s="2" t="str">
        <f>Datos!B643</f>
        <v>Female</v>
      </c>
      <c r="C643" s="2" t="str">
        <f>Datos!C643</f>
        <v>Masters</v>
      </c>
      <c r="D643" s="2" t="str">
        <f>Datos!G643</f>
        <v>A</v>
      </c>
      <c r="E643" s="2">
        <f>Datos!I643</f>
        <v>6.9</v>
      </c>
      <c r="F643" s="2">
        <f>Datos!J643</f>
        <v>92.9</v>
      </c>
      <c r="G643" s="2">
        <f>Datos!L643</f>
        <v>90.9</v>
      </c>
      <c r="H643" s="2">
        <f>Datos!M643</f>
        <v>100</v>
      </c>
      <c r="I643" s="2" t="b">
        <f t="shared" si="50"/>
        <v>1</v>
      </c>
      <c r="J643" s="2">
        <f t="shared" si="51"/>
        <v>100</v>
      </c>
      <c r="K643" s="2">
        <f t="shared" si="52"/>
        <v>6.9</v>
      </c>
      <c r="L643" s="2">
        <f t="shared" si="53"/>
        <v>90.9</v>
      </c>
      <c r="M643" s="2">
        <f t="shared" si="54"/>
        <v>92.9</v>
      </c>
    </row>
    <row r="644" spans="1:13" x14ac:dyDescent="0.3">
      <c r="A644" s="2">
        <f>Datos!A644</f>
        <v>773</v>
      </c>
      <c r="B644" s="2" t="str">
        <f>Datos!B644</f>
        <v>Female</v>
      </c>
      <c r="C644" s="2" t="str">
        <f>Datos!C644</f>
        <v>Bachelors</v>
      </c>
      <c r="D644" s="2" t="str">
        <f>Datos!G644</f>
        <v>D</v>
      </c>
      <c r="E644" s="2">
        <f>Datos!I644</f>
        <v>4</v>
      </c>
      <c r="F644" s="2">
        <f>Datos!J644</f>
        <v>71.099999999999994</v>
      </c>
      <c r="G644" s="2">
        <f>Datos!L644</f>
        <v>49.9</v>
      </c>
      <c r="H644" s="2">
        <f>Datos!M644</f>
        <v>64.400000000000006</v>
      </c>
      <c r="I644" s="2" t="b">
        <f t="shared" si="50"/>
        <v>1</v>
      </c>
      <c r="J644" s="2">
        <f t="shared" si="51"/>
        <v>64.400000000000006</v>
      </c>
      <c r="K644" s="2">
        <f t="shared" si="52"/>
        <v>4</v>
      </c>
      <c r="L644" s="2">
        <f t="shared" si="53"/>
        <v>49.9</v>
      </c>
      <c r="M644" s="2">
        <f t="shared" si="54"/>
        <v>71.099999999999994</v>
      </c>
    </row>
    <row r="645" spans="1:13" x14ac:dyDescent="0.3">
      <c r="A645" s="2">
        <f>Datos!A645</f>
        <v>872</v>
      </c>
      <c r="B645" s="2" t="str">
        <f>Datos!B645</f>
        <v>Male</v>
      </c>
      <c r="C645" s="2" t="str">
        <f>Datos!C645</f>
        <v>High School</v>
      </c>
      <c r="D645" s="2" t="str">
        <f>Datos!G645</f>
        <v>B</v>
      </c>
      <c r="E645" s="2">
        <f>Datos!I645</f>
        <v>6</v>
      </c>
      <c r="F645" s="2">
        <f>Datos!J645</f>
        <v>90.9</v>
      </c>
      <c r="G645" s="2">
        <f>Datos!L645</f>
        <v>79.8</v>
      </c>
      <c r="H645" s="2">
        <f>Datos!M645</f>
        <v>84.2</v>
      </c>
      <c r="I645" s="2" t="b">
        <f t="shared" si="50"/>
        <v>1</v>
      </c>
      <c r="J645" s="2">
        <f t="shared" si="51"/>
        <v>84.2</v>
      </c>
      <c r="K645" s="2">
        <f t="shared" si="52"/>
        <v>6</v>
      </c>
      <c r="L645" s="2">
        <f t="shared" si="53"/>
        <v>79.8</v>
      </c>
      <c r="M645" s="2">
        <f t="shared" si="54"/>
        <v>90.9</v>
      </c>
    </row>
    <row r="646" spans="1:13" x14ac:dyDescent="0.3">
      <c r="A646" s="2">
        <f>Datos!A646</f>
        <v>884</v>
      </c>
      <c r="B646" s="2" t="str">
        <f>Datos!B646</f>
        <v>Male</v>
      </c>
      <c r="C646" s="2" t="str">
        <f>Datos!C646</f>
        <v>High School</v>
      </c>
      <c r="D646" s="2" t="str">
        <f>Datos!G646</f>
        <v>C</v>
      </c>
      <c r="E646" s="2">
        <f>Datos!I646</f>
        <v>3.8</v>
      </c>
      <c r="F646" s="2">
        <f>Datos!J646</f>
        <v>94.7</v>
      </c>
      <c r="G646" s="2">
        <f>Datos!L646</f>
        <v>66.5</v>
      </c>
      <c r="H646" s="2">
        <f>Datos!M646</f>
        <v>71.7</v>
      </c>
      <c r="I646" s="2" t="b">
        <f t="shared" si="50"/>
        <v>1</v>
      </c>
      <c r="J646" s="2">
        <f t="shared" si="51"/>
        <v>71.7</v>
      </c>
      <c r="K646" s="2">
        <f t="shared" si="52"/>
        <v>3.8</v>
      </c>
      <c r="L646" s="2">
        <f t="shared" si="53"/>
        <v>66.5</v>
      </c>
      <c r="M646" s="2">
        <f t="shared" si="54"/>
        <v>94.7</v>
      </c>
    </row>
    <row r="647" spans="1:13" x14ac:dyDescent="0.3">
      <c r="A647" s="2">
        <f>Datos!A647</f>
        <v>387</v>
      </c>
      <c r="B647" s="2" t="str">
        <f>Datos!B647</f>
        <v>Male</v>
      </c>
      <c r="C647" s="2" t="str">
        <f>Datos!C647</f>
        <v>High School</v>
      </c>
      <c r="D647" s="2" t="str">
        <f>Datos!G647</f>
        <v>A</v>
      </c>
      <c r="E647" s="2">
        <f>Datos!I647</f>
        <v>5.0999999999999996</v>
      </c>
      <c r="F647" s="2">
        <f>Datos!J647</f>
        <v>94.3</v>
      </c>
      <c r="G647" s="2">
        <f>Datos!L647</f>
        <v>67</v>
      </c>
      <c r="H647" s="2">
        <f>Datos!M647</f>
        <v>91</v>
      </c>
      <c r="I647" s="2" t="b">
        <f t="shared" si="50"/>
        <v>1</v>
      </c>
      <c r="J647" s="2">
        <f t="shared" si="51"/>
        <v>91</v>
      </c>
      <c r="K647" s="2">
        <f t="shared" si="52"/>
        <v>5.0999999999999996</v>
      </c>
      <c r="L647" s="2">
        <f t="shared" si="53"/>
        <v>67</v>
      </c>
      <c r="M647" s="2">
        <f t="shared" si="54"/>
        <v>94.3</v>
      </c>
    </row>
    <row r="648" spans="1:13" x14ac:dyDescent="0.3">
      <c r="A648" s="2">
        <f>Datos!A648</f>
        <v>220</v>
      </c>
      <c r="B648" s="2" t="str">
        <f>Datos!B648</f>
        <v>Female</v>
      </c>
      <c r="C648" s="2" t="str">
        <f>Datos!C648</f>
        <v>Bachelors</v>
      </c>
      <c r="D648" s="2" t="str">
        <f>Datos!G648</f>
        <v>F</v>
      </c>
      <c r="E648" s="2">
        <f>Datos!I648</f>
        <v>1.9</v>
      </c>
      <c r="F648" s="2">
        <f>Datos!J648</f>
        <v>81.2</v>
      </c>
      <c r="G648" s="2">
        <f>Datos!L648</f>
        <v>57.7</v>
      </c>
      <c r="H648" s="2">
        <f>Datos!M648</f>
        <v>59.5</v>
      </c>
      <c r="I648" s="2" t="b">
        <f t="shared" si="50"/>
        <v>1</v>
      </c>
      <c r="J648" s="2">
        <f t="shared" si="51"/>
        <v>59.5</v>
      </c>
      <c r="K648" s="2">
        <f t="shared" si="52"/>
        <v>1.9</v>
      </c>
      <c r="L648" s="2">
        <f t="shared" si="53"/>
        <v>57.7</v>
      </c>
      <c r="M648" s="2">
        <f t="shared" si="54"/>
        <v>81.2</v>
      </c>
    </row>
    <row r="649" spans="1:13" x14ac:dyDescent="0.3">
      <c r="A649" s="2">
        <f>Datos!A649</f>
        <v>304</v>
      </c>
      <c r="B649" s="2" t="str">
        <f>Datos!B649</f>
        <v>Female</v>
      </c>
      <c r="C649" s="2">
        <f>Datos!C649</f>
        <v>0</v>
      </c>
      <c r="D649" s="2" t="str">
        <f>Datos!G649</f>
        <v>C</v>
      </c>
      <c r="E649" s="2">
        <f>Datos!I649</f>
        <v>2.4</v>
      </c>
      <c r="F649" s="2">
        <f>Datos!J649</f>
        <v>84.4</v>
      </c>
      <c r="G649" s="2">
        <f>Datos!L649</f>
        <v>66.8</v>
      </c>
      <c r="H649" s="2">
        <f>Datos!M649</f>
        <v>76.099999999999994</v>
      </c>
      <c r="I649" s="2" t="b">
        <f t="shared" si="50"/>
        <v>1</v>
      </c>
      <c r="J649" s="2">
        <f t="shared" si="51"/>
        <v>76.099999999999994</v>
      </c>
      <c r="K649" s="2">
        <f t="shared" si="52"/>
        <v>2.4</v>
      </c>
      <c r="L649" s="2">
        <f t="shared" si="53"/>
        <v>66.8</v>
      </c>
      <c r="M649" s="2">
        <f t="shared" si="54"/>
        <v>84.4</v>
      </c>
    </row>
    <row r="650" spans="1:13" x14ac:dyDescent="0.3">
      <c r="A650" s="2">
        <f>Datos!A650</f>
        <v>335</v>
      </c>
      <c r="B650" s="2" t="str">
        <f>Datos!B650</f>
        <v>Male</v>
      </c>
      <c r="C650" s="2" t="str">
        <f>Datos!C650</f>
        <v>High School</v>
      </c>
      <c r="D650" s="2" t="str">
        <f>Datos!G650</f>
        <v>B</v>
      </c>
      <c r="E650" s="2">
        <f>Datos!I650</f>
        <v>6.3</v>
      </c>
      <c r="F650" s="2">
        <f>Datos!J650</f>
        <v>91.7</v>
      </c>
      <c r="G650" s="2">
        <f>Datos!L650</f>
        <v>40.5</v>
      </c>
      <c r="H650" s="2">
        <f>Datos!M650</f>
        <v>85</v>
      </c>
      <c r="I650" s="2" t="b">
        <f t="shared" si="50"/>
        <v>1</v>
      </c>
      <c r="J650" s="2">
        <f t="shared" si="51"/>
        <v>85</v>
      </c>
      <c r="K650" s="2">
        <f t="shared" si="52"/>
        <v>6.3</v>
      </c>
      <c r="L650" s="2">
        <f t="shared" si="53"/>
        <v>40.5</v>
      </c>
      <c r="M650" s="2">
        <f t="shared" si="54"/>
        <v>91.7</v>
      </c>
    </row>
    <row r="651" spans="1:13" x14ac:dyDescent="0.3">
      <c r="A651" s="2">
        <f>Datos!A651</f>
        <v>513</v>
      </c>
      <c r="B651" s="2" t="str">
        <f>Datos!B651</f>
        <v>Female</v>
      </c>
      <c r="C651" s="2" t="str">
        <f>Datos!C651</f>
        <v>Bachelors</v>
      </c>
      <c r="D651" s="2" t="str">
        <f>Datos!G651</f>
        <v>B</v>
      </c>
      <c r="E651" s="2">
        <f>Datos!I651</f>
        <v>3.8</v>
      </c>
      <c r="F651" s="2">
        <f>Datos!J651</f>
        <v>72.5</v>
      </c>
      <c r="G651" s="2">
        <f>Datos!L651</f>
        <v>72.400000000000006</v>
      </c>
      <c r="H651" s="2">
        <f>Datos!M651</f>
        <v>82.7</v>
      </c>
      <c r="I651" s="2" t="b">
        <f t="shared" si="50"/>
        <v>1</v>
      </c>
      <c r="J651" s="2">
        <f t="shared" si="51"/>
        <v>82.7</v>
      </c>
      <c r="K651" s="2">
        <f t="shared" si="52"/>
        <v>3.8</v>
      </c>
      <c r="L651" s="2">
        <f t="shared" si="53"/>
        <v>72.400000000000006</v>
      </c>
      <c r="M651" s="2">
        <f t="shared" si="54"/>
        <v>72.5</v>
      </c>
    </row>
    <row r="652" spans="1:13" x14ac:dyDescent="0.3">
      <c r="A652" s="2">
        <f>Datos!A652</f>
        <v>110</v>
      </c>
      <c r="B652" s="2" t="str">
        <f>Datos!B652</f>
        <v>Female</v>
      </c>
      <c r="C652" s="2">
        <f>Datos!C652</f>
        <v>0</v>
      </c>
      <c r="D652" s="2" t="str">
        <f>Datos!G652</f>
        <v>B</v>
      </c>
      <c r="E652" s="2">
        <f>Datos!I652</f>
        <v>6.5</v>
      </c>
      <c r="F652" s="2">
        <f>Datos!J652</f>
        <v>76.900000000000006</v>
      </c>
      <c r="G652" s="2">
        <f>Datos!L652</f>
        <v>80.099999999999994</v>
      </c>
      <c r="H652" s="2">
        <f>Datos!M652</f>
        <v>73</v>
      </c>
      <c r="I652" s="2" t="b">
        <f t="shared" si="50"/>
        <v>1</v>
      </c>
      <c r="J652" s="2">
        <f t="shared" si="51"/>
        <v>73</v>
      </c>
      <c r="K652" s="2">
        <f t="shared" si="52"/>
        <v>6.5</v>
      </c>
      <c r="L652" s="2">
        <f t="shared" si="53"/>
        <v>80.099999999999994</v>
      </c>
      <c r="M652" s="2">
        <f t="shared" si="54"/>
        <v>76.900000000000006</v>
      </c>
    </row>
    <row r="653" spans="1:13" x14ac:dyDescent="0.3">
      <c r="A653" s="2">
        <f>Datos!A653</f>
        <v>88</v>
      </c>
      <c r="B653" s="2" t="str">
        <f>Datos!B653</f>
        <v>Female</v>
      </c>
      <c r="C653" s="2" t="str">
        <f>Datos!C653</f>
        <v>PhD</v>
      </c>
      <c r="D653" s="2" t="str">
        <f>Datos!G653</f>
        <v>D</v>
      </c>
      <c r="E653" s="2">
        <f>Datos!I653</f>
        <v>2.6</v>
      </c>
      <c r="F653" s="2">
        <f>Datos!J653</f>
        <v>93</v>
      </c>
      <c r="G653" s="2">
        <f>Datos!L653</f>
        <v>39.700000000000003</v>
      </c>
      <c r="H653" s="2">
        <f>Datos!M653</f>
        <v>73</v>
      </c>
      <c r="I653" s="2" t="b">
        <f t="shared" si="50"/>
        <v>1</v>
      </c>
      <c r="J653" s="2">
        <f t="shared" si="51"/>
        <v>73</v>
      </c>
      <c r="K653" s="2">
        <f t="shared" si="52"/>
        <v>2.6</v>
      </c>
      <c r="L653" s="2">
        <f t="shared" si="53"/>
        <v>39.700000000000003</v>
      </c>
      <c r="M653" s="2">
        <f t="shared" si="54"/>
        <v>93</v>
      </c>
    </row>
    <row r="654" spans="1:13" x14ac:dyDescent="0.3">
      <c r="A654" s="2">
        <f>Datos!A654</f>
        <v>842</v>
      </c>
      <c r="B654" s="2" t="str">
        <f>Datos!B654</f>
        <v>Female</v>
      </c>
      <c r="C654" s="2" t="str">
        <f>Datos!C654</f>
        <v>PhD</v>
      </c>
      <c r="D654" s="2" t="str">
        <f>Datos!G654</f>
        <v>C</v>
      </c>
      <c r="E654" s="2">
        <f>Datos!I654</f>
        <v>4.5</v>
      </c>
      <c r="F654" s="2">
        <f>Datos!J654</f>
        <v>80.400000000000006</v>
      </c>
      <c r="G654" s="2">
        <f>Datos!L654</f>
        <v>72</v>
      </c>
      <c r="H654" s="2">
        <f>Datos!M654</f>
        <v>78.8</v>
      </c>
      <c r="I654" s="2" t="b">
        <f t="shared" si="50"/>
        <v>1</v>
      </c>
      <c r="J654" s="2">
        <f t="shared" si="51"/>
        <v>78.8</v>
      </c>
      <c r="K654" s="2">
        <f t="shared" si="52"/>
        <v>4.5</v>
      </c>
      <c r="L654" s="2">
        <f t="shared" si="53"/>
        <v>72</v>
      </c>
      <c r="M654" s="2">
        <f t="shared" si="54"/>
        <v>80.400000000000006</v>
      </c>
    </row>
    <row r="655" spans="1:13" x14ac:dyDescent="0.3">
      <c r="A655" s="2">
        <f>Datos!A655</f>
        <v>372</v>
      </c>
      <c r="B655" s="2" t="str">
        <f>Datos!B655</f>
        <v>Male</v>
      </c>
      <c r="C655" s="2" t="str">
        <f>Datos!C655</f>
        <v>Masters</v>
      </c>
      <c r="D655" s="2" t="str">
        <f>Datos!G655</f>
        <v>B</v>
      </c>
      <c r="E655" s="2">
        <f>Datos!I655</f>
        <v>5.7</v>
      </c>
      <c r="F655" s="2">
        <f>Datos!J655</f>
        <v>85.6</v>
      </c>
      <c r="G655" s="2">
        <f>Datos!L655</f>
        <v>37.299999999999997</v>
      </c>
      <c r="H655" s="2">
        <f>Datos!M655</f>
        <v>81.7</v>
      </c>
      <c r="I655" s="2" t="b">
        <f t="shared" si="50"/>
        <v>1</v>
      </c>
      <c r="J655" s="2">
        <f t="shared" si="51"/>
        <v>81.7</v>
      </c>
      <c r="K655" s="2">
        <f t="shared" si="52"/>
        <v>5.7</v>
      </c>
      <c r="L655" s="2">
        <f t="shared" si="53"/>
        <v>37.299999999999997</v>
      </c>
      <c r="M655" s="2">
        <f t="shared" si="54"/>
        <v>85.6</v>
      </c>
    </row>
    <row r="656" spans="1:13" x14ac:dyDescent="0.3">
      <c r="A656" s="2">
        <f>Datos!A656</f>
        <v>900</v>
      </c>
      <c r="B656" s="2" t="str">
        <f>Datos!B656</f>
        <v>Male</v>
      </c>
      <c r="C656" s="2" t="str">
        <f>Datos!C656</f>
        <v>Masters</v>
      </c>
      <c r="D656" s="2" t="str">
        <f>Datos!G656</f>
        <v>D</v>
      </c>
      <c r="E656" s="2">
        <f>Datos!I656</f>
        <v>2.4</v>
      </c>
      <c r="F656" s="2">
        <f>Datos!J656</f>
        <v>74.099999999999994</v>
      </c>
      <c r="G656" s="2">
        <f>Datos!L656</f>
        <v>69.900000000000006</v>
      </c>
      <c r="H656" s="2">
        <f>Datos!M656</f>
        <v>61.1</v>
      </c>
      <c r="I656" s="2" t="b">
        <f t="shared" si="50"/>
        <v>1</v>
      </c>
      <c r="J656" s="2">
        <f t="shared" si="51"/>
        <v>61.1</v>
      </c>
      <c r="K656" s="2">
        <f t="shared" si="52"/>
        <v>2.4</v>
      </c>
      <c r="L656" s="2">
        <f t="shared" si="53"/>
        <v>69.900000000000006</v>
      </c>
      <c r="M656" s="2">
        <f t="shared" si="54"/>
        <v>74.099999999999994</v>
      </c>
    </row>
    <row r="657" spans="1:13" x14ac:dyDescent="0.3">
      <c r="A657" s="2">
        <f>Datos!A657</f>
        <v>598</v>
      </c>
      <c r="B657" s="2" t="str">
        <f>Datos!B657</f>
        <v>Male</v>
      </c>
      <c r="C657" s="2" t="str">
        <f>Datos!C657</f>
        <v>Masters</v>
      </c>
      <c r="D657" s="2" t="str">
        <f>Datos!G657</f>
        <v>F</v>
      </c>
      <c r="E657" s="2">
        <f>Datos!I657</f>
        <v>1.1000000000000001</v>
      </c>
      <c r="F657" s="2">
        <f>Datos!J657</f>
        <v>71.7</v>
      </c>
      <c r="G657" s="2">
        <f>Datos!L657</f>
        <v>93.7</v>
      </c>
      <c r="H657" s="2">
        <f>Datos!M657</f>
        <v>56.2</v>
      </c>
      <c r="I657" s="2" t="b">
        <f t="shared" si="50"/>
        <v>1</v>
      </c>
      <c r="J657" s="2">
        <f t="shared" si="51"/>
        <v>56.2</v>
      </c>
      <c r="K657" s="2">
        <f t="shared" si="52"/>
        <v>1.1000000000000001</v>
      </c>
      <c r="L657" s="2">
        <f t="shared" si="53"/>
        <v>93.7</v>
      </c>
      <c r="M657" s="2">
        <f t="shared" si="54"/>
        <v>71.7</v>
      </c>
    </row>
    <row r="658" spans="1:13" x14ac:dyDescent="0.3">
      <c r="A658" s="2">
        <f>Datos!A658</f>
        <v>280</v>
      </c>
      <c r="B658" s="2" t="str">
        <f>Datos!B658</f>
        <v>Female</v>
      </c>
      <c r="C658" s="2" t="str">
        <f>Datos!C658</f>
        <v>High School</v>
      </c>
      <c r="D658" s="2" t="str">
        <f>Datos!G658</f>
        <v>B</v>
      </c>
      <c r="E658" s="2">
        <f>Datos!I658</f>
        <v>5.9</v>
      </c>
      <c r="F658" s="2">
        <f>Datos!J658</f>
        <v>70.099999999999994</v>
      </c>
      <c r="G658" s="2">
        <f>Datos!L658</f>
        <v>68.8</v>
      </c>
      <c r="H658" s="2">
        <f>Datos!M658</f>
        <v>82.3</v>
      </c>
      <c r="I658" s="2" t="b">
        <f t="shared" si="50"/>
        <v>1</v>
      </c>
      <c r="J658" s="2">
        <f t="shared" si="51"/>
        <v>82.3</v>
      </c>
      <c r="K658" s="2">
        <f t="shared" si="52"/>
        <v>5.9</v>
      </c>
      <c r="L658" s="2">
        <f t="shared" si="53"/>
        <v>68.8</v>
      </c>
      <c r="M658" s="2">
        <f t="shared" si="54"/>
        <v>70.099999999999994</v>
      </c>
    </row>
    <row r="659" spans="1:13" x14ac:dyDescent="0.3">
      <c r="A659" s="2">
        <f>Datos!A659</f>
        <v>219</v>
      </c>
      <c r="B659" s="2" t="str">
        <f>Datos!B659</f>
        <v>Female</v>
      </c>
      <c r="C659" s="2">
        <f>Datos!C659</f>
        <v>0</v>
      </c>
      <c r="D659" s="2" t="str">
        <f>Datos!G659</f>
        <v>A</v>
      </c>
      <c r="E659" s="2">
        <f>Datos!I659</f>
        <v>5.2</v>
      </c>
      <c r="F659" s="2">
        <f>Datos!J659</f>
        <v>94.7</v>
      </c>
      <c r="G659" s="2">
        <f>Datos!L659</f>
        <v>79</v>
      </c>
      <c r="H659" s="2">
        <f>Datos!M659</f>
        <v>92.7</v>
      </c>
      <c r="I659" s="2" t="b">
        <f t="shared" si="50"/>
        <v>1</v>
      </c>
      <c r="J659" s="2">
        <f t="shared" si="51"/>
        <v>92.7</v>
      </c>
      <c r="K659" s="2">
        <f t="shared" si="52"/>
        <v>5.2</v>
      </c>
      <c r="L659" s="2">
        <f t="shared" si="53"/>
        <v>79</v>
      </c>
      <c r="M659" s="2">
        <f t="shared" si="54"/>
        <v>94.7</v>
      </c>
    </row>
    <row r="660" spans="1:13" x14ac:dyDescent="0.3">
      <c r="A660" s="2">
        <f>Datos!A660</f>
        <v>754</v>
      </c>
      <c r="B660" s="2" t="str">
        <f>Datos!B660</f>
        <v>Male</v>
      </c>
      <c r="C660" s="2" t="str">
        <f>Datos!C660</f>
        <v>Masters</v>
      </c>
      <c r="D660" s="2" t="str">
        <f>Datos!G660</f>
        <v>D</v>
      </c>
      <c r="E660" s="2">
        <f>Datos!I660</f>
        <v>4.0999999999999996</v>
      </c>
      <c r="F660" s="2">
        <f>Datos!J660</f>
        <v>83.5</v>
      </c>
      <c r="G660" s="2">
        <f>Datos!L660</f>
        <v>67</v>
      </c>
      <c r="H660" s="2">
        <f>Datos!M660</f>
        <v>69.599999999999994</v>
      </c>
      <c r="I660" s="2" t="b">
        <f t="shared" si="50"/>
        <v>1</v>
      </c>
      <c r="J660" s="2">
        <f t="shared" si="51"/>
        <v>69.599999999999994</v>
      </c>
      <c r="K660" s="2">
        <f t="shared" si="52"/>
        <v>4.0999999999999996</v>
      </c>
      <c r="L660" s="2">
        <f t="shared" si="53"/>
        <v>67</v>
      </c>
      <c r="M660" s="2">
        <f t="shared" si="54"/>
        <v>83.5</v>
      </c>
    </row>
    <row r="661" spans="1:13" x14ac:dyDescent="0.3">
      <c r="A661" s="2">
        <f>Datos!A661</f>
        <v>221</v>
      </c>
      <c r="B661" s="2" t="str">
        <f>Datos!B661</f>
        <v>Female</v>
      </c>
      <c r="C661" s="2" t="str">
        <f>Datos!C661</f>
        <v>High School</v>
      </c>
      <c r="D661" s="2" t="str">
        <f>Datos!G661</f>
        <v>D</v>
      </c>
      <c r="E661" s="2">
        <f>Datos!I661</f>
        <v>4.5</v>
      </c>
      <c r="F661" s="2">
        <f>Datos!J661</f>
        <v>97.4</v>
      </c>
      <c r="G661" s="2">
        <f>Datos!L661</f>
        <v>40.299999999999997</v>
      </c>
      <c r="H661" s="2">
        <f>Datos!M661</f>
        <v>64.8</v>
      </c>
      <c r="I661" s="2" t="b">
        <f t="shared" si="50"/>
        <v>1</v>
      </c>
      <c r="J661" s="2">
        <f t="shared" si="51"/>
        <v>64.8</v>
      </c>
      <c r="K661" s="2">
        <f t="shared" si="52"/>
        <v>4.5</v>
      </c>
      <c r="L661" s="2">
        <f t="shared" si="53"/>
        <v>40.299999999999997</v>
      </c>
      <c r="M661" s="2">
        <f t="shared" si="54"/>
        <v>97.4</v>
      </c>
    </row>
    <row r="662" spans="1:13" x14ac:dyDescent="0.3">
      <c r="A662" s="2">
        <f>Datos!A662</f>
        <v>200</v>
      </c>
      <c r="B662" s="2" t="str">
        <f>Datos!B662</f>
        <v>Female</v>
      </c>
      <c r="C662" s="2" t="str">
        <f>Datos!C662</f>
        <v>PhD</v>
      </c>
      <c r="D662" s="2" t="str">
        <f>Datos!G662</f>
        <v>D</v>
      </c>
      <c r="E662" s="2">
        <f>Datos!I662</f>
        <v>2.4</v>
      </c>
      <c r="F662" s="2">
        <f>Datos!J662</f>
        <v>84.9</v>
      </c>
      <c r="G662" s="2">
        <f>Datos!L662</f>
        <v>72.400000000000006</v>
      </c>
      <c r="H662" s="2">
        <f>Datos!M662</f>
        <v>68.599999999999994</v>
      </c>
      <c r="I662" s="2" t="b">
        <f t="shared" si="50"/>
        <v>1</v>
      </c>
      <c r="J662" s="2">
        <f t="shared" si="51"/>
        <v>68.599999999999994</v>
      </c>
      <c r="K662" s="2">
        <f t="shared" si="52"/>
        <v>2.4</v>
      </c>
      <c r="L662" s="2">
        <f t="shared" si="53"/>
        <v>72.400000000000006</v>
      </c>
      <c r="M662" s="2">
        <f t="shared" si="54"/>
        <v>84.9</v>
      </c>
    </row>
    <row r="663" spans="1:13" x14ac:dyDescent="0.3">
      <c r="A663" s="2">
        <f>Datos!A663</f>
        <v>178</v>
      </c>
      <c r="B663" s="2" t="str">
        <f>Datos!B663</f>
        <v>Female</v>
      </c>
      <c r="C663" s="2">
        <f>Datos!C663</f>
        <v>0</v>
      </c>
      <c r="D663" s="2" t="str">
        <f>Datos!G663</f>
        <v>D</v>
      </c>
      <c r="E663" s="2">
        <f>Datos!I663</f>
        <v>1.6</v>
      </c>
      <c r="F663" s="2">
        <f>Datos!J663</f>
        <v>93.4</v>
      </c>
      <c r="G663" s="2">
        <f>Datos!L663</f>
        <v>83.9</v>
      </c>
      <c r="H663" s="2">
        <f>Datos!M663</f>
        <v>64.900000000000006</v>
      </c>
      <c r="I663" s="2" t="b">
        <f t="shared" si="50"/>
        <v>1</v>
      </c>
      <c r="J663" s="2">
        <f t="shared" si="51"/>
        <v>64.900000000000006</v>
      </c>
      <c r="K663" s="2">
        <f t="shared" si="52"/>
        <v>1.6</v>
      </c>
      <c r="L663" s="2">
        <f t="shared" si="53"/>
        <v>83.9</v>
      </c>
      <c r="M663" s="2">
        <f t="shared" si="54"/>
        <v>93.4</v>
      </c>
    </row>
    <row r="664" spans="1:13" x14ac:dyDescent="0.3">
      <c r="A664" s="2">
        <f>Datos!A664</f>
        <v>81</v>
      </c>
      <c r="B664" s="2" t="str">
        <f>Datos!B664</f>
        <v>Female</v>
      </c>
      <c r="C664" s="2" t="str">
        <f>Datos!C664</f>
        <v>PhD</v>
      </c>
      <c r="D664" s="2" t="str">
        <f>Datos!G664</f>
        <v>F</v>
      </c>
      <c r="E664" s="2">
        <f>Datos!I664</f>
        <v>1.2</v>
      </c>
      <c r="F664" s="2">
        <f>Datos!J664</f>
        <v>66.400000000000006</v>
      </c>
      <c r="G664" s="2">
        <f>Datos!L664</f>
        <v>53.8</v>
      </c>
      <c r="H664" s="2">
        <f>Datos!M664</f>
        <v>49.8</v>
      </c>
      <c r="I664" s="2" t="b">
        <f t="shared" si="50"/>
        <v>1</v>
      </c>
      <c r="J664" s="2">
        <f t="shared" si="51"/>
        <v>49.8</v>
      </c>
      <c r="K664" s="2">
        <f t="shared" si="52"/>
        <v>1.2</v>
      </c>
      <c r="L664" s="2">
        <f t="shared" si="53"/>
        <v>53.8</v>
      </c>
      <c r="M664" s="2">
        <f t="shared" si="54"/>
        <v>66.400000000000006</v>
      </c>
    </row>
    <row r="665" spans="1:13" x14ac:dyDescent="0.3">
      <c r="A665" s="2">
        <f>Datos!A665</f>
        <v>759</v>
      </c>
      <c r="B665" s="2" t="str">
        <f>Datos!B665</f>
        <v>Female</v>
      </c>
      <c r="C665" s="2" t="str">
        <f>Datos!C665</f>
        <v>PhD</v>
      </c>
      <c r="D665" s="2" t="str">
        <f>Datos!G665</f>
        <v>C</v>
      </c>
      <c r="E665" s="2">
        <f>Datos!I665</f>
        <v>5.0999999999999996</v>
      </c>
      <c r="F665" s="2">
        <f>Datos!J665</f>
        <v>99.7</v>
      </c>
      <c r="G665" s="2">
        <f>Datos!L665</f>
        <v>48.3</v>
      </c>
      <c r="H665" s="2">
        <f>Datos!M665</f>
        <v>77.599999999999994</v>
      </c>
      <c r="I665" s="2" t="b">
        <f t="shared" si="50"/>
        <v>1</v>
      </c>
      <c r="J665" s="2">
        <f t="shared" si="51"/>
        <v>77.599999999999994</v>
      </c>
      <c r="K665" s="2">
        <f t="shared" si="52"/>
        <v>5.0999999999999996</v>
      </c>
      <c r="L665" s="2">
        <f t="shared" si="53"/>
        <v>48.3</v>
      </c>
      <c r="M665" s="2">
        <f t="shared" si="54"/>
        <v>99.7</v>
      </c>
    </row>
    <row r="666" spans="1:13" x14ac:dyDescent="0.3">
      <c r="A666" s="2">
        <f>Datos!A666</f>
        <v>885</v>
      </c>
      <c r="B666" s="2" t="str">
        <f>Datos!B666</f>
        <v>Male</v>
      </c>
      <c r="C666" s="2" t="str">
        <f>Datos!C666</f>
        <v>Masters</v>
      </c>
      <c r="D666" s="2" t="str">
        <f>Datos!G666</f>
        <v>A</v>
      </c>
      <c r="E666" s="2">
        <f>Datos!I666</f>
        <v>6.3</v>
      </c>
      <c r="F666" s="2">
        <f>Datos!J666</f>
        <v>94.4</v>
      </c>
      <c r="G666" s="2">
        <f>Datos!L666</f>
        <v>88.8</v>
      </c>
      <c r="H666" s="2">
        <f>Datos!M666</f>
        <v>97.9</v>
      </c>
      <c r="I666" s="2" t="b">
        <f t="shared" si="50"/>
        <v>1</v>
      </c>
      <c r="J666" s="2">
        <f t="shared" si="51"/>
        <v>97.9</v>
      </c>
      <c r="K666" s="2">
        <f t="shared" si="52"/>
        <v>6.3</v>
      </c>
      <c r="L666" s="2">
        <f t="shared" si="53"/>
        <v>88.8</v>
      </c>
      <c r="M666" s="2">
        <f t="shared" si="54"/>
        <v>94.4</v>
      </c>
    </row>
    <row r="667" spans="1:13" x14ac:dyDescent="0.3">
      <c r="A667" s="2">
        <f>Datos!A667</f>
        <v>670</v>
      </c>
      <c r="B667" s="2" t="str">
        <f>Datos!B667</f>
        <v>Male</v>
      </c>
      <c r="C667" s="2" t="str">
        <f>Datos!C667</f>
        <v>PhD</v>
      </c>
      <c r="D667" s="2" t="str">
        <f>Datos!G667</f>
        <v>B</v>
      </c>
      <c r="E667" s="2">
        <f>Datos!I667</f>
        <v>6.4</v>
      </c>
      <c r="F667" s="2">
        <f>Datos!J667</f>
        <v>75</v>
      </c>
      <c r="G667" s="2">
        <f>Datos!L667</f>
        <v>67</v>
      </c>
      <c r="H667" s="2">
        <f>Datos!M667</f>
        <v>85.4</v>
      </c>
      <c r="I667" s="2" t="b">
        <f t="shared" si="50"/>
        <v>1</v>
      </c>
      <c r="J667" s="2">
        <f t="shared" si="51"/>
        <v>85.4</v>
      </c>
      <c r="K667" s="2">
        <f t="shared" si="52"/>
        <v>6.4</v>
      </c>
      <c r="L667" s="2">
        <f t="shared" si="53"/>
        <v>67</v>
      </c>
      <c r="M667" s="2">
        <f t="shared" si="54"/>
        <v>75</v>
      </c>
    </row>
    <row r="668" spans="1:13" x14ac:dyDescent="0.3">
      <c r="A668" s="2">
        <f>Datos!A668</f>
        <v>398</v>
      </c>
      <c r="B668" s="2" t="str">
        <f>Datos!B668</f>
        <v>Male</v>
      </c>
      <c r="C668" s="2">
        <f>Datos!C668</f>
        <v>0</v>
      </c>
      <c r="D668" s="2" t="str">
        <f>Datos!G668</f>
        <v>A</v>
      </c>
      <c r="E668" s="2">
        <f>Datos!I668</f>
        <v>5.5</v>
      </c>
      <c r="F668" s="2">
        <f>Datos!J668</f>
        <v>92.7</v>
      </c>
      <c r="G668" s="2">
        <f>Datos!L668</f>
        <v>58.4</v>
      </c>
      <c r="H668" s="2">
        <f>Datos!M668</f>
        <v>90.3</v>
      </c>
      <c r="I668" s="2" t="b">
        <f t="shared" si="50"/>
        <v>1</v>
      </c>
      <c r="J668" s="2">
        <f t="shared" si="51"/>
        <v>90.3</v>
      </c>
      <c r="K668" s="2">
        <f t="shared" si="52"/>
        <v>5.5</v>
      </c>
      <c r="L668" s="2">
        <f t="shared" si="53"/>
        <v>58.4</v>
      </c>
      <c r="M668" s="2">
        <f t="shared" si="54"/>
        <v>92.7</v>
      </c>
    </row>
    <row r="669" spans="1:13" x14ac:dyDescent="0.3">
      <c r="A669" s="2">
        <f>Datos!A669</f>
        <v>926</v>
      </c>
      <c r="B669" s="2" t="str">
        <f>Datos!B669</f>
        <v>Female</v>
      </c>
      <c r="C669" s="2" t="str">
        <f>Datos!C669</f>
        <v>High School</v>
      </c>
      <c r="D669" s="2" t="str">
        <f>Datos!G669</f>
        <v>A</v>
      </c>
      <c r="E669" s="2">
        <f>Datos!I669</f>
        <v>5.9</v>
      </c>
      <c r="F669" s="2">
        <f>Datos!J669</f>
        <v>82.9</v>
      </c>
      <c r="G669" s="2">
        <f>Datos!L669</f>
        <v>89.2</v>
      </c>
      <c r="H669" s="2">
        <f>Datos!M669</f>
        <v>91.6</v>
      </c>
      <c r="I669" s="2" t="b">
        <f t="shared" si="50"/>
        <v>1</v>
      </c>
      <c r="J669" s="2">
        <f t="shared" si="51"/>
        <v>91.6</v>
      </c>
      <c r="K669" s="2">
        <f t="shared" si="52"/>
        <v>5.9</v>
      </c>
      <c r="L669" s="2">
        <f t="shared" si="53"/>
        <v>89.2</v>
      </c>
      <c r="M669" s="2">
        <f t="shared" si="54"/>
        <v>82.9</v>
      </c>
    </row>
    <row r="670" spans="1:13" x14ac:dyDescent="0.3">
      <c r="A670" s="2">
        <f>Datos!A670</f>
        <v>852</v>
      </c>
      <c r="B670" s="2" t="str">
        <f>Datos!B670</f>
        <v>Female</v>
      </c>
      <c r="C670" s="2" t="str">
        <f>Datos!C670</f>
        <v>Bachelors</v>
      </c>
      <c r="D670" s="2" t="str">
        <f>Datos!G670</f>
        <v>B</v>
      </c>
      <c r="E670" s="2">
        <f>Datos!I670</f>
        <v>6.4</v>
      </c>
      <c r="F670" s="2">
        <f>Datos!J670</f>
        <v>99.1</v>
      </c>
      <c r="G670" s="2">
        <f>Datos!L670</f>
        <v>36.4</v>
      </c>
      <c r="H670" s="2">
        <f>Datos!M670</f>
        <v>81.2</v>
      </c>
      <c r="I670" s="2" t="b">
        <f t="shared" si="50"/>
        <v>1</v>
      </c>
      <c r="J670" s="2">
        <f t="shared" si="51"/>
        <v>81.2</v>
      </c>
      <c r="K670" s="2">
        <f t="shared" si="52"/>
        <v>6.4</v>
      </c>
      <c r="L670" s="2">
        <f t="shared" si="53"/>
        <v>36.4</v>
      </c>
      <c r="M670" s="2">
        <f t="shared" si="54"/>
        <v>99.1</v>
      </c>
    </row>
    <row r="671" spans="1:13" x14ac:dyDescent="0.3">
      <c r="A671" s="2">
        <f>Datos!A671</f>
        <v>732</v>
      </c>
      <c r="B671" s="2" t="str">
        <f>Datos!B671</f>
        <v>Female</v>
      </c>
      <c r="C671" s="2" t="str">
        <f>Datos!C671</f>
        <v>High School</v>
      </c>
      <c r="D671" s="2" t="str">
        <f>Datos!G671</f>
        <v>D</v>
      </c>
      <c r="E671" s="2">
        <f>Datos!I671</f>
        <v>2.2000000000000002</v>
      </c>
      <c r="F671" s="2">
        <f>Datos!J671</f>
        <v>68.3</v>
      </c>
      <c r="G671" s="2">
        <f>Datos!L671</f>
        <v>66.75</v>
      </c>
      <c r="H671" s="2">
        <f>Datos!M671</f>
        <v>60</v>
      </c>
      <c r="I671" s="2" t="b">
        <f t="shared" si="50"/>
        <v>1</v>
      </c>
      <c r="J671" s="2">
        <f t="shared" si="51"/>
        <v>60</v>
      </c>
      <c r="K671" s="2">
        <f t="shared" si="52"/>
        <v>2.2000000000000002</v>
      </c>
      <c r="L671" s="2">
        <f t="shared" si="53"/>
        <v>66.75</v>
      </c>
      <c r="M671" s="2">
        <f t="shared" si="54"/>
        <v>68.3</v>
      </c>
    </row>
    <row r="672" spans="1:13" x14ac:dyDescent="0.3">
      <c r="A672" s="2">
        <f>Datos!A672</f>
        <v>59</v>
      </c>
      <c r="B672" s="2" t="str">
        <f>Datos!B672</f>
        <v>Female</v>
      </c>
      <c r="C672" s="2">
        <f>Datos!C672</f>
        <v>0</v>
      </c>
      <c r="D672" s="2" t="str">
        <f>Datos!G672</f>
        <v>B</v>
      </c>
      <c r="E672" s="2">
        <f>Datos!I672</f>
        <v>2.9</v>
      </c>
      <c r="F672" s="2">
        <f>Datos!J672</f>
        <v>98.5</v>
      </c>
      <c r="G672" s="2">
        <f>Datos!L672</f>
        <v>77.3</v>
      </c>
      <c r="H672" s="2">
        <f>Datos!M672</f>
        <v>80.900000000000006</v>
      </c>
      <c r="I672" s="2" t="b">
        <f t="shared" si="50"/>
        <v>1</v>
      </c>
      <c r="J672" s="2">
        <f t="shared" si="51"/>
        <v>80.900000000000006</v>
      </c>
      <c r="K672" s="2">
        <f t="shared" si="52"/>
        <v>2.9</v>
      </c>
      <c r="L672" s="2">
        <f t="shared" si="53"/>
        <v>77.3</v>
      </c>
      <c r="M672" s="2">
        <f t="shared" si="54"/>
        <v>98.5</v>
      </c>
    </row>
    <row r="673" spans="1:13" x14ac:dyDescent="0.3">
      <c r="A673" s="2">
        <f>Datos!A673</f>
        <v>2</v>
      </c>
      <c r="B673" s="2" t="str">
        <f>Datos!B673</f>
        <v>Female</v>
      </c>
      <c r="C673" s="2" t="str">
        <f>Datos!C673</f>
        <v>Bachelors</v>
      </c>
      <c r="D673" s="2" t="str">
        <f>Datos!G673</f>
        <v>C</v>
      </c>
      <c r="E673" s="2">
        <f>Datos!I673</f>
        <v>2.9</v>
      </c>
      <c r="F673" s="2">
        <f>Datos!J673</f>
        <v>97.4</v>
      </c>
      <c r="G673" s="2">
        <f>Datos!L673</f>
        <v>68.3</v>
      </c>
      <c r="H673" s="2">
        <f>Datos!M673</f>
        <v>70</v>
      </c>
      <c r="I673" s="2" t="b">
        <f t="shared" si="50"/>
        <v>1</v>
      </c>
      <c r="J673" s="2">
        <f t="shared" si="51"/>
        <v>70</v>
      </c>
      <c r="K673" s="2">
        <f t="shared" si="52"/>
        <v>2.9</v>
      </c>
      <c r="L673" s="2">
        <f t="shared" si="53"/>
        <v>68.3</v>
      </c>
      <c r="M673" s="2">
        <f t="shared" si="54"/>
        <v>97.4</v>
      </c>
    </row>
    <row r="674" spans="1:13" x14ac:dyDescent="0.3">
      <c r="A674" s="2">
        <f>Datos!A674</f>
        <v>630</v>
      </c>
      <c r="B674" s="2" t="str">
        <f>Datos!B674</f>
        <v>Female</v>
      </c>
      <c r="C674" s="2" t="str">
        <f>Datos!C674</f>
        <v>Bachelors</v>
      </c>
      <c r="D674" s="2" t="str">
        <f>Datos!G674</f>
        <v>B</v>
      </c>
      <c r="E674" s="2">
        <f>Datos!I674</f>
        <v>3.9</v>
      </c>
      <c r="F674" s="2">
        <f>Datos!J674</f>
        <v>96.6</v>
      </c>
      <c r="G674" s="2">
        <f>Datos!L674</f>
        <v>87.1</v>
      </c>
      <c r="H674" s="2">
        <f>Datos!M674</f>
        <v>87.7</v>
      </c>
      <c r="I674" s="2" t="b">
        <f t="shared" si="50"/>
        <v>1</v>
      </c>
      <c r="J674" s="2">
        <f t="shared" si="51"/>
        <v>87.7</v>
      </c>
      <c r="K674" s="2">
        <f t="shared" si="52"/>
        <v>3.9</v>
      </c>
      <c r="L674" s="2">
        <f t="shared" si="53"/>
        <v>87.1</v>
      </c>
      <c r="M674" s="2">
        <f t="shared" si="54"/>
        <v>96.6</v>
      </c>
    </row>
    <row r="675" spans="1:13" x14ac:dyDescent="0.3">
      <c r="A675" s="2">
        <f>Datos!A675</f>
        <v>264</v>
      </c>
      <c r="B675" s="2" t="str">
        <f>Datos!B675</f>
        <v>Male</v>
      </c>
      <c r="C675" s="2" t="str">
        <f>Datos!C675</f>
        <v>Bachelors</v>
      </c>
      <c r="D675" s="2" t="str">
        <f>Datos!G675</f>
        <v>D</v>
      </c>
      <c r="E675" s="2">
        <f>Datos!I675</f>
        <v>2.6</v>
      </c>
      <c r="F675" s="2">
        <f>Datos!J675</f>
        <v>75.7</v>
      </c>
      <c r="G675" s="2">
        <f>Datos!L675</f>
        <v>71.099999999999994</v>
      </c>
      <c r="H675" s="2">
        <f>Datos!M675</f>
        <v>67.099999999999994</v>
      </c>
      <c r="I675" s="2" t="b">
        <f t="shared" si="50"/>
        <v>1</v>
      </c>
      <c r="J675" s="2">
        <f t="shared" si="51"/>
        <v>67.099999999999994</v>
      </c>
      <c r="K675" s="2">
        <f t="shared" si="52"/>
        <v>2.6</v>
      </c>
      <c r="L675" s="2">
        <f t="shared" si="53"/>
        <v>71.099999999999994</v>
      </c>
      <c r="M675" s="2">
        <f t="shared" si="54"/>
        <v>75.7</v>
      </c>
    </row>
    <row r="676" spans="1:13" x14ac:dyDescent="0.3">
      <c r="A676" s="2">
        <f>Datos!A676</f>
        <v>870</v>
      </c>
      <c r="B676" s="2" t="str">
        <f>Datos!B676</f>
        <v>Male</v>
      </c>
      <c r="C676" s="2" t="str">
        <f>Datos!C676</f>
        <v>High School</v>
      </c>
      <c r="D676" s="2" t="str">
        <f>Datos!G676</f>
        <v>C</v>
      </c>
      <c r="E676" s="2">
        <f>Datos!I676</f>
        <v>6.2</v>
      </c>
      <c r="F676" s="2">
        <f>Datos!J676</f>
        <v>74.400000000000006</v>
      </c>
      <c r="G676" s="2">
        <f>Datos!L676</f>
        <v>65.400000000000006</v>
      </c>
      <c r="H676" s="2">
        <f>Datos!M676</f>
        <v>74.099999999999994</v>
      </c>
      <c r="I676" s="2" t="b">
        <f t="shared" si="50"/>
        <v>1</v>
      </c>
      <c r="J676" s="2">
        <f t="shared" si="51"/>
        <v>74.099999999999994</v>
      </c>
      <c r="K676" s="2">
        <f t="shared" si="52"/>
        <v>6.2</v>
      </c>
      <c r="L676" s="2">
        <f t="shared" si="53"/>
        <v>65.400000000000006</v>
      </c>
      <c r="M676" s="2">
        <f t="shared" si="54"/>
        <v>74.400000000000006</v>
      </c>
    </row>
    <row r="677" spans="1:13" x14ac:dyDescent="0.3">
      <c r="A677" s="2">
        <f>Datos!A677</f>
        <v>436</v>
      </c>
      <c r="B677" s="2" t="str">
        <f>Datos!B677</f>
        <v>Male</v>
      </c>
      <c r="C677" s="2" t="str">
        <f>Datos!C677</f>
        <v>High School</v>
      </c>
      <c r="D677" s="2" t="str">
        <f>Datos!G677</f>
        <v>C</v>
      </c>
      <c r="E677" s="2">
        <f>Datos!I677</f>
        <v>4.0999999999999996</v>
      </c>
      <c r="F677" s="2">
        <f>Datos!J677</f>
        <v>83.8</v>
      </c>
      <c r="G677" s="2">
        <f>Datos!L677</f>
        <v>70.2</v>
      </c>
      <c r="H677" s="2">
        <f>Datos!M677</f>
        <v>79.599999999999994</v>
      </c>
      <c r="I677" s="2" t="b">
        <f t="shared" si="50"/>
        <v>1</v>
      </c>
      <c r="J677" s="2">
        <f t="shared" si="51"/>
        <v>79.599999999999994</v>
      </c>
      <c r="K677" s="2">
        <f t="shared" si="52"/>
        <v>4.0999999999999996</v>
      </c>
      <c r="L677" s="2">
        <f t="shared" si="53"/>
        <v>70.2</v>
      </c>
      <c r="M677" s="2">
        <f t="shared" si="54"/>
        <v>83.8</v>
      </c>
    </row>
    <row r="678" spans="1:13" x14ac:dyDescent="0.3">
      <c r="A678" s="2">
        <f>Datos!A678</f>
        <v>491</v>
      </c>
      <c r="B678" s="2" t="str">
        <f>Datos!B678</f>
        <v>Male</v>
      </c>
      <c r="C678" s="2" t="str">
        <f>Datos!C678</f>
        <v>High School</v>
      </c>
      <c r="D678" s="2" t="str">
        <f>Datos!G678</f>
        <v>F</v>
      </c>
      <c r="E678" s="2">
        <f>Datos!I678</f>
        <v>1.7</v>
      </c>
      <c r="F678" s="2">
        <f>Datos!J678</f>
        <v>86.5</v>
      </c>
      <c r="G678" s="2">
        <f>Datos!L678</f>
        <v>43.3</v>
      </c>
      <c r="H678" s="2">
        <f>Datos!M678</f>
        <v>49</v>
      </c>
      <c r="I678" s="2" t="b">
        <f t="shared" si="50"/>
        <v>1</v>
      </c>
      <c r="J678" s="2">
        <f t="shared" si="51"/>
        <v>49</v>
      </c>
      <c r="K678" s="2">
        <f t="shared" si="52"/>
        <v>1.7</v>
      </c>
      <c r="L678" s="2">
        <f t="shared" si="53"/>
        <v>43.3</v>
      </c>
      <c r="M678" s="2">
        <f t="shared" si="54"/>
        <v>86.5</v>
      </c>
    </row>
    <row r="679" spans="1:13" x14ac:dyDescent="0.3">
      <c r="A679" s="2">
        <f>Datos!A679</f>
        <v>431</v>
      </c>
      <c r="B679" s="2" t="str">
        <f>Datos!B679</f>
        <v>Male</v>
      </c>
      <c r="C679" s="2" t="str">
        <f>Datos!C679</f>
        <v>High School</v>
      </c>
      <c r="D679" s="2" t="str">
        <f>Datos!G679</f>
        <v>F</v>
      </c>
      <c r="E679" s="2">
        <f>Datos!I679</f>
        <v>3.2</v>
      </c>
      <c r="F679" s="2">
        <f>Datos!J679</f>
        <v>90.1</v>
      </c>
      <c r="G679" s="2">
        <f>Datos!L679</f>
        <v>37.4</v>
      </c>
      <c r="H679" s="2">
        <f>Datos!M679</f>
        <v>57.3</v>
      </c>
      <c r="I679" s="2" t="b">
        <f t="shared" si="50"/>
        <v>1</v>
      </c>
      <c r="J679" s="2">
        <f t="shared" si="51"/>
        <v>57.3</v>
      </c>
      <c r="K679" s="2">
        <f t="shared" si="52"/>
        <v>3.2</v>
      </c>
      <c r="L679" s="2">
        <f t="shared" si="53"/>
        <v>37.4</v>
      </c>
      <c r="M679" s="2">
        <f t="shared" si="54"/>
        <v>90.1</v>
      </c>
    </row>
    <row r="680" spans="1:13" x14ac:dyDescent="0.3">
      <c r="A680" s="2">
        <f>Datos!A680</f>
        <v>724</v>
      </c>
      <c r="B680" s="2" t="str">
        <f>Datos!B680</f>
        <v>Male</v>
      </c>
      <c r="C680" s="2" t="str">
        <f>Datos!C680</f>
        <v>High School</v>
      </c>
      <c r="D680" s="2" t="str">
        <f>Datos!G680</f>
        <v>B</v>
      </c>
      <c r="E680" s="2">
        <f>Datos!I680</f>
        <v>7</v>
      </c>
      <c r="F680" s="2">
        <f>Datos!J680</f>
        <v>75.599999999999994</v>
      </c>
      <c r="G680" s="2">
        <f>Datos!L680</f>
        <v>94.5</v>
      </c>
      <c r="H680" s="2">
        <f>Datos!M680</f>
        <v>85.6</v>
      </c>
      <c r="I680" s="2" t="b">
        <f t="shared" si="50"/>
        <v>1</v>
      </c>
      <c r="J680" s="2">
        <f t="shared" si="51"/>
        <v>85.6</v>
      </c>
      <c r="K680" s="2">
        <f t="shared" si="52"/>
        <v>7</v>
      </c>
      <c r="L680" s="2">
        <f t="shared" si="53"/>
        <v>94.5</v>
      </c>
      <c r="M680" s="2">
        <f t="shared" si="54"/>
        <v>75.599999999999994</v>
      </c>
    </row>
    <row r="681" spans="1:13" x14ac:dyDescent="0.3">
      <c r="A681" s="2">
        <f>Datos!A681</f>
        <v>96</v>
      </c>
      <c r="B681" s="2" t="str">
        <f>Datos!B681</f>
        <v>Female</v>
      </c>
      <c r="C681" s="2" t="str">
        <f>Datos!C681</f>
        <v>High School</v>
      </c>
      <c r="D681" s="2" t="str">
        <f>Datos!G681</f>
        <v>B</v>
      </c>
      <c r="E681" s="2">
        <f>Datos!I681</f>
        <v>3.9</v>
      </c>
      <c r="F681" s="2">
        <f>Datos!J681</f>
        <v>91</v>
      </c>
      <c r="G681" s="2">
        <f>Datos!L681</f>
        <v>89.2</v>
      </c>
      <c r="H681" s="2">
        <f>Datos!M681</f>
        <v>82.4</v>
      </c>
      <c r="I681" s="2" t="b">
        <f t="shared" si="50"/>
        <v>1</v>
      </c>
      <c r="J681" s="2">
        <f t="shared" si="51"/>
        <v>82.4</v>
      </c>
      <c r="K681" s="2">
        <f t="shared" si="52"/>
        <v>3.9</v>
      </c>
      <c r="L681" s="2">
        <f t="shared" si="53"/>
        <v>89.2</v>
      </c>
      <c r="M681" s="2">
        <f t="shared" si="54"/>
        <v>91</v>
      </c>
    </row>
    <row r="682" spans="1:13" x14ac:dyDescent="0.3">
      <c r="A682" s="2">
        <f>Datos!A682</f>
        <v>13</v>
      </c>
      <c r="B682" s="2" t="str">
        <f>Datos!B682</f>
        <v>Male</v>
      </c>
      <c r="C682" s="2">
        <f>Datos!C682</f>
        <v>0</v>
      </c>
      <c r="D682" s="2" t="str">
        <f>Datos!G682</f>
        <v>B</v>
      </c>
      <c r="E682" s="2">
        <f>Datos!I682</f>
        <v>6.4</v>
      </c>
      <c r="F682" s="2">
        <f>Datos!J682</f>
        <v>81</v>
      </c>
      <c r="G682" s="2">
        <f>Datos!L682</f>
        <v>86.4</v>
      </c>
      <c r="H682" s="2">
        <f>Datos!M682</f>
        <v>89.7</v>
      </c>
      <c r="I682" s="2" t="b">
        <f t="shared" si="50"/>
        <v>1</v>
      </c>
      <c r="J682" s="2">
        <f t="shared" si="51"/>
        <v>89.7</v>
      </c>
      <c r="K682" s="2">
        <f t="shared" si="52"/>
        <v>6.4</v>
      </c>
      <c r="L682" s="2">
        <f t="shared" si="53"/>
        <v>86.4</v>
      </c>
      <c r="M682" s="2">
        <f t="shared" si="54"/>
        <v>81</v>
      </c>
    </row>
    <row r="683" spans="1:13" x14ac:dyDescent="0.3">
      <c r="A683" s="2">
        <f>Datos!A683</f>
        <v>84</v>
      </c>
      <c r="B683" s="2" t="str">
        <f>Datos!B683</f>
        <v>Female</v>
      </c>
      <c r="C683" s="2" t="str">
        <f>Datos!C683</f>
        <v>High School</v>
      </c>
      <c r="D683" s="2" t="str">
        <f>Datos!G683</f>
        <v>D</v>
      </c>
      <c r="E683" s="2">
        <f>Datos!I683</f>
        <v>2.6</v>
      </c>
      <c r="F683" s="2">
        <f>Datos!J683</f>
        <v>73.5</v>
      </c>
      <c r="G683" s="2">
        <f>Datos!L683</f>
        <v>90.8</v>
      </c>
      <c r="H683" s="2">
        <f>Datos!M683</f>
        <v>67.8</v>
      </c>
      <c r="I683" s="2" t="b">
        <f t="shared" si="50"/>
        <v>1</v>
      </c>
      <c r="J683" s="2">
        <f t="shared" si="51"/>
        <v>67.8</v>
      </c>
      <c r="K683" s="2">
        <f t="shared" si="52"/>
        <v>2.6</v>
      </c>
      <c r="L683" s="2">
        <f t="shared" si="53"/>
        <v>90.8</v>
      </c>
      <c r="M683" s="2">
        <f t="shared" si="54"/>
        <v>73.5</v>
      </c>
    </row>
    <row r="684" spans="1:13" x14ac:dyDescent="0.3">
      <c r="A684" s="2">
        <f>Datos!A684</f>
        <v>106</v>
      </c>
      <c r="B684" s="2" t="str">
        <f>Datos!B684</f>
        <v>Female</v>
      </c>
      <c r="C684" s="2" t="str">
        <f>Datos!C684</f>
        <v>PhD</v>
      </c>
      <c r="D684" s="2" t="str">
        <f>Datos!G684</f>
        <v>C</v>
      </c>
      <c r="E684" s="2">
        <f>Datos!I684</f>
        <v>2.7</v>
      </c>
      <c r="F684" s="2">
        <f>Datos!J684</f>
        <v>83.6</v>
      </c>
      <c r="G684" s="2">
        <f>Datos!L684</f>
        <v>88.3</v>
      </c>
      <c r="H684" s="2">
        <f>Datos!M684</f>
        <v>70.900000000000006</v>
      </c>
      <c r="I684" s="2" t="b">
        <f t="shared" si="50"/>
        <v>1</v>
      </c>
      <c r="J684" s="2">
        <f t="shared" si="51"/>
        <v>70.900000000000006</v>
      </c>
      <c r="K684" s="2">
        <f t="shared" si="52"/>
        <v>2.7</v>
      </c>
      <c r="L684" s="2">
        <f t="shared" si="53"/>
        <v>88.3</v>
      </c>
      <c r="M684" s="2">
        <f t="shared" si="54"/>
        <v>83.6</v>
      </c>
    </row>
    <row r="685" spans="1:13" x14ac:dyDescent="0.3">
      <c r="A685" s="2">
        <f>Datos!A685</f>
        <v>495</v>
      </c>
      <c r="B685" s="2" t="str">
        <f>Datos!B685</f>
        <v>Female</v>
      </c>
      <c r="C685" s="2">
        <f>Datos!C685</f>
        <v>0</v>
      </c>
      <c r="D685" s="2" t="str">
        <f>Datos!G685</f>
        <v>B</v>
      </c>
      <c r="E685" s="2">
        <f>Datos!I685</f>
        <v>4.3</v>
      </c>
      <c r="F685" s="2">
        <f>Datos!J685</f>
        <v>66.599999999999994</v>
      </c>
      <c r="G685" s="2">
        <f>Datos!L685</f>
        <v>93.2</v>
      </c>
      <c r="H685" s="2">
        <f>Datos!M685</f>
        <v>86.9</v>
      </c>
      <c r="I685" s="2" t="b">
        <f t="shared" si="50"/>
        <v>1</v>
      </c>
      <c r="J685" s="2">
        <f t="shared" si="51"/>
        <v>86.9</v>
      </c>
      <c r="K685" s="2">
        <f t="shared" si="52"/>
        <v>4.3</v>
      </c>
      <c r="L685" s="2">
        <f t="shared" si="53"/>
        <v>93.2</v>
      </c>
      <c r="M685" s="2">
        <f t="shared" si="54"/>
        <v>66.599999999999994</v>
      </c>
    </row>
    <row r="686" spans="1:13" x14ac:dyDescent="0.3">
      <c r="A686" s="2">
        <f>Datos!A686</f>
        <v>357</v>
      </c>
      <c r="B686" s="2" t="str">
        <f>Datos!B686</f>
        <v>Female</v>
      </c>
      <c r="C686" s="2" t="str">
        <f>Datos!C686</f>
        <v>High School</v>
      </c>
      <c r="D686" s="2" t="str">
        <f>Datos!G686</f>
        <v>C</v>
      </c>
      <c r="E686" s="2">
        <f>Datos!I686</f>
        <v>5.0999999999999996</v>
      </c>
      <c r="F686" s="2">
        <f>Datos!J686</f>
        <v>82.2</v>
      </c>
      <c r="G686" s="2">
        <f>Datos!L686</f>
        <v>35.799999999999997</v>
      </c>
      <c r="H686" s="2">
        <f>Datos!M686</f>
        <v>74.2</v>
      </c>
      <c r="I686" s="2" t="b">
        <f t="shared" si="50"/>
        <v>1</v>
      </c>
      <c r="J686" s="2">
        <f t="shared" si="51"/>
        <v>74.2</v>
      </c>
      <c r="K686" s="2">
        <f t="shared" si="52"/>
        <v>5.0999999999999996</v>
      </c>
      <c r="L686" s="2">
        <f t="shared" si="53"/>
        <v>35.799999999999997</v>
      </c>
      <c r="M686" s="2">
        <f t="shared" si="54"/>
        <v>82.2</v>
      </c>
    </row>
    <row r="687" spans="1:13" x14ac:dyDescent="0.3">
      <c r="A687" s="2">
        <f>Datos!A687</f>
        <v>683</v>
      </c>
      <c r="B687" s="2" t="str">
        <f>Datos!B687</f>
        <v>Male</v>
      </c>
      <c r="C687" s="2">
        <f>Datos!C687</f>
        <v>0</v>
      </c>
      <c r="D687" s="2" t="str">
        <f>Datos!G687</f>
        <v>D</v>
      </c>
      <c r="E687" s="2">
        <f>Datos!I687</f>
        <v>3.4</v>
      </c>
      <c r="F687" s="2">
        <f>Datos!J687</f>
        <v>66.5</v>
      </c>
      <c r="G687" s="2">
        <f>Datos!L687</f>
        <v>55.5</v>
      </c>
      <c r="H687" s="2">
        <f>Datos!M687</f>
        <v>65.7</v>
      </c>
      <c r="I687" s="2" t="b">
        <f t="shared" si="50"/>
        <v>1</v>
      </c>
      <c r="J687" s="2">
        <f t="shared" si="51"/>
        <v>65.7</v>
      </c>
      <c r="K687" s="2">
        <f t="shared" si="52"/>
        <v>3.4</v>
      </c>
      <c r="L687" s="2">
        <f t="shared" si="53"/>
        <v>55.5</v>
      </c>
      <c r="M687" s="2">
        <f t="shared" si="54"/>
        <v>66.5</v>
      </c>
    </row>
    <row r="688" spans="1:13" x14ac:dyDescent="0.3">
      <c r="A688" s="2">
        <f>Datos!A688</f>
        <v>194</v>
      </c>
      <c r="B688" s="2" t="str">
        <f>Datos!B688</f>
        <v>Female</v>
      </c>
      <c r="C688" s="2" t="str">
        <f>Datos!C688</f>
        <v>High School</v>
      </c>
      <c r="D688" s="2" t="str">
        <f>Datos!G688</f>
        <v>C</v>
      </c>
      <c r="E688" s="2">
        <f>Datos!I688</f>
        <v>2</v>
      </c>
      <c r="F688" s="2">
        <f>Datos!J688</f>
        <v>66</v>
      </c>
      <c r="G688" s="2">
        <f>Datos!L688</f>
        <v>66.900000000000006</v>
      </c>
      <c r="H688" s="2">
        <f>Datos!M688</f>
        <v>77.900000000000006</v>
      </c>
      <c r="I688" s="2" t="b">
        <f t="shared" si="50"/>
        <v>1</v>
      </c>
      <c r="J688" s="2">
        <f t="shared" si="51"/>
        <v>77.900000000000006</v>
      </c>
      <c r="K688" s="2">
        <f t="shared" si="52"/>
        <v>2</v>
      </c>
      <c r="L688" s="2">
        <f t="shared" si="53"/>
        <v>66.900000000000006</v>
      </c>
      <c r="M688" s="2">
        <f t="shared" si="54"/>
        <v>66</v>
      </c>
    </row>
    <row r="689" spans="1:13" x14ac:dyDescent="0.3">
      <c r="A689" s="2">
        <f>Datos!A689</f>
        <v>253</v>
      </c>
      <c r="B689" s="2" t="str">
        <f>Datos!B689</f>
        <v>Female</v>
      </c>
      <c r="C689" s="2" t="str">
        <f>Datos!C689</f>
        <v>Masters</v>
      </c>
      <c r="D689" s="2" t="str">
        <f>Datos!G689</f>
        <v>A</v>
      </c>
      <c r="E689" s="2">
        <f>Datos!I689</f>
        <v>5.4</v>
      </c>
      <c r="F689" s="2">
        <f>Datos!J689</f>
        <v>94.5</v>
      </c>
      <c r="G689" s="2">
        <f>Datos!L689</f>
        <v>86.6</v>
      </c>
      <c r="H689" s="2">
        <f>Datos!M689</f>
        <v>96.5</v>
      </c>
      <c r="I689" s="2" t="b">
        <f t="shared" si="50"/>
        <v>1</v>
      </c>
      <c r="J689" s="2">
        <f t="shared" si="51"/>
        <v>96.5</v>
      </c>
      <c r="K689" s="2">
        <f t="shared" si="52"/>
        <v>5.4</v>
      </c>
      <c r="L689" s="2">
        <f t="shared" si="53"/>
        <v>86.6</v>
      </c>
      <c r="M689" s="2">
        <f t="shared" si="54"/>
        <v>94.5</v>
      </c>
    </row>
    <row r="690" spans="1:13" x14ac:dyDescent="0.3">
      <c r="A690" s="2">
        <f>Datos!A690</f>
        <v>451</v>
      </c>
      <c r="B690" s="2" t="str">
        <f>Datos!B690</f>
        <v>Male</v>
      </c>
      <c r="C690" s="2" t="str">
        <f>Datos!C690</f>
        <v>PhD</v>
      </c>
      <c r="D690" s="2" t="str">
        <f>Datos!G690</f>
        <v>A</v>
      </c>
      <c r="E690" s="2">
        <f>Datos!I690</f>
        <v>6.8</v>
      </c>
      <c r="F690" s="2">
        <f>Datos!J690</f>
        <v>89.6</v>
      </c>
      <c r="G690" s="2">
        <f>Datos!L690</f>
        <v>51.9</v>
      </c>
      <c r="H690" s="2">
        <f>Datos!M690</f>
        <v>91</v>
      </c>
      <c r="I690" s="2" t="b">
        <f t="shared" si="50"/>
        <v>1</v>
      </c>
      <c r="J690" s="2">
        <f t="shared" si="51"/>
        <v>91</v>
      </c>
      <c r="K690" s="2">
        <f t="shared" si="52"/>
        <v>6.8</v>
      </c>
      <c r="L690" s="2">
        <f t="shared" si="53"/>
        <v>51.9</v>
      </c>
      <c r="M690" s="2">
        <f t="shared" si="54"/>
        <v>89.6</v>
      </c>
    </row>
    <row r="691" spans="1:13" x14ac:dyDescent="0.3">
      <c r="A691" s="2">
        <f>Datos!A691</f>
        <v>775</v>
      </c>
      <c r="B691" s="2" t="str">
        <f>Datos!B691</f>
        <v>Male</v>
      </c>
      <c r="C691" s="2" t="str">
        <f>Datos!C691</f>
        <v>Masters</v>
      </c>
      <c r="D691" s="2" t="str">
        <f>Datos!G691</f>
        <v>D</v>
      </c>
      <c r="E691" s="2">
        <f>Datos!I691</f>
        <v>2.6</v>
      </c>
      <c r="F691" s="2">
        <f>Datos!J691</f>
        <v>87</v>
      </c>
      <c r="G691" s="2">
        <f>Datos!L691</f>
        <v>42.7</v>
      </c>
      <c r="H691" s="2">
        <f>Datos!M691</f>
        <v>63.2</v>
      </c>
      <c r="I691" s="2" t="b">
        <f t="shared" si="50"/>
        <v>1</v>
      </c>
      <c r="J691" s="2">
        <f t="shared" si="51"/>
        <v>63.2</v>
      </c>
      <c r="K691" s="2">
        <f t="shared" si="52"/>
        <v>2.6</v>
      </c>
      <c r="L691" s="2">
        <f t="shared" si="53"/>
        <v>42.7</v>
      </c>
      <c r="M691" s="2">
        <f t="shared" si="54"/>
        <v>87</v>
      </c>
    </row>
    <row r="692" spans="1:13" x14ac:dyDescent="0.3">
      <c r="A692" s="2">
        <f>Datos!A692</f>
        <v>587</v>
      </c>
      <c r="B692" s="2" t="str">
        <f>Datos!B692</f>
        <v>Female</v>
      </c>
      <c r="C692" s="2">
        <f>Datos!C692</f>
        <v>0</v>
      </c>
      <c r="D692" s="2" t="str">
        <f>Datos!G692</f>
        <v>A</v>
      </c>
      <c r="E692" s="2">
        <f>Datos!I692</f>
        <v>5.6</v>
      </c>
      <c r="F692" s="2">
        <f>Datos!J692</f>
        <v>84.4</v>
      </c>
      <c r="G692" s="2">
        <f>Datos!L692</f>
        <v>86.8</v>
      </c>
      <c r="H692" s="2">
        <f>Datos!M692</f>
        <v>92</v>
      </c>
      <c r="I692" s="2" t="b">
        <f t="shared" si="50"/>
        <v>1</v>
      </c>
      <c r="J692" s="2">
        <f t="shared" si="51"/>
        <v>92</v>
      </c>
      <c r="K692" s="2">
        <f t="shared" si="52"/>
        <v>5.6</v>
      </c>
      <c r="L692" s="2">
        <f t="shared" si="53"/>
        <v>86.8</v>
      </c>
      <c r="M692" s="2">
        <f t="shared" si="54"/>
        <v>84.4</v>
      </c>
    </row>
    <row r="693" spans="1:13" x14ac:dyDescent="0.3">
      <c r="A693" s="2">
        <f>Datos!A693</f>
        <v>245</v>
      </c>
      <c r="B693" s="2" t="str">
        <f>Datos!B693</f>
        <v>Male</v>
      </c>
      <c r="C693" s="2" t="str">
        <f>Datos!C693</f>
        <v>Masters</v>
      </c>
      <c r="D693" s="2" t="str">
        <f>Datos!G693</f>
        <v>C</v>
      </c>
      <c r="E693" s="2">
        <f>Datos!I693</f>
        <v>1.3</v>
      </c>
      <c r="F693" s="2">
        <f>Datos!J693</f>
        <v>97.8</v>
      </c>
      <c r="G693" s="2">
        <f>Datos!L693</f>
        <v>78.099999999999994</v>
      </c>
      <c r="H693" s="2">
        <f>Datos!M693</f>
        <v>70.2</v>
      </c>
      <c r="I693" s="2" t="b">
        <f t="shared" si="50"/>
        <v>1</v>
      </c>
      <c r="J693" s="2">
        <f t="shared" si="51"/>
        <v>70.2</v>
      </c>
      <c r="K693" s="2">
        <f t="shared" si="52"/>
        <v>1.3</v>
      </c>
      <c r="L693" s="2">
        <f t="shared" si="53"/>
        <v>78.099999999999994</v>
      </c>
      <c r="M693" s="2">
        <f t="shared" si="54"/>
        <v>97.8</v>
      </c>
    </row>
    <row r="694" spans="1:13" x14ac:dyDescent="0.3">
      <c r="A694" s="2">
        <f>Datos!A694</f>
        <v>824</v>
      </c>
      <c r="B694" s="2" t="str">
        <f>Datos!B694</f>
        <v>Male</v>
      </c>
      <c r="C694" s="2">
        <f>Datos!C694</f>
        <v>0</v>
      </c>
      <c r="D694" s="2" t="str">
        <f>Datos!G694</f>
        <v>B</v>
      </c>
      <c r="E694" s="2">
        <f>Datos!I694</f>
        <v>7</v>
      </c>
      <c r="F694" s="2">
        <f>Datos!J694</f>
        <v>70.7</v>
      </c>
      <c r="G694" s="2">
        <f>Datos!L694</f>
        <v>77.900000000000006</v>
      </c>
      <c r="H694" s="2">
        <f>Datos!M694</f>
        <v>89.8</v>
      </c>
      <c r="I694" s="2" t="b">
        <f t="shared" si="50"/>
        <v>1</v>
      </c>
      <c r="J694" s="2">
        <f t="shared" si="51"/>
        <v>89.8</v>
      </c>
      <c r="K694" s="2">
        <f t="shared" si="52"/>
        <v>7</v>
      </c>
      <c r="L694" s="2">
        <f t="shared" si="53"/>
        <v>77.900000000000006</v>
      </c>
      <c r="M694" s="2">
        <f t="shared" si="54"/>
        <v>70.7</v>
      </c>
    </row>
    <row r="695" spans="1:13" x14ac:dyDescent="0.3">
      <c r="A695" s="2">
        <f>Datos!A695</f>
        <v>308</v>
      </c>
      <c r="B695" s="2" t="str">
        <f>Datos!B695</f>
        <v>Female</v>
      </c>
      <c r="C695" s="2" t="str">
        <f>Datos!C695</f>
        <v>Bachelors</v>
      </c>
      <c r="D695" s="2" t="str">
        <f>Datos!G695</f>
        <v>C</v>
      </c>
      <c r="E695" s="2">
        <f>Datos!I695</f>
        <v>4.9000000000000004</v>
      </c>
      <c r="F695" s="2">
        <f>Datos!J695</f>
        <v>94.4</v>
      </c>
      <c r="G695" s="2">
        <f>Datos!L695</f>
        <v>37.9</v>
      </c>
      <c r="H695" s="2">
        <f>Datos!M695</f>
        <v>76.5</v>
      </c>
      <c r="I695" s="2" t="b">
        <f t="shared" si="50"/>
        <v>1</v>
      </c>
      <c r="J695" s="2">
        <f t="shared" si="51"/>
        <v>76.5</v>
      </c>
      <c r="K695" s="2">
        <f t="shared" si="52"/>
        <v>4.9000000000000004</v>
      </c>
      <c r="L695" s="2">
        <f t="shared" si="53"/>
        <v>37.9</v>
      </c>
      <c r="M695" s="2">
        <f t="shared" si="54"/>
        <v>94.4</v>
      </c>
    </row>
    <row r="696" spans="1:13" x14ac:dyDescent="0.3">
      <c r="A696" s="2">
        <f>Datos!A696</f>
        <v>141</v>
      </c>
      <c r="B696" s="2" t="str">
        <f>Datos!B696</f>
        <v>Male</v>
      </c>
      <c r="C696" s="2" t="str">
        <f>Datos!C696</f>
        <v>PhD</v>
      </c>
      <c r="D696" s="2" t="str">
        <f>Datos!G696</f>
        <v>B</v>
      </c>
      <c r="E696" s="2">
        <f>Datos!I696</f>
        <v>4.2</v>
      </c>
      <c r="F696" s="2">
        <f>Datos!J696</f>
        <v>93.2</v>
      </c>
      <c r="G696" s="2">
        <f>Datos!L696</f>
        <v>93.3</v>
      </c>
      <c r="H696" s="2">
        <f>Datos!M696</f>
        <v>85.2</v>
      </c>
      <c r="I696" s="2" t="b">
        <f t="shared" si="50"/>
        <v>1</v>
      </c>
      <c r="J696" s="2">
        <f t="shared" si="51"/>
        <v>85.2</v>
      </c>
      <c r="K696" s="2">
        <f t="shared" si="52"/>
        <v>4.2</v>
      </c>
      <c r="L696" s="2">
        <f t="shared" si="53"/>
        <v>93.3</v>
      </c>
      <c r="M696" s="2">
        <f t="shared" si="54"/>
        <v>93.2</v>
      </c>
    </row>
    <row r="697" spans="1:13" x14ac:dyDescent="0.3">
      <c r="A697" s="2">
        <f>Datos!A697</f>
        <v>690</v>
      </c>
      <c r="B697" s="2" t="str">
        <f>Datos!B697</f>
        <v>Male</v>
      </c>
      <c r="C697" s="2">
        <f>Datos!C697</f>
        <v>0</v>
      </c>
      <c r="D697" s="2" t="str">
        <f>Datos!G697</f>
        <v>C</v>
      </c>
      <c r="E697" s="2">
        <f>Datos!I697</f>
        <v>3.3</v>
      </c>
      <c r="F697" s="2">
        <f>Datos!J697</f>
        <v>80.599999999999994</v>
      </c>
      <c r="G697" s="2">
        <f>Datos!L697</f>
        <v>41.8</v>
      </c>
      <c r="H697" s="2">
        <f>Datos!M697</f>
        <v>72.2</v>
      </c>
      <c r="I697" s="2" t="b">
        <f t="shared" si="50"/>
        <v>1</v>
      </c>
      <c r="J697" s="2">
        <f t="shared" si="51"/>
        <v>72.2</v>
      </c>
      <c r="K697" s="2">
        <f t="shared" si="52"/>
        <v>3.3</v>
      </c>
      <c r="L697" s="2">
        <f t="shared" si="53"/>
        <v>41.8</v>
      </c>
      <c r="M697" s="2">
        <f t="shared" si="54"/>
        <v>80.599999999999994</v>
      </c>
    </row>
    <row r="698" spans="1:13" x14ac:dyDescent="0.3">
      <c r="A698" s="2">
        <f>Datos!A698</f>
        <v>42</v>
      </c>
      <c r="B698" s="2" t="str">
        <f>Datos!B698</f>
        <v>Female</v>
      </c>
      <c r="C698" s="2" t="str">
        <f>Datos!C698</f>
        <v>High School</v>
      </c>
      <c r="D698" s="2" t="str">
        <f>Datos!G698</f>
        <v>C</v>
      </c>
      <c r="E698" s="2">
        <f>Datos!I698</f>
        <v>2.9</v>
      </c>
      <c r="F698" s="2">
        <f>Datos!J698</f>
        <v>76</v>
      </c>
      <c r="G698" s="2">
        <f>Datos!L698</f>
        <v>58</v>
      </c>
      <c r="H698" s="2">
        <f>Datos!M698</f>
        <v>70.8</v>
      </c>
      <c r="I698" s="2" t="b">
        <f t="shared" si="50"/>
        <v>1</v>
      </c>
      <c r="J698" s="2">
        <f t="shared" si="51"/>
        <v>70.8</v>
      </c>
      <c r="K698" s="2">
        <f t="shared" si="52"/>
        <v>2.9</v>
      </c>
      <c r="L698" s="2">
        <f t="shared" si="53"/>
        <v>58</v>
      </c>
      <c r="M698" s="2">
        <f t="shared" si="54"/>
        <v>76</v>
      </c>
    </row>
    <row r="699" spans="1:13" x14ac:dyDescent="0.3">
      <c r="A699" s="2">
        <f>Datos!A699</f>
        <v>293</v>
      </c>
      <c r="B699" s="2" t="str">
        <f>Datos!B699</f>
        <v>Female</v>
      </c>
      <c r="C699" s="2" t="str">
        <f>Datos!C699</f>
        <v>Bachelors</v>
      </c>
      <c r="D699" s="2" t="str">
        <f>Datos!G699</f>
        <v>B</v>
      </c>
      <c r="E699" s="2">
        <f>Datos!I699</f>
        <v>6.3</v>
      </c>
      <c r="F699" s="2">
        <f>Datos!J699</f>
        <v>87.1</v>
      </c>
      <c r="G699" s="2">
        <f>Datos!L699</f>
        <v>84.4</v>
      </c>
      <c r="H699" s="2">
        <f>Datos!M699</f>
        <v>86.9</v>
      </c>
      <c r="I699" s="2" t="b">
        <f t="shared" si="50"/>
        <v>1</v>
      </c>
      <c r="J699" s="2">
        <f t="shared" si="51"/>
        <v>86.9</v>
      </c>
      <c r="K699" s="2">
        <f t="shared" si="52"/>
        <v>6.3</v>
      </c>
      <c r="L699" s="2">
        <f t="shared" si="53"/>
        <v>84.4</v>
      </c>
      <c r="M699" s="2">
        <f t="shared" si="54"/>
        <v>87.1</v>
      </c>
    </row>
    <row r="700" spans="1:13" x14ac:dyDescent="0.3">
      <c r="A700" s="2">
        <f>Datos!A700</f>
        <v>666</v>
      </c>
      <c r="B700" s="2" t="str">
        <f>Datos!B700</f>
        <v>Male</v>
      </c>
      <c r="C700" s="2" t="str">
        <f>Datos!C700</f>
        <v>PhD</v>
      </c>
      <c r="D700" s="2" t="str">
        <f>Datos!G700</f>
        <v>B</v>
      </c>
      <c r="E700" s="2">
        <f>Datos!I700</f>
        <v>3.5</v>
      </c>
      <c r="F700" s="2">
        <f>Datos!J700</f>
        <v>69.2</v>
      </c>
      <c r="G700" s="2">
        <f>Datos!L700</f>
        <v>74.3</v>
      </c>
      <c r="H700" s="2">
        <f>Datos!M700</f>
        <v>80.599999999999994</v>
      </c>
      <c r="I700" s="2" t="b">
        <f t="shared" si="50"/>
        <v>1</v>
      </c>
      <c r="J700" s="2">
        <f t="shared" si="51"/>
        <v>80.599999999999994</v>
      </c>
      <c r="K700" s="2">
        <f t="shared" si="52"/>
        <v>3.5</v>
      </c>
      <c r="L700" s="2">
        <f t="shared" si="53"/>
        <v>74.3</v>
      </c>
      <c r="M700" s="2">
        <f t="shared" si="54"/>
        <v>69.2</v>
      </c>
    </row>
    <row r="701" spans="1:13" x14ac:dyDescent="0.3">
      <c r="A701" s="2">
        <f>Datos!A701</f>
        <v>762</v>
      </c>
      <c r="B701" s="2" t="str">
        <f>Datos!B701</f>
        <v>Male</v>
      </c>
      <c r="C701" s="2" t="str">
        <f>Datos!C701</f>
        <v>Bachelors</v>
      </c>
      <c r="D701" s="2" t="str">
        <f>Datos!G701</f>
        <v>F</v>
      </c>
      <c r="E701" s="2">
        <f>Datos!I701</f>
        <v>0.8</v>
      </c>
      <c r="F701" s="2">
        <f>Datos!J701</f>
        <v>87.7</v>
      </c>
      <c r="G701" s="2">
        <f>Datos!L701</f>
        <v>56</v>
      </c>
      <c r="H701" s="2">
        <f>Datos!M701</f>
        <v>52.6</v>
      </c>
      <c r="I701" s="2" t="b">
        <f t="shared" si="50"/>
        <v>1</v>
      </c>
      <c r="J701" s="2">
        <f t="shared" si="51"/>
        <v>52.6</v>
      </c>
      <c r="K701" s="2">
        <f t="shared" si="52"/>
        <v>0.8</v>
      </c>
      <c r="L701" s="2">
        <f t="shared" si="53"/>
        <v>56</v>
      </c>
      <c r="M701" s="2">
        <f t="shared" si="54"/>
        <v>87.7</v>
      </c>
    </row>
    <row r="702" spans="1:13" x14ac:dyDescent="0.3">
      <c r="A702" s="2">
        <f>Datos!A702</f>
        <v>687</v>
      </c>
      <c r="B702" s="2" t="str">
        <f>Datos!B702</f>
        <v>Male</v>
      </c>
      <c r="C702" s="2">
        <f>Datos!C702</f>
        <v>0</v>
      </c>
      <c r="D702" s="2" t="str">
        <f>Datos!G702</f>
        <v>C</v>
      </c>
      <c r="E702" s="2">
        <f>Datos!I702</f>
        <v>1.8</v>
      </c>
      <c r="F702" s="2">
        <f>Datos!J702</f>
        <v>82</v>
      </c>
      <c r="G702" s="2">
        <f>Datos!L702</f>
        <v>62.6</v>
      </c>
      <c r="H702" s="2">
        <f>Datos!M702</f>
        <v>70.8</v>
      </c>
      <c r="I702" s="2" t="b">
        <f t="shared" si="50"/>
        <v>1</v>
      </c>
      <c r="J702" s="2">
        <f t="shared" si="51"/>
        <v>70.8</v>
      </c>
      <c r="K702" s="2">
        <f t="shared" si="52"/>
        <v>1.8</v>
      </c>
      <c r="L702" s="2">
        <f t="shared" si="53"/>
        <v>62.6</v>
      </c>
      <c r="M702" s="2">
        <f t="shared" si="54"/>
        <v>82</v>
      </c>
    </row>
    <row r="703" spans="1:13" x14ac:dyDescent="0.3">
      <c r="A703" s="2">
        <f>Datos!A703</f>
        <v>262</v>
      </c>
      <c r="B703" s="2" t="str">
        <f>Datos!B703</f>
        <v>Female</v>
      </c>
      <c r="C703" s="2" t="str">
        <f>Datos!C703</f>
        <v>High School</v>
      </c>
      <c r="D703" s="2" t="str">
        <f>Datos!G703</f>
        <v>C</v>
      </c>
      <c r="E703" s="2">
        <f>Datos!I703</f>
        <v>4.0999999999999996</v>
      </c>
      <c r="F703" s="2">
        <f>Datos!J703</f>
        <v>79.900000000000006</v>
      </c>
      <c r="G703" s="2">
        <f>Datos!L703</f>
        <v>66.75</v>
      </c>
      <c r="H703" s="2">
        <f>Datos!M703</f>
        <v>74.8</v>
      </c>
      <c r="I703" s="2" t="b">
        <f t="shared" si="50"/>
        <v>1</v>
      </c>
      <c r="J703" s="2">
        <f t="shared" si="51"/>
        <v>74.8</v>
      </c>
      <c r="K703" s="2">
        <f t="shared" si="52"/>
        <v>4.0999999999999996</v>
      </c>
      <c r="L703" s="2">
        <f t="shared" si="53"/>
        <v>66.75</v>
      </c>
      <c r="M703" s="2">
        <f t="shared" si="54"/>
        <v>79.900000000000006</v>
      </c>
    </row>
    <row r="704" spans="1:13" x14ac:dyDescent="0.3">
      <c r="A704" s="2">
        <f>Datos!A704</f>
        <v>116</v>
      </c>
      <c r="B704" s="2" t="str">
        <f>Datos!B704</f>
        <v>Male</v>
      </c>
      <c r="C704" s="2" t="str">
        <f>Datos!C704</f>
        <v>Bachelors</v>
      </c>
      <c r="D704" s="2" t="str">
        <f>Datos!G704</f>
        <v>D</v>
      </c>
      <c r="E704" s="2">
        <f>Datos!I704</f>
        <v>1.3</v>
      </c>
      <c r="F704" s="2">
        <f>Datos!J704</f>
        <v>68.2</v>
      </c>
      <c r="G704" s="2">
        <f>Datos!L704</f>
        <v>54.6</v>
      </c>
      <c r="H704" s="2">
        <f>Datos!M704</f>
        <v>65.3</v>
      </c>
      <c r="I704" s="2" t="b">
        <f t="shared" si="50"/>
        <v>1</v>
      </c>
      <c r="J704" s="2">
        <f t="shared" si="51"/>
        <v>65.3</v>
      </c>
      <c r="K704" s="2">
        <f t="shared" si="52"/>
        <v>1.3</v>
      </c>
      <c r="L704" s="2">
        <f t="shared" si="53"/>
        <v>54.6</v>
      </c>
      <c r="M704" s="2">
        <f t="shared" si="54"/>
        <v>68.2</v>
      </c>
    </row>
    <row r="705" spans="1:13" x14ac:dyDescent="0.3">
      <c r="A705" s="2">
        <f>Datos!A705</f>
        <v>627</v>
      </c>
      <c r="B705" s="2" t="str">
        <f>Datos!B705</f>
        <v>Female</v>
      </c>
      <c r="C705" s="2" t="str">
        <f>Datos!C705</f>
        <v>Bachelors</v>
      </c>
      <c r="D705" s="2" t="str">
        <f>Datos!G705</f>
        <v>F</v>
      </c>
      <c r="E705" s="2">
        <f>Datos!I705</f>
        <v>1</v>
      </c>
      <c r="F705" s="2">
        <f>Datos!J705</f>
        <v>80.2</v>
      </c>
      <c r="G705" s="2">
        <f>Datos!L705</f>
        <v>56.6</v>
      </c>
      <c r="H705" s="2">
        <f>Datos!M705</f>
        <v>58.2</v>
      </c>
      <c r="I705" s="2" t="b">
        <f t="shared" si="50"/>
        <v>1</v>
      </c>
      <c r="J705" s="2">
        <f t="shared" si="51"/>
        <v>58.2</v>
      </c>
      <c r="K705" s="2">
        <f t="shared" si="52"/>
        <v>1</v>
      </c>
      <c r="L705" s="2">
        <f t="shared" si="53"/>
        <v>56.6</v>
      </c>
      <c r="M705" s="2">
        <f t="shared" si="54"/>
        <v>80.2</v>
      </c>
    </row>
    <row r="706" spans="1:13" x14ac:dyDescent="0.3">
      <c r="A706" s="2">
        <f>Datos!A706</f>
        <v>794</v>
      </c>
      <c r="B706" s="2" t="str">
        <f>Datos!B706</f>
        <v>Male</v>
      </c>
      <c r="C706" s="2" t="str">
        <f>Datos!C706</f>
        <v>Masters</v>
      </c>
      <c r="D706" s="2" t="str">
        <f>Datos!G706</f>
        <v>C</v>
      </c>
      <c r="E706" s="2">
        <f>Datos!I706</f>
        <v>6.1</v>
      </c>
      <c r="F706" s="2">
        <f>Datos!J706</f>
        <v>98.4</v>
      </c>
      <c r="G706" s="2">
        <f>Datos!L706</f>
        <v>69.2</v>
      </c>
      <c r="H706" s="2">
        <f>Datos!M706</f>
        <v>79.599999999999994</v>
      </c>
      <c r="I706" s="2" t="b">
        <f t="shared" ref="I706:I769" si="55">AND(E706&gt;=0,E706&lt;=12,F706&gt;=0,F706&lt;=100,G706&gt;=0,G706&lt;=100,H706&gt;=0,H706&lt;=100)</f>
        <v>1</v>
      </c>
      <c r="J706" s="2">
        <f t="shared" ref="J706:J769" si="56">IF(I706,H706,"")</f>
        <v>79.599999999999994</v>
      </c>
      <c r="K706" s="2">
        <f t="shared" ref="K706:K769" si="57">IF(I706,E706,"")</f>
        <v>6.1</v>
      </c>
      <c r="L706" s="2">
        <f t="shared" ref="L706:L769" si="58">IF(I706,G706,"")</f>
        <v>69.2</v>
      </c>
      <c r="M706" s="2">
        <f t="shared" ref="M706:M769" si="59">IF(I706,F706,"")</f>
        <v>98.4</v>
      </c>
    </row>
    <row r="707" spans="1:13" x14ac:dyDescent="0.3">
      <c r="A707" s="2">
        <f>Datos!A707</f>
        <v>728</v>
      </c>
      <c r="B707" s="2" t="str">
        <f>Datos!B707</f>
        <v>Male</v>
      </c>
      <c r="C707" s="2" t="str">
        <f>Datos!C707</f>
        <v>Bachelors</v>
      </c>
      <c r="D707" s="2" t="str">
        <f>Datos!G707</f>
        <v>D</v>
      </c>
      <c r="E707" s="2">
        <f>Datos!I707</f>
        <v>2.8</v>
      </c>
      <c r="F707" s="2">
        <f>Datos!J707</f>
        <v>69.099999999999994</v>
      </c>
      <c r="G707" s="2">
        <f>Datos!L707</f>
        <v>65.099999999999994</v>
      </c>
      <c r="H707" s="2">
        <f>Datos!M707</f>
        <v>61.8</v>
      </c>
      <c r="I707" s="2" t="b">
        <f t="shared" si="55"/>
        <v>1</v>
      </c>
      <c r="J707" s="2">
        <f t="shared" si="56"/>
        <v>61.8</v>
      </c>
      <c r="K707" s="2">
        <f t="shared" si="57"/>
        <v>2.8</v>
      </c>
      <c r="L707" s="2">
        <f t="shared" si="58"/>
        <v>65.099999999999994</v>
      </c>
      <c r="M707" s="2">
        <f t="shared" si="59"/>
        <v>69.099999999999994</v>
      </c>
    </row>
    <row r="708" spans="1:13" x14ac:dyDescent="0.3">
      <c r="A708" s="2">
        <f>Datos!A708</f>
        <v>665</v>
      </c>
      <c r="B708" s="2" t="str">
        <f>Datos!B708</f>
        <v>Female</v>
      </c>
      <c r="C708" s="2">
        <f>Datos!C708</f>
        <v>0</v>
      </c>
      <c r="D708" s="2" t="str">
        <f>Datos!G708</f>
        <v>A</v>
      </c>
      <c r="E708" s="2">
        <f>Datos!I708</f>
        <v>5</v>
      </c>
      <c r="F708" s="2">
        <f>Datos!J708</f>
        <v>98.7</v>
      </c>
      <c r="G708" s="2">
        <f>Datos!L708</f>
        <v>84</v>
      </c>
      <c r="H708" s="2">
        <f>Datos!M708</f>
        <v>100</v>
      </c>
      <c r="I708" s="2" t="b">
        <f t="shared" si="55"/>
        <v>1</v>
      </c>
      <c r="J708" s="2">
        <f t="shared" si="56"/>
        <v>100</v>
      </c>
      <c r="K708" s="2">
        <f t="shared" si="57"/>
        <v>5</v>
      </c>
      <c r="L708" s="2">
        <f t="shared" si="58"/>
        <v>84</v>
      </c>
      <c r="M708" s="2">
        <f t="shared" si="59"/>
        <v>98.7</v>
      </c>
    </row>
    <row r="709" spans="1:13" x14ac:dyDescent="0.3">
      <c r="A709" s="2">
        <f>Datos!A709</f>
        <v>407</v>
      </c>
      <c r="B709" s="2" t="str">
        <f>Datos!B709</f>
        <v>Male</v>
      </c>
      <c r="C709" s="2" t="str">
        <f>Datos!C709</f>
        <v>PhD</v>
      </c>
      <c r="D709" s="2" t="str">
        <f>Datos!G709</f>
        <v>B</v>
      </c>
      <c r="E709" s="2">
        <f>Datos!I709</f>
        <v>4.9000000000000004</v>
      </c>
      <c r="F709" s="2">
        <f>Datos!J709</f>
        <v>73.400000000000006</v>
      </c>
      <c r="G709" s="2">
        <f>Datos!L709</f>
        <v>69.5</v>
      </c>
      <c r="H709" s="2">
        <f>Datos!M709</f>
        <v>89.1</v>
      </c>
      <c r="I709" s="2" t="b">
        <f t="shared" si="55"/>
        <v>1</v>
      </c>
      <c r="J709" s="2">
        <f t="shared" si="56"/>
        <v>89.1</v>
      </c>
      <c r="K709" s="2">
        <f t="shared" si="57"/>
        <v>4.9000000000000004</v>
      </c>
      <c r="L709" s="2">
        <f t="shared" si="58"/>
        <v>69.5</v>
      </c>
      <c r="M709" s="2">
        <f t="shared" si="59"/>
        <v>73.400000000000006</v>
      </c>
    </row>
    <row r="710" spans="1:13" x14ac:dyDescent="0.3">
      <c r="A710" s="2">
        <f>Datos!A710</f>
        <v>508</v>
      </c>
      <c r="B710" s="2" t="str">
        <f>Datos!B710</f>
        <v>Female</v>
      </c>
      <c r="C710" s="2" t="str">
        <f>Datos!C710</f>
        <v>High School</v>
      </c>
      <c r="D710" s="2" t="str">
        <f>Datos!G710</f>
        <v>B</v>
      </c>
      <c r="E710" s="2">
        <f>Datos!I710</f>
        <v>6</v>
      </c>
      <c r="F710" s="2">
        <f>Datos!J710</f>
        <v>71.7</v>
      </c>
      <c r="G710" s="2">
        <f>Datos!L710</f>
        <v>75.7</v>
      </c>
      <c r="H710" s="2">
        <f>Datos!M710</f>
        <v>73</v>
      </c>
      <c r="I710" s="2" t="b">
        <f t="shared" si="55"/>
        <v>1</v>
      </c>
      <c r="J710" s="2">
        <f t="shared" si="56"/>
        <v>73</v>
      </c>
      <c r="K710" s="2">
        <f t="shared" si="57"/>
        <v>6</v>
      </c>
      <c r="L710" s="2">
        <f t="shared" si="58"/>
        <v>75.7</v>
      </c>
      <c r="M710" s="2">
        <f t="shared" si="59"/>
        <v>71.7</v>
      </c>
    </row>
    <row r="711" spans="1:13" x14ac:dyDescent="0.3">
      <c r="A711" s="2">
        <f>Datos!A711</f>
        <v>301</v>
      </c>
      <c r="B711" s="2" t="str">
        <f>Datos!B711</f>
        <v>Female</v>
      </c>
      <c r="C711" s="2" t="str">
        <f>Datos!C711</f>
        <v>PhD</v>
      </c>
      <c r="D711" s="2" t="str">
        <f>Datos!G711</f>
        <v>B</v>
      </c>
      <c r="E711" s="2">
        <f>Datos!I711</f>
        <v>5.0999999999999996</v>
      </c>
      <c r="F711" s="2">
        <f>Datos!J711</f>
        <v>81.400000000000006</v>
      </c>
      <c r="G711" s="2">
        <f>Datos!L711</f>
        <v>93.3</v>
      </c>
      <c r="H711" s="2">
        <f>Datos!M711</f>
        <v>86.6</v>
      </c>
      <c r="I711" s="2" t="b">
        <f t="shared" si="55"/>
        <v>1</v>
      </c>
      <c r="J711" s="2">
        <f t="shared" si="56"/>
        <v>86.6</v>
      </c>
      <c r="K711" s="2">
        <f t="shared" si="57"/>
        <v>5.0999999999999996</v>
      </c>
      <c r="L711" s="2">
        <f t="shared" si="58"/>
        <v>93.3</v>
      </c>
      <c r="M711" s="2">
        <f t="shared" si="59"/>
        <v>81.400000000000006</v>
      </c>
    </row>
    <row r="712" spans="1:13" x14ac:dyDescent="0.3">
      <c r="A712" s="2">
        <f>Datos!A712</f>
        <v>281</v>
      </c>
      <c r="B712" s="2" t="str">
        <f>Datos!B712</f>
        <v>Female</v>
      </c>
      <c r="C712" s="2" t="str">
        <f>Datos!C712</f>
        <v>Masters</v>
      </c>
      <c r="D712" s="2" t="str">
        <f>Datos!G712</f>
        <v>A</v>
      </c>
      <c r="E712" s="2">
        <f>Datos!I712</f>
        <v>6.4</v>
      </c>
      <c r="F712" s="2">
        <f>Datos!J712</f>
        <v>82.2</v>
      </c>
      <c r="G712" s="2">
        <f>Datos!L712</f>
        <v>72.2</v>
      </c>
      <c r="H712" s="2">
        <f>Datos!M712</f>
        <v>90.1</v>
      </c>
      <c r="I712" s="2" t="b">
        <f t="shared" si="55"/>
        <v>1</v>
      </c>
      <c r="J712" s="2">
        <f t="shared" si="56"/>
        <v>90.1</v>
      </c>
      <c r="K712" s="2">
        <f t="shared" si="57"/>
        <v>6.4</v>
      </c>
      <c r="L712" s="2">
        <f t="shared" si="58"/>
        <v>72.2</v>
      </c>
      <c r="M712" s="2">
        <f t="shared" si="59"/>
        <v>82.2</v>
      </c>
    </row>
    <row r="713" spans="1:13" x14ac:dyDescent="0.3">
      <c r="A713" s="2">
        <f>Datos!A713</f>
        <v>17</v>
      </c>
      <c r="B713" s="2" t="str">
        <f>Datos!B713</f>
        <v>Female</v>
      </c>
      <c r="C713" s="2" t="str">
        <f>Datos!C713</f>
        <v>Bachelors</v>
      </c>
      <c r="D713" s="2" t="str">
        <f>Datos!G713</f>
        <v>C</v>
      </c>
      <c r="E713" s="2">
        <f>Datos!I713</f>
        <v>2.2000000000000002</v>
      </c>
      <c r="F713" s="2">
        <f>Datos!J713</f>
        <v>76.599999999999994</v>
      </c>
      <c r="G713" s="2">
        <f>Datos!L713</f>
        <v>88.8</v>
      </c>
      <c r="H713" s="2">
        <f>Datos!M713</f>
        <v>72.400000000000006</v>
      </c>
      <c r="I713" s="2" t="b">
        <f t="shared" si="55"/>
        <v>1</v>
      </c>
      <c r="J713" s="2">
        <f t="shared" si="56"/>
        <v>72.400000000000006</v>
      </c>
      <c r="K713" s="2">
        <f t="shared" si="57"/>
        <v>2.2000000000000002</v>
      </c>
      <c r="L713" s="2">
        <f t="shared" si="58"/>
        <v>88.8</v>
      </c>
      <c r="M713" s="2">
        <f t="shared" si="59"/>
        <v>76.599999999999994</v>
      </c>
    </row>
    <row r="714" spans="1:13" x14ac:dyDescent="0.3">
      <c r="A714" s="2">
        <f>Datos!A714</f>
        <v>334</v>
      </c>
      <c r="B714" s="2" t="str">
        <f>Datos!B714</f>
        <v>Female</v>
      </c>
      <c r="C714" s="2" t="str">
        <f>Datos!C714</f>
        <v>Bachelors</v>
      </c>
      <c r="D714" s="2" t="str">
        <f>Datos!G714</f>
        <v>F</v>
      </c>
      <c r="E714" s="2">
        <f>Datos!I714</f>
        <v>2.1</v>
      </c>
      <c r="F714" s="2">
        <f>Datos!J714</f>
        <v>91.1</v>
      </c>
      <c r="G714" s="2">
        <f>Datos!L714</f>
        <v>39.799999999999997</v>
      </c>
      <c r="H714" s="2">
        <f>Datos!M714</f>
        <v>55.1</v>
      </c>
      <c r="I714" s="2" t="b">
        <f t="shared" si="55"/>
        <v>1</v>
      </c>
      <c r="J714" s="2">
        <f t="shared" si="56"/>
        <v>55.1</v>
      </c>
      <c r="K714" s="2">
        <f t="shared" si="57"/>
        <v>2.1</v>
      </c>
      <c r="L714" s="2">
        <f t="shared" si="58"/>
        <v>39.799999999999997</v>
      </c>
      <c r="M714" s="2">
        <f t="shared" si="59"/>
        <v>91.1</v>
      </c>
    </row>
    <row r="715" spans="1:13" x14ac:dyDescent="0.3">
      <c r="A715" s="2">
        <f>Datos!A715</f>
        <v>790</v>
      </c>
      <c r="B715" s="2" t="str">
        <f>Datos!B715</f>
        <v>Male</v>
      </c>
      <c r="C715" s="2" t="str">
        <f>Datos!C715</f>
        <v>High School</v>
      </c>
      <c r="D715" s="2" t="str">
        <f>Datos!G715</f>
        <v>C</v>
      </c>
      <c r="E715" s="2">
        <f>Datos!I715</f>
        <v>3.1</v>
      </c>
      <c r="F715" s="2">
        <f>Datos!J715</f>
        <v>65.2</v>
      </c>
      <c r="G715" s="2">
        <f>Datos!L715</f>
        <v>54</v>
      </c>
      <c r="H715" s="2">
        <f>Datos!M715</f>
        <v>77</v>
      </c>
      <c r="I715" s="2" t="b">
        <f t="shared" si="55"/>
        <v>1</v>
      </c>
      <c r="J715" s="2">
        <f t="shared" si="56"/>
        <v>77</v>
      </c>
      <c r="K715" s="2">
        <f t="shared" si="57"/>
        <v>3.1</v>
      </c>
      <c r="L715" s="2">
        <f t="shared" si="58"/>
        <v>54</v>
      </c>
      <c r="M715" s="2">
        <f t="shared" si="59"/>
        <v>65.2</v>
      </c>
    </row>
    <row r="716" spans="1:13" x14ac:dyDescent="0.3">
      <c r="A716" s="2">
        <f>Datos!A716</f>
        <v>744</v>
      </c>
      <c r="B716" s="2" t="str">
        <f>Datos!B716</f>
        <v>Male</v>
      </c>
      <c r="C716" s="2" t="str">
        <f>Datos!C716</f>
        <v>Bachelors</v>
      </c>
      <c r="D716" s="2" t="str">
        <f>Datos!G716</f>
        <v>C</v>
      </c>
      <c r="E716" s="2">
        <f>Datos!I716</f>
        <v>3.7</v>
      </c>
      <c r="F716" s="2">
        <f>Datos!J716</f>
        <v>70.8</v>
      </c>
      <c r="G716" s="2">
        <f>Datos!L716</f>
        <v>86.4</v>
      </c>
      <c r="H716" s="2">
        <f>Datos!M716</f>
        <v>75.400000000000006</v>
      </c>
      <c r="I716" s="2" t="b">
        <f t="shared" si="55"/>
        <v>1</v>
      </c>
      <c r="J716" s="2">
        <f t="shared" si="56"/>
        <v>75.400000000000006</v>
      </c>
      <c r="K716" s="2">
        <f t="shared" si="57"/>
        <v>3.7</v>
      </c>
      <c r="L716" s="2">
        <f t="shared" si="58"/>
        <v>86.4</v>
      </c>
      <c r="M716" s="2">
        <f t="shared" si="59"/>
        <v>70.8</v>
      </c>
    </row>
    <row r="717" spans="1:13" x14ac:dyDescent="0.3">
      <c r="A717" s="2">
        <f>Datos!A717</f>
        <v>367</v>
      </c>
      <c r="B717" s="2" t="str">
        <f>Datos!B717</f>
        <v>Male</v>
      </c>
      <c r="C717" s="2" t="str">
        <f>Datos!C717</f>
        <v>PhD</v>
      </c>
      <c r="D717" s="2" t="str">
        <f>Datos!G717</f>
        <v>C</v>
      </c>
      <c r="E717" s="2">
        <f>Datos!I717</f>
        <v>2.6</v>
      </c>
      <c r="F717" s="2">
        <f>Datos!J717</f>
        <v>74</v>
      </c>
      <c r="G717" s="2">
        <f>Datos!L717</f>
        <v>36.5</v>
      </c>
      <c r="H717" s="2">
        <f>Datos!M717</f>
        <v>70</v>
      </c>
      <c r="I717" s="2" t="b">
        <f t="shared" si="55"/>
        <v>1</v>
      </c>
      <c r="J717" s="2">
        <f t="shared" si="56"/>
        <v>70</v>
      </c>
      <c r="K717" s="2">
        <f t="shared" si="57"/>
        <v>2.6</v>
      </c>
      <c r="L717" s="2">
        <f t="shared" si="58"/>
        <v>36.5</v>
      </c>
      <c r="M717" s="2">
        <f t="shared" si="59"/>
        <v>74</v>
      </c>
    </row>
    <row r="718" spans="1:13" x14ac:dyDescent="0.3">
      <c r="A718" s="2">
        <f>Datos!A718</f>
        <v>179</v>
      </c>
      <c r="B718" s="2" t="str">
        <f>Datos!B718</f>
        <v>Female</v>
      </c>
      <c r="C718" s="2" t="str">
        <f>Datos!C718</f>
        <v>Bachelors</v>
      </c>
      <c r="D718" s="2" t="str">
        <f>Datos!G718</f>
        <v>B</v>
      </c>
      <c r="E718" s="2">
        <f>Datos!I718</f>
        <v>6.8</v>
      </c>
      <c r="F718" s="2">
        <f>Datos!J718</f>
        <v>82.2</v>
      </c>
      <c r="G718" s="2">
        <f>Datos!L718</f>
        <v>81.3</v>
      </c>
      <c r="H718" s="2">
        <f>Datos!M718</f>
        <v>89.8</v>
      </c>
      <c r="I718" s="2" t="b">
        <f t="shared" si="55"/>
        <v>1</v>
      </c>
      <c r="J718" s="2">
        <f t="shared" si="56"/>
        <v>89.8</v>
      </c>
      <c r="K718" s="2">
        <f t="shared" si="57"/>
        <v>6.8</v>
      </c>
      <c r="L718" s="2">
        <f t="shared" si="58"/>
        <v>81.3</v>
      </c>
      <c r="M718" s="2">
        <f t="shared" si="59"/>
        <v>82.2</v>
      </c>
    </row>
    <row r="719" spans="1:13" x14ac:dyDescent="0.3">
      <c r="A719" s="2">
        <f>Datos!A719</f>
        <v>98</v>
      </c>
      <c r="B719" s="2" t="str">
        <f>Datos!B719</f>
        <v>Female</v>
      </c>
      <c r="C719" s="2" t="str">
        <f>Datos!C719</f>
        <v>High School</v>
      </c>
      <c r="D719" s="2" t="str">
        <f>Datos!G719</f>
        <v>C</v>
      </c>
      <c r="E719" s="2">
        <f>Datos!I719</f>
        <v>2.6</v>
      </c>
      <c r="F719" s="2">
        <f>Datos!J719</f>
        <v>86.3</v>
      </c>
      <c r="G719" s="2">
        <f>Datos!L719</f>
        <v>63.1</v>
      </c>
      <c r="H719" s="2">
        <f>Datos!M719</f>
        <v>74.599999999999994</v>
      </c>
      <c r="I719" s="2" t="b">
        <f t="shared" si="55"/>
        <v>1</v>
      </c>
      <c r="J719" s="2">
        <f t="shared" si="56"/>
        <v>74.599999999999994</v>
      </c>
      <c r="K719" s="2">
        <f t="shared" si="57"/>
        <v>2.6</v>
      </c>
      <c r="L719" s="2">
        <f t="shared" si="58"/>
        <v>63.1</v>
      </c>
      <c r="M719" s="2">
        <f t="shared" si="59"/>
        <v>86.3</v>
      </c>
    </row>
    <row r="720" spans="1:13" x14ac:dyDescent="0.3">
      <c r="A720" s="2">
        <f>Datos!A720</f>
        <v>572</v>
      </c>
      <c r="B720" s="2" t="str">
        <f>Datos!B720</f>
        <v>Male</v>
      </c>
      <c r="C720" s="2" t="str">
        <f>Datos!C720</f>
        <v>Masters</v>
      </c>
      <c r="D720" s="2" t="str">
        <f>Datos!G720</f>
        <v>D</v>
      </c>
      <c r="E720" s="2">
        <f>Datos!I720</f>
        <v>1.1000000000000001</v>
      </c>
      <c r="F720" s="2">
        <f>Datos!J720</f>
        <v>81.599999999999994</v>
      </c>
      <c r="G720" s="2">
        <f>Datos!L720</f>
        <v>70.400000000000006</v>
      </c>
      <c r="H720" s="2">
        <f>Datos!M720</f>
        <v>64.5</v>
      </c>
      <c r="I720" s="2" t="b">
        <f t="shared" si="55"/>
        <v>1</v>
      </c>
      <c r="J720" s="2">
        <f t="shared" si="56"/>
        <v>64.5</v>
      </c>
      <c r="K720" s="2">
        <f t="shared" si="57"/>
        <v>1.1000000000000001</v>
      </c>
      <c r="L720" s="2">
        <f t="shared" si="58"/>
        <v>70.400000000000006</v>
      </c>
      <c r="M720" s="2">
        <f t="shared" si="59"/>
        <v>81.599999999999994</v>
      </c>
    </row>
    <row r="721" spans="1:13" x14ac:dyDescent="0.3">
      <c r="A721" s="2">
        <f>Datos!A721</f>
        <v>575</v>
      </c>
      <c r="B721" s="2" t="str">
        <f>Datos!B721</f>
        <v>Female</v>
      </c>
      <c r="C721" s="2">
        <f>Datos!C721</f>
        <v>0</v>
      </c>
      <c r="D721" s="2" t="str">
        <f>Datos!G721</f>
        <v>D</v>
      </c>
      <c r="E721" s="2">
        <f>Datos!I721</f>
        <v>3.8</v>
      </c>
      <c r="F721" s="2">
        <f>Datos!J721</f>
        <v>83.5</v>
      </c>
      <c r="G721" s="2">
        <f>Datos!L721</f>
        <v>38.299999999999997</v>
      </c>
      <c r="H721" s="2">
        <f>Datos!M721</f>
        <v>60.1</v>
      </c>
      <c r="I721" s="2" t="b">
        <f t="shared" si="55"/>
        <v>1</v>
      </c>
      <c r="J721" s="2">
        <f t="shared" si="56"/>
        <v>60.1</v>
      </c>
      <c r="K721" s="2">
        <f t="shared" si="57"/>
        <v>3.8</v>
      </c>
      <c r="L721" s="2">
        <f t="shared" si="58"/>
        <v>38.299999999999997</v>
      </c>
      <c r="M721" s="2">
        <f t="shared" si="59"/>
        <v>83.5</v>
      </c>
    </row>
    <row r="722" spans="1:13" x14ac:dyDescent="0.3">
      <c r="A722" s="2">
        <f>Datos!A722</f>
        <v>667</v>
      </c>
      <c r="B722" s="2" t="str">
        <f>Datos!B722</f>
        <v>Male</v>
      </c>
      <c r="C722" s="2" t="str">
        <f>Datos!C722</f>
        <v>Masters</v>
      </c>
      <c r="D722" s="2" t="str">
        <f>Datos!G722</f>
        <v>C</v>
      </c>
      <c r="E722" s="2">
        <f>Datos!I722</f>
        <v>6.1</v>
      </c>
      <c r="F722" s="2">
        <f>Datos!J722</f>
        <v>83.5</v>
      </c>
      <c r="G722" s="2">
        <f>Datos!L722</f>
        <v>38.5</v>
      </c>
      <c r="H722" s="2">
        <f>Datos!M722</f>
        <v>74.099999999999994</v>
      </c>
      <c r="I722" s="2" t="b">
        <f t="shared" si="55"/>
        <v>1</v>
      </c>
      <c r="J722" s="2">
        <f t="shared" si="56"/>
        <v>74.099999999999994</v>
      </c>
      <c r="K722" s="2">
        <f t="shared" si="57"/>
        <v>6.1</v>
      </c>
      <c r="L722" s="2">
        <f t="shared" si="58"/>
        <v>38.5</v>
      </c>
      <c r="M722" s="2">
        <f t="shared" si="59"/>
        <v>83.5</v>
      </c>
    </row>
    <row r="723" spans="1:13" x14ac:dyDescent="0.3">
      <c r="A723" s="2">
        <f>Datos!A723</f>
        <v>626</v>
      </c>
      <c r="B723" s="2" t="str">
        <f>Datos!B723</f>
        <v>Male</v>
      </c>
      <c r="C723" s="2" t="str">
        <f>Datos!C723</f>
        <v>Masters</v>
      </c>
      <c r="D723" s="2" t="str">
        <f>Datos!G723</f>
        <v>D</v>
      </c>
      <c r="E723" s="2">
        <f>Datos!I723</f>
        <v>0.8</v>
      </c>
      <c r="F723" s="2">
        <f>Datos!J723</f>
        <v>84.7</v>
      </c>
      <c r="G723" s="2">
        <f>Datos!L723</f>
        <v>67</v>
      </c>
      <c r="H723" s="2">
        <f>Datos!M723</f>
        <v>69.900000000000006</v>
      </c>
      <c r="I723" s="2" t="b">
        <f t="shared" si="55"/>
        <v>1</v>
      </c>
      <c r="J723" s="2">
        <f t="shared" si="56"/>
        <v>69.900000000000006</v>
      </c>
      <c r="K723" s="2">
        <f t="shared" si="57"/>
        <v>0.8</v>
      </c>
      <c r="L723" s="2">
        <f t="shared" si="58"/>
        <v>67</v>
      </c>
      <c r="M723" s="2">
        <f t="shared" si="59"/>
        <v>84.7</v>
      </c>
    </row>
    <row r="724" spans="1:13" x14ac:dyDescent="0.3">
      <c r="A724" s="2">
        <f>Datos!A724</f>
        <v>948</v>
      </c>
      <c r="B724" s="2" t="str">
        <f>Datos!B724</f>
        <v>Female</v>
      </c>
      <c r="C724" s="2">
        <f>Datos!C724</f>
        <v>0</v>
      </c>
      <c r="D724" s="2" t="str">
        <f>Datos!G724</f>
        <v>B</v>
      </c>
      <c r="E724" s="2">
        <f>Datos!I724</f>
        <v>2.5</v>
      </c>
      <c r="F724" s="2">
        <f>Datos!J724</f>
        <v>99.1</v>
      </c>
      <c r="G724" s="2">
        <f>Datos!L724</f>
        <v>79.599999999999994</v>
      </c>
      <c r="H724" s="2">
        <f>Datos!M724</f>
        <v>81</v>
      </c>
      <c r="I724" s="2" t="b">
        <f t="shared" si="55"/>
        <v>1</v>
      </c>
      <c r="J724" s="2">
        <f t="shared" si="56"/>
        <v>81</v>
      </c>
      <c r="K724" s="2">
        <f t="shared" si="57"/>
        <v>2.5</v>
      </c>
      <c r="L724" s="2">
        <f t="shared" si="58"/>
        <v>79.599999999999994</v>
      </c>
      <c r="M724" s="2">
        <f t="shared" si="59"/>
        <v>99.1</v>
      </c>
    </row>
    <row r="725" spans="1:13" x14ac:dyDescent="0.3">
      <c r="A725" s="2">
        <f>Datos!A725</f>
        <v>816</v>
      </c>
      <c r="B725" s="2" t="str">
        <f>Datos!B725</f>
        <v>Female</v>
      </c>
      <c r="C725" s="2" t="str">
        <f>Datos!C725</f>
        <v>Bachelors</v>
      </c>
      <c r="D725" s="2" t="str">
        <f>Datos!G725</f>
        <v>C</v>
      </c>
      <c r="E725" s="2">
        <f>Datos!I725</f>
        <v>3.7</v>
      </c>
      <c r="F725" s="2">
        <f>Datos!J725</f>
        <v>78.5</v>
      </c>
      <c r="G725" s="2">
        <f>Datos!L725</f>
        <v>63.7</v>
      </c>
      <c r="H725" s="2">
        <f>Datos!M725</f>
        <v>75.099999999999994</v>
      </c>
      <c r="I725" s="2" t="b">
        <f t="shared" si="55"/>
        <v>1</v>
      </c>
      <c r="J725" s="2">
        <f t="shared" si="56"/>
        <v>75.099999999999994</v>
      </c>
      <c r="K725" s="2">
        <f t="shared" si="57"/>
        <v>3.7</v>
      </c>
      <c r="L725" s="2">
        <f t="shared" si="58"/>
        <v>63.7</v>
      </c>
      <c r="M725" s="2">
        <f t="shared" si="59"/>
        <v>78.5</v>
      </c>
    </row>
    <row r="726" spans="1:13" x14ac:dyDescent="0.3">
      <c r="A726" s="2">
        <f>Datos!A726</f>
        <v>544</v>
      </c>
      <c r="B726" s="2" t="str">
        <f>Datos!B726</f>
        <v>Female</v>
      </c>
      <c r="C726" s="2" t="str">
        <f>Datos!C726</f>
        <v>PhD</v>
      </c>
      <c r="D726" s="2" t="str">
        <f>Datos!G726</f>
        <v>B</v>
      </c>
      <c r="E726" s="2">
        <f>Datos!I726</f>
        <v>5.7</v>
      </c>
      <c r="F726" s="2">
        <f>Datos!J726</f>
        <v>82.5</v>
      </c>
      <c r="G726" s="2">
        <f>Datos!L726</f>
        <v>69.3</v>
      </c>
      <c r="H726" s="2">
        <f>Datos!M726</f>
        <v>81.400000000000006</v>
      </c>
      <c r="I726" s="2" t="b">
        <f t="shared" si="55"/>
        <v>1</v>
      </c>
      <c r="J726" s="2">
        <f t="shared" si="56"/>
        <v>81.400000000000006</v>
      </c>
      <c r="K726" s="2">
        <f t="shared" si="57"/>
        <v>5.7</v>
      </c>
      <c r="L726" s="2">
        <f t="shared" si="58"/>
        <v>69.3</v>
      </c>
      <c r="M726" s="2">
        <f t="shared" si="59"/>
        <v>82.5</v>
      </c>
    </row>
    <row r="727" spans="1:13" x14ac:dyDescent="0.3">
      <c r="A727" s="2">
        <f>Datos!A727</f>
        <v>512</v>
      </c>
      <c r="B727" s="2" t="str">
        <f>Datos!B727</f>
        <v>Male</v>
      </c>
      <c r="C727" s="2" t="str">
        <f>Datos!C727</f>
        <v>PhD</v>
      </c>
      <c r="D727" s="2" t="str">
        <f>Datos!G727</f>
        <v>B</v>
      </c>
      <c r="E727" s="2">
        <f>Datos!I727</f>
        <v>6.1</v>
      </c>
      <c r="F727" s="2">
        <f>Datos!J727</f>
        <v>75.599999999999994</v>
      </c>
      <c r="G727" s="2">
        <f>Datos!L727</f>
        <v>43.2</v>
      </c>
      <c r="H727" s="2">
        <f>Datos!M727</f>
        <v>83.9</v>
      </c>
      <c r="I727" s="2" t="b">
        <f t="shared" si="55"/>
        <v>1</v>
      </c>
      <c r="J727" s="2">
        <f t="shared" si="56"/>
        <v>83.9</v>
      </c>
      <c r="K727" s="2">
        <f t="shared" si="57"/>
        <v>6.1</v>
      </c>
      <c r="L727" s="2">
        <f t="shared" si="58"/>
        <v>43.2</v>
      </c>
      <c r="M727" s="2">
        <f t="shared" si="59"/>
        <v>75.599999999999994</v>
      </c>
    </row>
    <row r="728" spans="1:13" x14ac:dyDescent="0.3">
      <c r="A728" s="2">
        <f>Datos!A728</f>
        <v>341</v>
      </c>
      <c r="B728" s="2" t="str">
        <f>Datos!B728</f>
        <v>Male</v>
      </c>
      <c r="C728" s="2" t="str">
        <f>Datos!C728</f>
        <v>High School</v>
      </c>
      <c r="D728" s="2" t="str">
        <f>Datos!G728</f>
        <v>B</v>
      </c>
      <c r="E728" s="2">
        <f>Datos!I728</f>
        <v>3.4</v>
      </c>
      <c r="F728" s="2">
        <f>Datos!J728</f>
        <v>79.3</v>
      </c>
      <c r="G728" s="2">
        <f>Datos!L728</f>
        <v>92.8</v>
      </c>
      <c r="H728" s="2">
        <f>Datos!M728</f>
        <v>81.5</v>
      </c>
      <c r="I728" s="2" t="b">
        <f t="shared" si="55"/>
        <v>1</v>
      </c>
      <c r="J728" s="2">
        <f t="shared" si="56"/>
        <v>81.5</v>
      </c>
      <c r="K728" s="2">
        <f t="shared" si="57"/>
        <v>3.4</v>
      </c>
      <c r="L728" s="2">
        <f t="shared" si="58"/>
        <v>92.8</v>
      </c>
      <c r="M728" s="2">
        <f t="shared" si="59"/>
        <v>79.3</v>
      </c>
    </row>
    <row r="729" spans="1:13" x14ac:dyDescent="0.3">
      <c r="A729" s="2">
        <f>Datos!A729</f>
        <v>206</v>
      </c>
      <c r="B729" s="2" t="str">
        <f>Datos!B729</f>
        <v>Male</v>
      </c>
      <c r="C729" s="2" t="str">
        <f>Datos!C729</f>
        <v>Bachelors</v>
      </c>
      <c r="D729" s="2" t="str">
        <f>Datos!G729</f>
        <v>B</v>
      </c>
      <c r="E729" s="2">
        <f>Datos!I729</f>
        <v>5.4</v>
      </c>
      <c r="F729" s="2">
        <f>Datos!J729</f>
        <v>73.099999999999994</v>
      </c>
      <c r="G729" s="2">
        <f>Datos!L729</f>
        <v>94.9</v>
      </c>
      <c r="H729" s="2">
        <f>Datos!M729</f>
        <v>80.900000000000006</v>
      </c>
      <c r="I729" s="2" t="b">
        <f t="shared" si="55"/>
        <v>1</v>
      </c>
      <c r="J729" s="2">
        <f t="shared" si="56"/>
        <v>80.900000000000006</v>
      </c>
      <c r="K729" s="2">
        <f t="shared" si="57"/>
        <v>5.4</v>
      </c>
      <c r="L729" s="2">
        <f t="shared" si="58"/>
        <v>94.9</v>
      </c>
      <c r="M729" s="2">
        <f t="shared" si="59"/>
        <v>73.099999999999994</v>
      </c>
    </row>
    <row r="730" spans="1:13" x14ac:dyDescent="0.3">
      <c r="A730" s="2">
        <f>Datos!A730</f>
        <v>602</v>
      </c>
      <c r="B730" s="2" t="str">
        <f>Datos!B730</f>
        <v>Female</v>
      </c>
      <c r="C730" s="2" t="str">
        <f>Datos!C730</f>
        <v>Bachelors</v>
      </c>
      <c r="D730" s="2" t="str">
        <f>Datos!G730</f>
        <v>A</v>
      </c>
      <c r="E730" s="2">
        <f>Datos!I730</f>
        <v>5.6</v>
      </c>
      <c r="F730" s="2">
        <f>Datos!J730</f>
        <v>65.2</v>
      </c>
      <c r="G730" s="2">
        <f>Datos!L730</f>
        <v>90.7</v>
      </c>
      <c r="H730" s="2">
        <f>Datos!M730</f>
        <v>73</v>
      </c>
      <c r="I730" s="2" t="b">
        <f t="shared" si="55"/>
        <v>1</v>
      </c>
      <c r="J730" s="2">
        <f t="shared" si="56"/>
        <v>73</v>
      </c>
      <c r="K730" s="2">
        <f t="shared" si="57"/>
        <v>5.6</v>
      </c>
      <c r="L730" s="2">
        <f t="shared" si="58"/>
        <v>90.7</v>
      </c>
      <c r="M730" s="2">
        <f t="shared" si="59"/>
        <v>65.2</v>
      </c>
    </row>
    <row r="731" spans="1:13" x14ac:dyDescent="0.3">
      <c r="A731" s="2">
        <f>Datos!A731</f>
        <v>705</v>
      </c>
      <c r="B731" s="2" t="str">
        <f>Datos!B731</f>
        <v>Male</v>
      </c>
      <c r="C731" s="2" t="str">
        <f>Datos!C731</f>
        <v>Bachelors</v>
      </c>
      <c r="D731" s="2" t="str">
        <f>Datos!G731</f>
        <v>D</v>
      </c>
      <c r="E731" s="2">
        <f>Datos!I731</f>
        <v>2.2999999999999998</v>
      </c>
      <c r="F731" s="2">
        <f>Datos!J731</f>
        <v>82.5</v>
      </c>
      <c r="G731" s="2">
        <f>Datos!L731</f>
        <v>55.9</v>
      </c>
      <c r="H731" s="2">
        <f>Datos!M731</f>
        <v>62.6</v>
      </c>
      <c r="I731" s="2" t="b">
        <f t="shared" si="55"/>
        <v>1</v>
      </c>
      <c r="J731" s="2">
        <f t="shared" si="56"/>
        <v>62.6</v>
      </c>
      <c r="K731" s="2">
        <f t="shared" si="57"/>
        <v>2.2999999999999998</v>
      </c>
      <c r="L731" s="2">
        <f t="shared" si="58"/>
        <v>55.9</v>
      </c>
      <c r="M731" s="2">
        <f t="shared" si="59"/>
        <v>82.5</v>
      </c>
    </row>
    <row r="732" spans="1:13" x14ac:dyDescent="0.3">
      <c r="A732" s="2">
        <f>Datos!A732</f>
        <v>54</v>
      </c>
      <c r="B732" s="2" t="str">
        <f>Datos!B732</f>
        <v>Female</v>
      </c>
      <c r="C732" s="2" t="str">
        <f>Datos!C732</f>
        <v>Bachelors</v>
      </c>
      <c r="D732" s="2" t="str">
        <f>Datos!G732</f>
        <v>C</v>
      </c>
      <c r="E732" s="2">
        <f>Datos!I732</f>
        <v>3.2</v>
      </c>
      <c r="F732" s="2">
        <f>Datos!J732</f>
        <v>72.599999999999994</v>
      </c>
      <c r="G732" s="2">
        <f>Datos!L732</f>
        <v>63.4</v>
      </c>
      <c r="H732" s="2">
        <f>Datos!M732</f>
        <v>75.2</v>
      </c>
      <c r="I732" s="2" t="b">
        <f t="shared" si="55"/>
        <v>1</v>
      </c>
      <c r="J732" s="2">
        <f t="shared" si="56"/>
        <v>75.2</v>
      </c>
      <c r="K732" s="2">
        <f t="shared" si="57"/>
        <v>3.2</v>
      </c>
      <c r="L732" s="2">
        <f t="shared" si="58"/>
        <v>63.4</v>
      </c>
      <c r="M732" s="2">
        <f t="shared" si="59"/>
        <v>72.599999999999994</v>
      </c>
    </row>
    <row r="733" spans="1:13" x14ac:dyDescent="0.3">
      <c r="A733" s="2">
        <f>Datos!A733</f>
        <v>380</v>
      </c>
      <c r="B733" s="2" t="str">
        <f>Datos!B733</f>
        <v>Male</v>
      </c>
      <c r="C733" s="2" t="str">
        <f>Datos!C733</f>
        <v>Masters</v>
      </c>
      <c r="D733" s="2" t="str">
        <f>Datos!G733</f>
        <v>D</v>
      </c>
      <c r="E733" s="2">
        <f>Datos!I733</f>
        <v>0.9</v>
      </c>
      <c r="F733" s="2">
        <f>Datos!J733</f>
        <v>94.8</v>
      </c>
      <c r="G733" s="2">
        <f>Datos!L733</f>
        <v>44.3</v>
      </c>
      <c r="H733" s="2">
        <f>Datos!M733</f>
        <v>63.1</v>
      </c>
      <c r="I733" s="2" t="b">
        <f t="shared" si="55"/>
        <v>1</v>
      </c>
      <c r="J733" s="2">
        <f t="shared" si="56"/>
        <v>63.1</v>
      </c>
      <c r="K733" s="2">
        <f t="shared" si="57"/>
        <v>0.9</v>
      </c>
      <c r="L733" s="2">
        <f t="shared" si="58"/>
        <v>44.3</v>
      </c>
      <c r="M733" s="2">
        <f t="shared" si="59"/>
        <v>94.8</v>
      </c>
    </row>
    <row r="734" spans="1:13" x14ac:dyDescent="0.3">
      <c r="A734" s="2">
        <f>Datos!A734</f>
        <v>818</v>
      </c>
      <c r="B734" s="2" t="str">
        <f>Datos!B734</f>
        <v>Male</v>
      </c>
      <c r="C734" s="2" t="str">
        <f>Datos!C734</f>
        <v>PhD</v>
      </c>
      <c r="D734" s="2" t="str">
        <f>Datos!G734</f>
        <v>B</v>
      </c>
      <c r="E734" s="2">
        <f>Datos!I734</f>
        <v>4</v>
      </c>
      <c r="F734" s="2">
        <f>Datos!J734</f>
        <v>93.8</v>
      </c>
      <c r="G734" s="2">
        <f>Datos!L734</f>
        <v>60.5</v>
      </c>
      <c r="H734" s="2">
        <f>Datos!M734</f>
        <v>80.5</v>
      </c>
      <c r="I734" s="2" t="b">
        <f t="shared" si="55"/>
        <v>1</v>
      </c>
      <c r="J734" s="2">
        <f t="shared" si="56"/>
        <v>80.5</v>
      </c>
      <c r="K734" s="2">
        <f t="shared" si="57"/>
        <v>4</v>
      </c>
      <c r="L734" s="2">
        <f t="shared" si="58"/>
        <v>60.5</v>
      </c>
      <c r="M734" s="2">
        <f t="shared" si="59"/>
        <v>93.8</v>
      </c>
    </row>
    <row r="735" spans="1:13" x14ac:dyDescent="0.3">
      <c r="A735" s="2">
        <f>Datos!A735</f>
        <v>502</v>
      </c>
      <c r="B735" s="2" t="str">
        <f>Datos!B735</f>
        <v>Female</v>
      </c>
      <c r="C735" s="2" t="str">
        <f>Datos!C735</f>
        <v>High School</v>
      </c>
      <c r="D735" s="2" t="str">
        <f>Datos!G735</f>
        <v>D</v>
      </c>
      <c r="E735" s="2">
        <f>Datos!I735</f>
        <v>1.1000000000000001</v>
      </c>
      <c r="F735" s="2">
        <f>Datos!J735</f>
        <v>79.5</v>
      </c>
      <c r="G735" s="2">
        <f>Datos!L735</f>
        <v>66.75</v>
      </c>
      <c r="H735" s="2">
        <f>Datos!M735</f>
        <v>63.9</v>
      </c>
      <c r="I735" s="2" t="b">
        <f t="shared" si="55"/>
        <v>1</v>
      </c>
      <c r="J735" s="2">
        <f t="shared" si="56"/>
        <v>63.9</v>
      </c>
      <c r="K735" s="2">
        <f t="shared" si="57"/>
        <v>1.1000000000000001</v>
      </c>
      <c r="L735" s="2">
        <f t="shared" si="58"/>
        <v>66.75</v>
      </c>
      <c r="M735" s="2">
        <f t="shared" si="59"/>
        <v>79.5</v>
      </c>
    </row>
    <row r="736" spans="1:13" x14ac:dyDescent="0.3">
      <c r="A736" s="2">
        <f>Datos!A736</f>
        <v>700</v>
      </c>
      <c r="B736" s="2" t="str">
        <f>Datos!B736</f>
        <v>Male</v>
      </c>
      <c r="C736" s="2" t="str">
        <f>Datos!C736</f>
        <v>High School</v>
      </c>
      <c r="D736" s="2" t="str">
        <f>Datos!G736</f>
        <v>C</v>
      </c>
      <c r="E736" s="2">
        <f>Datos!I736</f>
        <v>5.0999999999999996</v>
      </c>
      <c r="F736" s="2">
        <f>Datos!J736</f>
        <v>70.5</v>
      </c>
      <c r="G736" s="2">
        <f>Datos!L736</f>
        <v>65.3</v>
      </c>
      <c r="H736" s="2">
        <f>Datos!M736</f>
        <v>77</v>
      </c>
      <c r="I736" s="2" t="b">
        <f t="shared" si="55"/>
        <v>1</v>
      </c>
      <c r="J736" s="2">
        <f t="shared" si="56"/>
        <v>77</v>
      </c>
      <c r="K736" s="2">
        <f t="shared" si="57"/>
        <v>5.0999999999999996</v>
      </c>
      <c r="L736" s="2">
        <f t="shared" si="58"/>
        <v>65.3</v>
      </c>
      <c r="M736" s="2">
        <f t="shared" si="59"/>
        <v>70.5</v>
      </c>
    </row>
    <row r="737" spans="1:13" x14ac:dyDescent="0.3">
      <c r="A737" s="2">
        <f>Datos!A737</f>
        <v>863</v>
      </c>
      <c r="B737" s="2" t="str">
        <f>Datos!B737</f>
        <v>Male</v>
      </c>
      <c r="C737" s="2" t="str">
        <f>Datos!C737</f>
        <v>High School</v>
      </c>
      <c r="D737" s="2" t="str">
        <f>Datos!G737</f>
        <v>C</v>
      </c>
      <c r="E737" s="2">
        <f>Datos!I737</f>
        <v>6.2</v>
      </c>
      <c r="F737" s="2">
        <f>Datos!J737</f>
        <v>72.099999999999994</v>
      </c>
      <c r="G737" s="2">
        <f>Datos!L737</f>
        <v>67</v>
      </c>
      <c r="H737" s="2">
        <f>Datos!M737</f>
        <v>74.099999999999994</v>
      </c>
      <c r="I737" s="2" t="b">
        <f t="shared" si="55"/>
        <v>1</v>
      </c>
      <c r="J737" s="2">
        <f t="shared" si="56"/>
        <v>74.099999999999994</v>
      </c>
      <c r="K737" s="2">
        <f t="shared" si="57"/>
        <v>6.2</v>
      </c>
      <c r="L737" s="2">
        <f t="shared" si="58"/>
        <v>67</v>
      </c>
      <c r="M737" s="2">
        <f t="shared" si="59"/>
        <v>72.099999999999994</v>
      </c>
    </row>
    <row r="738" spans="1:13" x14ac:dyDescent="0.3">
      <c r="A738" s="2">
        <f>Datos!A738</f>
        <v>539</v>
      </c>
      <c r="B738" s="2" t="str">
        <f>Datos!B738</f>
        <v>Male</v>
      </c>
      <c r="C738" s="2">
        <f>Datos!C738</f>
        <v>0</v>
      </c>
      <c r="D738" s="2" t="str">
        <f>Datos!G738</f>
        <v>D</v>
      </c>
      <c r="E738" s="2">
        <f>Datos!I738</f>
        <v>1.1000000000000001</v>
      </c>
      <c r="F738" s="2">
        <f>Datos!J738</f>
        <v>98.2</v>
      </c>
      <c r="G738" s="2">
        <f>Datos!L738</f>
        <v>65.3</v>
      </c>
      <c r="H738" s="2">
        <f>Datos!M738</f>
        <v>64.5</v>
      </c>
      <c r="I738" s="2" t="b">
        <f t="shared" si="55"/>
        <v>1</v>
      </c>
      <c r="J738" s="2">
        <f t="shared" si="56"/>
        <v>64.5</v>
      </c>
      <c r="K738" s="2">
        <f t="shared" si="57"/>
        <v>1.1000000000000001</v>
      </c>
      <c r="L738" s="2">
        <f t="shared" si="58"/>
        <v>65.3</v>
      </c>
      <c r="M738" s="2">
        <f t="shared" si="59"/>
        <v>98.2</v>
      </c>
    </row>
    <row r="739" spans="1:13" x14ac:dyDescent="0.3">
      <c r="A739" s="2">
        <f>Datos!A739</f>
        <v>445</v>
      </c>
      <c r="B739" s="2" t="str">
        <f>Datos!B739</f>
        <v>Female</v>
      </c>
      <c r="C739" s="2">
        <f>Datos!C739</f>
        <v>0</v>
      </c>
      <c r="D739" s="2" t="str">
        <f>Datos!G739</f>
        <v>C</v>
      </c>
      <c r="E739" s="2">
        <f>Datos!I739</f>
        <v>3.7</v>
      </c>
      <c r="F739" s="2">
        <f>Datos!J739</f>
        <v>70.3</v>
      </c>
      <c r="G739" s="2">
        <f>Datos!L739</f>
        <v>90.8</v>
      </c>
      <c r="H739" s="2">
        <f>Datos!M739</f>
        <v>73.7</v>
      </c>
      <c r="I739" s="2" t="b">
        <f t="shared" si="55"/>
        <v>1</v>
      </c>
      <c r="J739" s="2">
        <f t="shared" si="56"/>
        <v>73.7</v>
      </c>
      <c r="K739" s="2">
        <f t="shared" si="57"/>
        <v>3.7</v>
      </c>
      <c r="L739" s="2">
        <f t="shared" si="58"/>
        <v>90.8</v>
      </c>
      <c r="M739" s="2">
        <f t="shared" si="59"/>
        <v>70.3</v>
      </c>
    </row>
    <row r="740" spans="1:13" x14ac:dyDescent="0.3">
      <c r="A740" s="2">
        <f>Datos!A740</f>
        <v>677</v>
      </c>
      <c r="B740" s="2" t="str">
        <f>Datos!B740</f>
        <v>Female</v>
      </c>
      <c r="C740" s="2" t="str">
        <f>Datos!C740</f>
        <v>Bachelors</v>
      </c>
      <c r="D740" s="2" t="str">
        <f>Datos!G740</f>
        <v>C</v>
      </c>
      <c r="E740" s="2">
        <f>Datos!I740</f>
        <v>1.8</v>
      </c>
      <c r="F740" s="2">
        <f>Datos!J740</f>
        <v>94.6</v>
      </c>
      <c r="G740" s="2">
        <f>Datos!L740</f>
        <v>42.8</v>
      </c>
      <c r="H740" s="2">
        <f>Datos!M740</f>
        <v>74.599999999999994</v>
      </c>
      <c r="I740" s="2" t="b">
        <f t="shared" si="55"/>
        <v>1</v>
      </c>
      <c r="J740" s="2">
        <f t="shared" si="56"/>
        <v>74.599999999999994</v>
      </c>
      <c r="K740" s="2">
        <f t="shared" si="57"/>
        <v>1.8</v>
      </c>
      <c r="L740" s="2">
        <f t="shared" si="58"/>
        <v>42.8</v>
      </c>
      <c r="M740" s="2">
        <f t="shared" si="59"/>
        <v>94.6</v>
      </c>
    </row>
    <row r="741" spans="1:13" x14ac:dyDescent="0.3">
      <c r="A741" s="2">
        <f>Datos!A741</f>
        <v>237</v>
      </c>
      <c r="B741" s="2" t="str">
        <f>Datos!B741</f>
        <v>Male</v>
      </c>
      <c r="C741" s="2" t="str">
        <f>Datos!C741</f>
        <v>High School</v>
      </c>
      <c r="D741" s="2" t="str">
        <f>Datos!G741</f>
        <v>F</v>
      </c>
      <c r="E741" s="2">
        <f>Datos!I741</f>
        <v>1.1000000000000001</v>
      </c>
      <c r="F741" s="2">
        <f>Datos!J741</f>
        <v>65.900000000000006</v>
      </c>
      <c r="G741" s="2">
        <f>Datos!L741</f>
        <v>67</v>
      </c>
      <c r="H741" s="2">
        <f>Datos!M741</f>
        <v>51.5</v>
      </c>
      <c r="I741" s="2" t="b">
        <f t="shared" si="55"/>
        <v>1</v>
      </c>
      <c r="J741" s="2">
        <f t="shared" si="56"/>
        <v>51.5</v>
      </c>
      <c r="K741" s="2">
        <f t="shared" si="57"/>
        <v>1.1000000000000001</v>
      </c>
      <c r="L741" s="2">
        <f t="shared" si="58"/>
        <v>67</v>
      </c>
      <c r="M741" s="2">
        <f t="shared" si="59"/>
        <v>65.900000000000006</v>
      </c>
    </row>
    <row r="742" spans="1:13" x14ac:dyDescent="0.3">
      <c r="A742" s="2">
        <f>Datos!A742</f>
        <v>827</v>
      </c>
      <c r="B742" s="2" t="str">
        <f>Datos!B742</f>
        <v>Male</v>
      </c>
      <c r="C742" s="2" t="str">
        <f>Datos!C742</f>
        <v>Bachelors</v>
      </c>
      <c r="D742" s="2" t="str">
        <f>Datos!G742</f>
        <v>C</v>
      </c>
      <c r="E742" s="2">
        <f>Datos!I742</f>
        <v>4.4000000000000004</v>
      </c>
      <c r="F742" s="2">
        <f>Datos!J742</f>
        <v>98.5</v>
      </c>
      <c r="G742" s="2">
        <f>Datos!L742</f>
        <v>74.2</v>
      </c>
      <c r="H742" s="2">
        <f>Datos!M742</f>
        <v>79.400000000000006</v>
      </c>
      <c r="I742" s="2" t="b">
        <f t="shared" si="55"/>
        <v>1</v>
      </c>
      <c r="J742" s="2">
        <f t="shared" si="56"/>
        <v>79.400000000000006</v>
      </c>
      <c r="K742" s="2">
        <f t="shared" si="57"/>
        <v>4.4000000000000004</v>
      </c>
      <c r="L742" s="2">
        <f t="shared" si="58"/>
        <v>74.2</v>
      </c>
      <c r="M742" s="2">
        <f t="shared" si="59"/>
        <v>98.5</v>
      </c>
    </row>
    <row r="743" spans="1:13" x14ac:dyDescent="0.3">
      <c r="A743" s="2">
        <f>Datos!A743</f>
        <v>914</v>
      </c>
      <c r="B743" s="2" t="str">
        <f>Datos!B743</f>
        <v>Male</v>
      </c>
      <c r="C743" s="2" t="str">
        <f>Datos!C743</f>
        <v>High School</v>
      </c>
      <c r="D743" s="2" t="str">
        <f>Datos!G743</f>
        <v>A</v>
      </c>
      <c r="E743" s="2">
        <f>Datos!I743</f>
        <v>6.5</v>
      </c>
      <c r="F743" s="2">
        <f>Datos!J743</f>
        <v>83.2</v>
      </c>
      <c r="G743" s="2">
        <f>Datos!L743</f>
        <v>94.7</v>
      </c>
      <c r="H743" s="2">
        <f>Datos!M743</f>
        <v>91.9</v>
      </c>
      <c r="I743" s="2" t="b">
        <f t="shared" si="55"/>
        <v>1</v>
      </c>
      <c r="J743" s="2">
        <f t="shared" si="56"/>
        <v>91.9</v>
      </c>
      <c r="K743" s="2">
        <f t="shared" si="57"/>
        <v>6.5</v>
      </c>
      <c r="L743" s="2">
        <f t="shared" si="58"/>
        <v>94.7</v>
      </c>
      <c r="M743" s="2">
        <f t="shared" si="59"/>
        <v>83.2</v>
      </c>
    </row>
    <row r="744" spans="1:13" x14ac:dyDescent="0.3">
      <c r="A744" s="2">
        <f>Datos!A744</f>
        <v>57</v>
      </c>
      <c r="B744" s="2" t="str">
        <f>Datos!B744</f>
        <v>Male</v>
      </c>
      <c r="C744" s="2" t="str">
        <f>Datos!C744</f>
        <v>High School</v>
      </c>
      <c r="D744" s="2" t="str">
        <f>Datos!G744</f>
        <v>C</v>
      </c>
      <c r="E744" s="2">
        <f>Datos!I744</f>
        <v>5.9</v>
      </c>
      <c r="F744" s="2">
        <f>Datos!J744</f>
        <v>82.3</v>
      </c>
      <c r="G744" s="2">
        <f>Datos!L744</f>
        <v>51.8</v>
      </c>
      <c r="H744" s="2">
        <f>Datos!M744</f>
        <v>77.2</v>
      </c>
      <c r="I744" s="2" t="b">
        <f t="shared" si="55"/>
        <v>1</v>
      </c>
      <c r="J744" s="2">
        <f t="shared" si="56"/>
        <v>77.2</v>
      </c>
      <c r="K744" s="2">
        <f t="shared" si="57"/>
        <v>5.9</v>
      </c>
      <c r="L744" s="2">
        <f t="shared" si="58"/>
        <v>51.8</v>
      </c>
      <c r="M744" s="2">
        <f t="shared" si="59"/>
        <v>82.3</v>
      </c>
    </row>
    <row r="745" spans="1:13" x14ac:dyDescent="0.3">
      <c r="A745" s="2">
        <f>Datos!A745</f>
        <v>131</v>
      </c>
      <c r="B745" s="2" t="str">
        <f>Datos!B745</f>
        <v>Male</v>
      </c>
      <c r="C745" s="2" t="str">
        <f>Datos!C745</f>
        <v>Masters</v>
      </c>
      <c r="D745" s="2" t="str">
        <f>Datos!G745</f>
        <v>B</v>
      </c>
      <c r="E745" s="2">
        <f>Datos!I745</f>
        <v>3.8</v>
      </c>
      <c r="F745" s="2">
        <f>Datos!J745</f>
        <v>83.5</v>
      </c>
      <c r="G745" s="2">
        <f>Datos!L745</f>
        <v>80.099999999999994</v>
      </c>
      <c r="H745" s="2">
        <f>Datos!M745</f>
        <v>84.7</v>
      </c>
      <c r="I745" s="2" t="b">
        <f t="shared" si="55"/>
        <v>1</v>
      </c>
      <c r="J745" s="2">
        <f t="shared" si="56"/>
        <v>84.7</v>
      </c>
      <c r="K745" s="2">
        <f t="shared" si="57"/>
        <v>3.8</v>
      </c>
      <c r="L745" s="2">
        <f t="shared" si="58"/>
        <v>80.099999999999994</v>
      </c>
      <c r="M745" s="2">
        <f t="shared" si="59"/>
        <v>83.5</v>
      </c>
    </row>
    <row r="746" spans="1:13" x14ac:dyDescent="0.3">
      <c r="A746" s="2">
        <f>Datos!A746</f>
        <v>650</v>
      </c>
      <c r="B746" s="2" t="str">
        <f>Datos!B746</f>
        <v>Female</v>
      </c>
      <c r="C746" s="2" t="str">
        <f>Datos!C746</f>
        <v>PhD</v>
      </c>
      <c r="D746" s="2" t="str">
        <f>Datos!G746</f>
        <v>D</v>
      </c>
      <c r="E746" s="2">
        <f>Datos!I746</f>
        <v>4.3</v>
      </c>
      <c r="F746" s="2">
        <f>Datos!J746</f>
        <v>83</v>
      </c>
      <c r="G746" s="2">
        <f>Datos!L746</f>
        <v>73.8</v>
      </c>
      <c r="H746" s="2">
        <f>Datos!M746</f>
        <v>99.5</v>
      </c>
      <c r="I746" s="2" t="b">
        <f t="shared" si="55"/>
        <v>1</v>
      </c>
      <c r="J746" s="2">
        <f t="shared" si="56"/>
        <v>99.5</v>
      </c>
      <c r="K746" s="2">
        <f t="shared" si="57"/>
        <v>4.3</v>
      </c>
      <c r="L746" s="2">
        <f t="shared" si="58"/>
        <v>73.8</v>
      </c>
      <c r="M746" s="2">
        <f t="shared" si="59"/>
        <v>83</v>
      </c>
    </row>
    <row r="747" spans="1:13" x14ac:dyDescent="0.3">
      <c r="A747" s="2">
        <f>Datos!A747</f>
        <v>808</v>
      </c>
      <c r="B747" s="2" t="str">
        <f>Datos!B747</f>
        <v>Male</v>
      </c>
      <c r="C747" s="2">
        <f>Datos!C747</f>
        <v>0</v>
      </c>
      <c r="D747" s="2" t="str">
        <f>Datos!G747</f>
        <v>C</v>
      </c>
      <c r="E747" s="2">
        <f>Datos!I747</f>
        <v>1.5</v>
      </c>
      <c r="F747" s="2">
        <f>Datos!J747</f>
        <v>69.599999999999994</v>
      </c>
      <c r="G747" s="2">
        <f>Datos!L747</f>
        <v>69.5</v>
      </c>
      <c r="H747" s="2">
        <f>Datos!M747</f>
        <v>71.8</v>
      </c>
      <c r="I747" s="2" t="b">
        <f t="shared" si="55"/>
        <v>1</v>
      </c>
      <c r="J747" s="2">
        <f t="shared" si="56"/>
        <v>71.8</v>
      </c>
      <c r="K747" s="2">
        <f t="shared" si="57"/>
        <v>1.5</v>
      </c>
      <c r="L747" s="2">
        <f t="shared" si="58"/>
        <v>69.5</v>
      </c>
      <c r="M747" s="2">
        <f t="shared" si="59"/>
        <v>69.599999999999994</v>
      </c>
    </row>
    <row r="748" spans="1:13" x14ac:dyDescent="0.3">
      <c r="A748" s="2">
        <f>Datos!A748</f>
        <v>836</v>
      </c>
      <c r="B748" s="2" t="str">
        <f>Datos!B748</f>
        <v>Female</v>
      </c>
      <c r="C748" s="2">
        <f>Datos!C748</f>
        <v>0</v>
      </c>
      <c r="D748" s="2" t="str">
        <f>Datos!G748</f>
        <v>B</v>
      </c>
      <c r="E748" s="2">
        <f>Datos!I748</f>
        <v>2.7</v>
      </c>
      <c r="F748" s="2">
        <f>Datos!J748</f>
        <v>98.7</v>
      </c>
      <c r="G748" s="2">
        <f>Datos!L748</f>
        <v>91.8</v>
      </c>
      <c r="H748" s="2">
        <f>Datos!M748</f>
        <v>82.8</v>
      </c>
      <c r="I748" s="2" t="b">
        <f t="shared" si="55"/>
        <v>1</v>
      </c>
      <c r="J748" s="2">
        <f t="shared" si="56"/>
        <v>82.8</v>
      </c>
      <c r="K748" s="2">
        <f t="shared" si="57"/>
        <v>2.7</v>
      </c>
      <c r="L748" s="2">
        <f t="shared" si="58"/>
        <v>91.8</v>
      </c>
      <c r="M748" s="2">
        <f t="shared" si="59"/>
        <v>98.7</v>
      </c>
    </row>
    <row r="749" spans="1:13" x14ac:dyDescent="0.3">
      <c r="A749" s="2">
        <f>Datos!A749</f>
        <v>490</v>
      </c>
      <c r="B749" s="2" t="str">
        <f>Datos!B749</f>
        <v>Female</v>
      </c>
      <c r="C749" s="2">
        <f>Datos!C749</f>
        <v>0</v>
      </c>
      <c r="D749" s="2" t="str">
        <f>Datos!G749</f>
        <v>D</v>
      </c>
      <c r="E749" s="2">
        <f>Datos!I749</f>
        <v>5.3</v>
      </c>
      <c r="F749" s="2">
        <f>Datos!J749</f>
        <v>70.3</v>
      </c>
      <c r="G749" s="2">
        <f>Datos!L749</f>
        <v>35.1</v>
      </c>
      <c r="H749" s="2">
        <f>Datos!M749</f>
        <v>64</v>
      </c>
      <c r="I749" s="2" t="b">
        <f t="shared" si="55"/>
        <v>1</v>
      </c>
      <c r="J749" s="2">
        <f t="shared" si="56"/>
        <v>64</v>
      </c>
      <c r="K749" s="2">
        <f t="shared" si="57"/>
        <v>5.3</v>
      </c>
      <c r="L749" s="2">
        <f t="shared" si="58"/>
        <v>35.1</v>
      </c>
      <c r="M749" s="2">
        <f t="shared" si="59"/>
        <v>70.3</v>
      </c>
    </row>
    <row r="750" spans="1:13" x14ac:dyDescent="0.3">
      <c r="A750" s="2">
        <f>Datos!A750</f>
        <v>362</v>
      </c>
      <c r="B750" s="2" t="str">
        <f>Datos!B750</f>
        <v>Male</v>
      </c>
      <c r="C750" s="2" t="str">
        <f>Datos!C750</f>
        <v>PhD</v>
      </c>
      <c r="D750" s="2" t="str">
        <f>Datos!G750</f>
        <v>F</v>
      </c>
      <c r="E750" s="2">
        <f>Datos!I750</f>
        <v>1.2</v>
      </c>
      <c r="F750" s="2">
        <f>Datos!J750</f>
        <v>75.8</v>
      </c>
      <c r="G750" s="2">
        <f>Datos!L750</f>
        <v>39.299999999999997</v>
      </c>
      <c r="H750" s="2">
        <f>Datos!M750</f>
        <v>49.6</v>
      </c>
      <c r="I750" s="2" t="b">
        <f t="shared" si="55"/>
        <v>1</v>
      </c>
      <c r="J750" s="2">
        <f t="shared" si="56"/>
        <v>49.6</v>
      </c>
      <c r="K750" s="2">
        <f t="shared" si="57"/>
        <v>1.2</v>
      </c>
      <c r="L750" s="2">
        <f t="shared" si="58"/>
        <v>39.299999999999997</v>
      </c>
      <c r="M750" s="2">
        <f t="shared" si="59"/>
        <v>75.8</v>
      </c>
    </row>
    <row r="751" spans="1:13" x14ac:dyDescent="0.3">
      <c r="A751" s="2">
        <f>Datos!A751</f>
        <v>433</v>
      </c>
      <c r="B751" s="2" t="str">
        <f>Datos!B751</f>
        <v>Female</v>
      </c>
      <c r="C751" s="2" t="str">
        <f>Datos!C751</f>
        <v>High School</v>
      </c>
      <c r="D751" s="2" t="str">
        <f>Datos!G751</f>
        <v>C</v>
      </c>
      <c r="E751" s="2">
        <f>Datos!I751</f>
        <v>3.1</v>
      </c>
      <c r="F751" s="2">
        <f>Datos!J751</f>
        <v>69.7</v>
      </c>
      <c r="G751" s="2">
        <f>Datos!L751</f>
        <v>66.8</v>
      </c>
      <c r="H751" s="2">
        <f>Datos!M751</f>
        <v>71.599999999999994</v>
      </c>
      <c r="I751" s="2" t="b">
        <f t="shared" si="55"/>
        <v>1</v>
      </c>
      <c r="J751" s="2">
        <f t="shared" si="56"/>
        <v>71.599999999999994</v>
      </c>
      <c r="K751" s="2">
        <f t="shared" si="57"/>
        <v>3.1</v>
      </c>
      <c r="L751" s="2">
        <f t="shared" si="58"/>
        <v>66.8</v>
      </c>
      <c r="M751" s="2">
        <f t="shared" si="59"/>
        <v>69.7</v>
      </c>
    </row>
    <row r="752" spans="1:13" x14ac:dyDescent="0.3">
      <c r="A752" s="2">
        <f>Datos!A752</f>
        <v>874</v>
      </c>
      <c r="B752" s="2" t="str">
        <f>Datos!B752</f>
        <v>Female</v>
      </c>
      <c r="C752" s="2" t="str">
        <f>Datos!C752</f>
        <v>Bachelors</v>
      </c>
      <c r="D752" s="2" t="str">
        <f>Datos!G752</f>
        <v>B</v>
      </c>
      <c r="E752" s="2">
        <f>Datos!I752</f>
        <v>4.7</v>
      </c>
      <c r="F752" s="2">
        <f>Datos!J752</f>
        <v>92.2</v>
      </c>
      <c r="G752" s="2">
        <f>Datos!L752</f>
        <v>54.8</v>
      </c>
      <c r="H752" s="2">
        <f>Datos!M752</f>
        <v>85.6</v>
      </c>
      <c r="I752" s="2" t="b">
        <f t="shared" si="55"/>
        <v>1</v>
      </c>
      <c r="J752" s="2">
        <f t="shared" si="56"/>
        <v>85.6</v>
      </c>
      <c r="K752" s="2">
        <f t="shared" si="57"/>
        <v>4.7</v>
      </c>
      <c r="L752" s="2">
        <f t="shared" si="58"/>
        <v>54.8</v>
      </c>
      <c r="M752" s="2">
        <f t="shared" si="59"/>
        <v>92.2</v>
      </c>
    </row>
    <row r="753" spans="1:13" x14ac:dyDescent="0.3">
      <c r="A753" s="2">
        <f>Datos!A753</f>
        <v>510</v>
      </c>
      <c r="B753" s="2" t="str">
        <f>Datos!B753</f>
        <v>Female</v>
      </c>
      <c r="C753" s="2" t="str">
        <f>Datos!C753</f>
        <v>Bachelors</v>
      </c>
      <c r="D753" s="2" t="str">
        <f>Datos!G753</f>
        <v>C</v>
      </c>
      <c r="E753" s="2">
        <f>Datos!I753</f>
        <v>5.2</v>
      </c>
      <c r="F753" s="2">
        <f>Datos!J753</f>
        <v>72.099999999999994</v>
      </c>
      <c r="G753" s="2">
        <f>Datos!L753</f>
        <v>66.75</v>
      </c>
      <c r="H753" s="2">
        <f>Datos!M753</f>
        <v>72.8</v>
      </c>
      <c r="I753" s="2" t="b">
        <f t="shared" si="55"/>
        <v>1</v>
      </c>
      <c r="J753" s="2">
        <f t="shared" si="56"/>
        <v>72.8</v>
      </c>
      <c r="K753" s="2">
        <f t="shared" si="57"/>
        <v>5.2</v>
      </c>
      <c r="L753" s="2">
        <f t="shared" si="58"/>
        <v>66.75</v>
      </c>
      <c r="M753" s="2">
        <f t="shared" si="59"/>
        <v>72.099999999999994</v>
      </c>
    </row>
    <row r="754" spans="1:13" x14ac:dyDescent="0.3">
      <c r="A754" s="2">
        <f>Datos!A754</f>
        <v>331</v>
      </c>
      <c r="B754" s="2" t="str">
        <f>Datos!B754</f>
        <v>Female</v>
      </c>
      <c r="C754" s="2" t="str">
        <f>Datos!C754</f>
        <v>Bachelors</v>
      </c>
      <c r="D754" s="2" t="str">
        <f>Datos!G754</f>
        <v>A</v>
      </c>
      <c r="E754" s="2">
        <f>Datos!I754</f>
        <v>5.8</v>
      </c>
      <c r="F754" s="2">
        <f>Datos!J754</f>
        <v>87.9</v>
      </c>
      <c r="G754" s="2">
        <f>Datos!L754</f>
        <v>51.7</v>
      </c>
      <c r="H754" s="2">
        <f>Datos!M754</f>
        <v>93</v>
      </c>
      <c r="I754" s="2" t="b">
        <f t="shared" si="55"/>
        <v>1</v>
      </c>
      <c r="J754" s="2">
        <f t="shared" si="56"/>
        <v>93</v>
      </c>
      <c r="K754" s="2">
        <f t="shared" si="57"/>
        <v>5.8</v>
      </c>
      <c r="L754" s="2">
        <f t="shared" si="58"/>
        <v>51.7</v>
      </c>
      <c r="M754" s="2">
        <f t="shared" si="59"/>
        <v>87.9</v>
      </c>
    </row>
    <row r="755" spans="1:13" x14ac:dyDescent="0.3">
      <c r="A755" s="2">
        <f>Datos!A755</f>
        <v>765</v>
      </c>
      <c r="B755" s="2" t="str">
        <f>Datos!B755</f>
        <v>Female</v>
      </c>
      <c r="C755" s="2" t="str">
        <f>Datos!C755</f>
        <v>High School</v>
      </c>
      <c r="D755" s="2" t="str">
        <f>Datos!G755</f>
        <v>D</v>
      </c>
      <c r="E755" s="2">
        <f>Datos!I755</f>
        <v>1.5</v>
      </c>
      <c r="F755" s="2">
        <f>Datos!J755</f>
        <v>69.3</v>
      </c>
      <c r="G755" s="2">
        <f>Datos!L755</f>
        <v>56.6</v>
      </c>
      <c r="H755" s="2">
        <f>Datos!M755</f>
        <v>60.5</v>
      </c>
      <c r="I755" s="2" t="b">
        <f t="shared" si="55"/>
        <v>1</v>
      </c>
      <c r="J755" s="2">
        <f t="shared" si="56"/>
        <v>60.5</v>
      </c>
      <c r="K755" s="2">
        <f t="shared" si="57"/>
        <v>1.5</v>
      </c>
      <c r="L755" s="2">
        <f t="shared" si="58"/>
        <v>56.6</v>
      </c>
      <c r="M755" s="2">
        <f t="shared" si="59"/>
        <v>69.3</v>
      </c>
    </row>
    <row r="756" spans="1:13" x14ac:dyDescent="0.3">
      <c r="A756" s="2">
        <f>Datos!A756</f>
        <v>939</v>
      </c>
      <c r="B756" s="2" t="str">
        <f>Datos!B756</f>
        <v>Male</v>
      </c>
      <c r="C756" s="2" t="str">
        <f>Datos!C756</f>
        <v>PhD</v>
      </c>
      <c r="D756" s="2" t="str">
        <f>Datos!G756</f>
        <v>B</v>
      </c>
      <c r="E756" s="2">
        <f>Datos!I756</f>
        <v>4.8</v>
      </c>
      <c r="F756" s="2">
        <f>Datos!J756</f>
        <v>88</v>
      </c>
      <c r="G756" s="2">
        <f>Datos!L756</f>
        <v>67</v>
      </c>
      <c r="H756" s="2">
        <f>Datos!M756</f>
        <v>84.4</v>
      </c>
      <c r="I756" s="2" t="b">
        <f t="shared" si="55"/>
        <v>1</v>
      </c>
      <c r="J756" s="2">
        <f t="shared" si="56"/>
        <v>84.4</v>
      </c>
      <c r="K756" s="2">
        <f t="shared" si="57"/>
        <v>4.8</v>
      </c>
      <c r="L756" s="2">
        <f t="shared" si="58"/>
        <v>67</v>
      </c>
      <c r="M756" s="2">
        <f t="shared" si="59"/>
        <v>88</v>
      </c>
    </row>
    <row r="757" spans="1:13" x14ac:dyDescent="0.3">
      <c r="A757" s="2">
        <f>Datos!A757</f>
        <v>256</v>
      </c>
      <c r="B757" s="2" t="str">
        <f>Datos!B757</f>
        <v>Female</v>
      </c>
      <c r="C757" s="2">
        <f>Datos!C757</f>
        <v>0</v>
      </c>
      <c r="D757" s="2" t="str">
        <f>Datos!G757</f>
        <v>B</v>
      </c>
      <c r="E757" s="2">
        <f>Datos!I757</f>
        <v>5.2</v>
      </c>
      <c r="F757" s="2">
        <f>Datos!J757</f>
        <v>98.2</v>
      </c>
      <c r="G757" s="2">
        <f>Datos!L757</f>
        <v>54.5</v>
      </c>
      <c r="H757" s="2">
        <f>Datos!M757</f>
        <v>84.6</v>
      </c>
      <c r="I757" s="2" t="b">
        <f t="shared" si="55"/>
        <v>1</v>
      </c>
      <c r="J757" s="2">
        <f t="shared" si="56"/>
        <v>84.6</v>
      </c>
      <c r="K757" s="2">
        <f t="shared" si="57"/>
        <v>5.2</v>
      </c>
      <c r="L757" s="2">
        <f t="shared" si="58"/>
        <v>54.5</v>
      </c>
      <c r="M757" s="2">
        <f t="shared" si="59"/>
        <v>98.2</v>
      </c>
    </row>
    <row r="758" spans="1:13" x14ac:dyDescent="0.3">
      <c r="A758" s="2">
        <f>Datos!A758</f>
        <v>349</v>
      </c>
      <c r="B758" s="2" t="str">
        <f>Datos!B758</f>
        <v>Male</v>
      </c>
      <c r="C758" s="2" t="str">
        <f>Datos!C758</f>
        <v>Masters</v>
      </c>
      <c r="D758" s="2" t="str">
        <f>Datos!G758</f>
        <v>F</v>
      </c>
      <c r="E758" s="2">
        <f>Datos!I758</f>
        <v>2.9</v>
      </c>
      <c r="F758" s="2">
        <f>Datos!J758</f>
        <v>75.599999999999994</v>
      </c>
      <c r="G758" s="2">
        <f>Datos!L758</f>
        <v>73.400000000000006</v>
      </c>
      <c r="H758" s="2">
        <f>Datos!M758</f>
        <v>58</v>
      </c>
      <c r="I758" s="2" t="b">
        <f t="shared" si="55"/>
        <v>1</v>
      </c>
      <c r="J758" s="2">
        <f t="shared" si="56"/>
        <v>58</v>
      </c>
      <c r="K758" s="2">
        <f t="shared" si="57"/>
        <v>2.9</v>
      </c>
      <c r="L758" s="2">
        <f t="shared" si="58"/>
        <v>73.400000000000006</v>
      </c>
      <c r="M758" s="2">
        <f t="shared" si="59"/>
        <v>75.599999999999994</v>
      </c>
    </row>
    <row r="759" spans="1:13" x14ac:dyDescent="0.3">
      <c r="A759" s="2">
        <f>Datos!A759</f>
        <v>352</v>
      </c>
      <c r="B759" s="2" t="str">
        <f>Datos!B759</f>
        <v>Male</v>
      </c>
      <c r="C759" s="2" t="str">
        <f>Datos!C759</f>
        <v>Masters</v>
      </c>
      <c r="D759" s="2" t="str">
        <f>Datos!G759</f>
        <v>D</v>
      </c>
      <c r="E759" s="2">
        <f>Datos!I759</f>
        <v>1.1000000000000001</v>
      </c>
      <c r="F759" s="2">
        <f>Datos!J759</f>
        <v>71.599999999999994</v>
      </c>
      <c r="G759" s="2">
        <f>Datos!L759</f>
        <v>77.599999999999994</v>
      </c>
      <c r="H759" s="2">
        <f>Datos!M759</f>
        <v>62.4</v>
      </c>
      <c r="I759" s="2" t="b">
        <f t="shared" si="55"/>
        <v>1</v>
      </c>
      <c r="J759" s="2">
        <f t="shared" si="56"/>
        <v>62.4</v>
      </c>
      <c r="K759" s="2">
        <f t="shared" si="57"/>
        <v>1.1000000000000001</v>
      </c>
      <c r="L759" s="2">
        <f t="shared" si="58"/>
        <v>77.599999999999994</v>
      </c>
      <c r="M759" s="2">
        <f t="shared" si="59"/>
        <v>71.599999999999994</v>
      </c>
    </row>
    <row r="760" spans="1:13" x14ac:dyDescent="0.3">
      <c r="A760" s="2">
        <f>Datos!A760</f>
        <v>278</v>
      </c>
      <c r="B760" s="2" t="str">
        <f>Datos!B760</f>
        <v>Female</v>
      </c>
      <c r="C760" s="2" t="str">
        <f>Datos!C760</f>
        <v>Bachelors</v>
      </c>
      <c r="D760" s="2" t="str">
        <f>Datos!G760</f>
        <v>C</v>
      </c>
      <c r="E760" s="2">
        <f>Datos!I760</f>
        <v>1.9</v>
      </c>
      <c r="F760" s="2">
        <f>Datos!J760</f>
        <v>93.7</v>
      </c>
      <c r="G760" s="2">
        <f>Datos!L760</f>
        <v>84.7</v>
      </c>
      <c r="H760" s="2">
        <f>Datos!M760</f>
        <v>71.400000000000006</v>
      </c>
      <c r="I760" s="2" t="b">
        <f t="shared" si="55"/>
        <v>1</v>
      </c>
      <c r="J760" s="2">
        <f t="shared" si="56"/>
        <v>71.400000000000006</v>
      </c>
      <c r="K760" s="2">
        <f t="shared" si="57"/>
        <v>1.9</v>
      </c>
      <c r="L760" s="2">
        <f t="shared" si="58"/>
        <v>84.7</v>
      </c>
      <c r="M760" s="2">
        <f t="shared" si="59"/>
        <v>93.7</v>
      </c>
    </row>
    <row r="761" spans="1:13" x14ac:dyDescent="0.3">
      <c r="A761" s="2">
        <f>Datos!A761</f>
        <v>321</v>
      </c>
      <c r="B761" s="2" t="str">
        <f>Datos!B761</f>
        <v>Male</v>
      </c>
      <c r="C761" s="2" t="str">
        <f>Datos!C761</f>
        <v>Bachelors</v>
      </c>
      <c r="D761" s="2" t="str">
        <f>Datos!G761</f>
        <v>B</v>
      </c>
      <c r="E761" s="2">
        <f>Datos!I761</f>
        <v>1.9</v>
      </c>
      <c r="F761" s="2">
        <f>Datos!J761</f>
        <v>65.8</v>
      </c>
      <c r="G761" s="2">
        <f>Datos!L761</f>
        <v>93.9</v>
      </c>
      <c r="H761" s="2">
        <f>Datos!M761</f>
        <v>86.8</v>
      </c>
      <c r="I761" s="2" t="b">
        <f t="shared" si="55"/>
        <v>1</v>
      </c>
      <c r="J761" s="2">
        <f t="shared" si="56"/>
        <v>86.8</v>
      </c>
      <c r="K761" s="2">
        <f t="shared" si="57"/>
        <v>1.9</v>
      </c>
      <c r="L761" s="2">
        <f t="shared" si="58"/>
        <v>93.9</v>
      </c>
      <c r="M761" s="2">
        <f t="shared" si="59"/>
        <v>65.8</v>
      </c>
    </row>
    <row r="762" spans="1:13" x14ac:dyDescent="0.3">
      <c r="A762" s="2">
        <f>Datos!A762</f>
        <v>797</v>
      </c>
      <c r="B762" s="2" t="str">
        <f>Datos!B762</f>
        <v>Male</v>
      </c>
      <c r="C762" s="2" t="str">
        <f>Datos!C762</f>
        <v>Masters</v>
      </c>
      <c r="D762" s="2" t="str">
        <f>Datos!G762</f>
        <v>D</v>
      </c>
      <c r="E762" s="2">
        <f>Datos!I762</f>
        <v>2.8</v>
      </c>
      <c r="F762" s="2">
        <f>Datos!J762</f>
        <v>67.400000000000006</v>
      </c>
      <c r="G762" s="2">
        <f>Datos!L762</f>
        <v>74.5</v>
      </c>
      <c r="H762" s="2">
        <f>Datos!M762</f>
        <v>65.2</v>
      </c>
      <c r="I762" s="2" t="b">
        <f t="shared" si="55"/>
        <v>1</v>
      </c>
      <c r="J762" s="2">
        <f t="shared" si="56"/>
        <v>65.2</v>
      </c>
      <c r="K762" s="2">
        <f t="shared" si="57"/>
        <v>2.8</v>
      </c>
      <c r="L762" s="2">
        <f t="shared" si="58"/>
        <v>74.5</v>
      </c>
      <c r="M762" s="2">
        <f t="shared" si="59"/>
        <v>67.400000000000006</v>
      </c>
    </row>
    <row r="763" spans="1:13" x14ac:dyDescent="0.3">
      <c r="A763" s="2">
        <f>Datos!A763</f>
        <v>656</v>
      </c>
      <c r="B763" s="2" t="str">
        <f>Datos!B763</f>
        <v>Female</v>
      </c>
      <c r="C763" s="2">
        <f>Datos!C763</f>
        <v>0</v>
      </c>
      <c r="D763" s="2" t="str">
        <f>Datos!G763</f>
        <v>B</v>
      </c>
      <c r="E763" s="2">
        <f>Datos!I763</f>
        <v>6.7</v>
      </c>
      <c r="F763" s="2">
        <f>Datos!J763</f>
        <v>68.7</v>
      </c>
      <c r="G763" s="2">
        <f>Datos!L763</f>
        <v>82.9</v>
      </c>
      <c r="H763" s="2">
        <f>Datos!M763</f>
        <v>87.9</v>
      </c>
      <c r="I763" s="2" t="b">
        <f t="shared" si="55"/>
        <v>1</v>
      </c>
      <c r="J763" s="2">
        <f t="shared" si="56"/>
        <v>87.9</v>
      </c>
      <c r="K763" s="2">
        <f t="shared" si="57"/>
        <v>6.7</v>
      </c>
      <c r="L763" s="2">
        <f t="shared" si="58"/>
        <v>82.9</v>
      </c>
      <c r="M763" s="2">
        <f t="shared" si="59"/>
        <v>68.7</v>
      </c>
    </row>
    <row r="764" spans="1:13" x14ac:dyDescent="0.3">
      <c r="A764" s="2">
        <f>Datos!A764</f>
        <v>44</v>
      </c>
      <c r="B764" s="2" t="str">
        <f>Datos!B764</f>
        <v>Male</v>
      </c>
      <c r="C764" s="2" t="str">
        <f>Datos!C764</f>
        <v>PhD</v>
      </c>
      <c r="D764" s="2" t="str">
        <f>Datos!G764</f>
        <v>C</v>
      </c>
      <c r="E764" s="2">
        <f>Datos!I764</f>
        <v>4.5999999999999996</v>
      </c>
      <c r="F764" s="2">
        <f>Datos!J764</f>
        <v>69.3</v>
      </c>
      <c r="G764" s="2">
        <f>Datos!L764</f>
        <v>84.5</v>
      </c>
      <c r="H764" s="2">
        <f>Datos!M764</f>
        <v>73.900000000000006</v>
      </c>
      <c r="I764" s="2" t="b">
        <f t="shared" si="55"/>
        <v>1</v>
      </c>
      <c r="J764" s="2">
        <f t="shared" si="56"/>
        <v>73.900000000000006</v>
      </c>
      <c r="K764" s="2">
        <f t="shared" si="57"/>
        <v>4.5999999999999996</v>
      </c>
      <c r="L764" s="2">
        <f t="shared" si="58"/>
        <v>84.5</v>
      </c>
      <c r="M764" s="2">
        <f t="shared" si="59"/>
        <v>69.3</v>
      </c>
    </row>
    <row r="765" spans="1:13" x14ac:dyDescent="0.3">
      <c r="A765" s="2">
        <f>Datos!A765</f>
        <v>374</v>
      </c>
      <c r="B765" s="2" t="str">
        <f>Datos!B765</f>
        <v>Female</v>
      </c>
      <c r="C765" s="2" t="str">
        <f>Datos!C765</f>
        <v>Bachelors</v>
      </c>
      <c r="D765" s="2" t="str">
        <f>Datos!G765</f>
        <v>C</v>
      </c>
      <c r="E765" s="2">
        <f>Datos!I765</f>
        <v>2.5</v>
      </c>
      <c r="F765" s="2">
        <f>Datos!J765</f>
        <v>76.599999999999994</v>
      </c>
      <c r="G765" s="2">
        <f>Datos!L765</f>
        <v>88.6</v>
      </c>
      <c r="H765" s="2">
        <f>Datos!M765</f>
        <v>72.900000000000006</v>
      </c>
      <c r="I765" s="2" t="b">
        <f t="shared" si="55"/>
        <v>1</v>
      </c>
      <c r="J765" s="2">
        <f t="shared" si="56"/>
        <v>72.900000000000006</v>
      </c>
      <c r="K765" s="2">
        <f t="shared" si="57"/>
        <v>2.5</v>
      </c>
      <c r="L765" s="2">
        <f t="shared" si="58"/>
        <v>88.6</v>
      </c>
      <c r="M765" s="2">
        <f t="shared" si="59"/>
        <v>76.599999999999994</v>
      </c>
    </row>
    <row r="766" spans="1:13" x14ac:dyDescent="0.3">
      <c r="A766" s="2">
        <f>Datos!A766</f>
        <v>549</v>
      </c>
      <c r="B766" s="2" t="str">
        <f>Datos!B766</f>
        <v>Female</v>
      </c>
      <c r="C766" s="2" t="str">
        <f>Datos!C766</f>
        <v>PhD</v>
      </c>
      <c r="D766" s="2" t="str">
        <f>Datos!G766</f>
        <v>D</v>
      </c>
      <c r="E766" s="2">
        <f>Datos!I766</f>
        <v>4</v>
      </c>
      <c r="F766" s="2">
        <f>Datos!J766</f>
        <v>93</v>
      </c>
      <c r="G766" s="2">
        <f>Datos!L766</f>
        <v>48.7</v>
      </c>
      <c r="H766" s="2">
        <f>Datos!M766</f>
        <v>64.400000000000006</v>
      </c>
      <c r="I766" s="2" t="b">
        <f t="shared" si="55"/>
        <v>1</v>
      </c>
      <c r="J766" s="2">
        <f t="shared" si="56"/>
        <v>64.400000000000006</v>
      </c>
      <c r="K766" s="2">
        <f t="shared" si="57"/>
        <v>4</v>
      </c>
      <c r="L766" s="2">
        <f t="shared" si="58"/>
        <v>48.7</v>
      </c>
      <c r="M766" s="2">
        <f t="shared" si="59"/>
        <v>93</v>
      </c>
    </row>
    <row r="767" spans="1:13" x14ac:dyDescent="0.3">
      <c r="A767" s="2">
        <f>Datos!A767</f>
        <v>446</v>
      </c>
      <c r="B767" s="2" t="str">
        <f>Datos!B767</f>
        <v>Male</v>
      </c>
      <c r="C767" s="2" t="str">
        <f>Datos!C767</f>
        <v>Bachelors</v>
      </c>
      <c r="D767" s="2" t="str">
        <f>Datos!G767</f>
        <v>F</v>
      </c>
      <c r="E767" s="2">
        <f>Datos!I767</f>
        <v>4.0999999999999996</v>
      </c>
      <c r="F767" s="2">
        <f>Datos!J767</f>
        <v>73.8</v>
      </c>
      <c r="G767" s="2">
        <f>Datos!L767</f>
        <v>46.6</v>
      </c>
      <c r="H767" s="2">
        <f>Datos!M767</f>
        <v>59.5</v>
      </c>
      <c r="I767" s="2" t="b">
        <f t="shared" si="55"/>
        <v>1</v>
      </c>
      <c r="J767" s="2">
        <f t="shared" si="56"/>
        <v>59.5</v>
      </c>
      <c r="K767" s="2">
        <f t="shared" si="57"/>
        <v>4.0999999999999996</v>
      </c>
      <c r="L767" s="2">
        <f t="shared" si="58"/>
        <v>46.6</v>
      </c>
      <c r="M767" s="2">
        <f t="shared" si="59"/>
        <v>73.8</v>
      </c>
    </row>
    <row r="768" spans="1:13" x14ac:dyDescent="0.3">
      <c r="A768" s="2">
        <f>Datos!A768</f>
        <v>118</v>
      </c>
      <c r="B768" s="2" t="str">
        <f>Datos!B768</f>
        <v>Female</v>
      </c>
      <c r="C768" s="2" t="str">
        <f>Datos!C768</f>
        <v>PhD</v>
      </c>
      <c r="D768" s="2" t="str">
        <f>Datos!G768</f>
        <v>C</v>
      </c>
      <c r="E768" s="2">
        <f>Datos!I768</f>
        <v>1.8</v>
      </c>
      <c r="F768" s="2">
        <f>Datos!J768</f>
        <v>84</v>
      </c>
      <c r="G768" s="2">
        <f>Datos!L768</f>
        <v>72.5</v>
      </c>
      <c r="H768" s="2">
        <f>Datos!M768</f>
        <v>75.7</v>
      </c>
      <c r="I768" s="2" t="b">
        <f t="shared" si="55"/>
        <v>1</v>
      </c>
      <c r="J768" s="2">
        <f t="shared" si="56"/>
        <v>75.7</v>
      </c>
      <c r="K768" s="2">
        <f t="shared" si="57"/>
        <v>1.8</v>
      </c>
      <c r="L768" s="2">
        <f t="shared" si="58"/>
        <v>72.5</v>
      </c>
      <c r="M768" s="2">
        <f t="shared" si="59"/>
        <v>84</v>
      </c>
    </row>
    <row r="769" spans="1:13" x14ac:dyDescent="0.3">
      <c r="A769" s="2">
        <f>Datos!A769</f>
        <v>622</v>
      </c>
      <c r="B769" s="2" t="str">
        <f>Datos!B769</f>
        <v>Male</v>
      </c>
      <c r="C769" s="2">
        <f>Datos!C769</f>
        <v>0</v>
      </c>
      <c r="D769" s="2" t="str">
        <f>Datos!G769</f>
        <v>A</v>
      </c>
      <c r="E769" s="2">
        <f>Datos!I769</f>
        <v>6.3</v>
      </c>
      <c r="F769" s="2">
        <f>Datos!J769</f>
        <v>96.9</v>
      </c>
      <c r="G769" s="2">
        <f>Datos!L769</f>
        <v>60.7</v>
      </c>
      <c r="H769" s="2">
        <f>Datos!M769</f>
        <v>91</v>
      </c>
      <c r="I769" s="2" t="b">
        <f t="shared" si="55"/>
        <v>1</v>
      </c>
      <c r="J769" s="2">
        <f t="shared" si="56"/>
        <v>91</v>
      </c>
      <c r="K769" s="2">
        <f t="shared" si="57"/>
        <v>6.3</v>
      </c>
      <c r="L769" s="2">
        <f t="shared" si="58"/>
        <v>60.7</v>
      </c>
      <c r="M769" s="2">
        <f t="shared" si="59"/>
        <v>96.9</v>
      </c>
    </row>
    <row r="770" spans="1:13" x14ac:dyDescent="0.3">
      <c r="A770" s="2">
        <f>Datos!A770</f>
        <v>709</v>
      </c>
      <c r="B770" s="2" t="str">
        <f>Datos!B770</f>
        <v>Male</v>
      </c>
      <c r="C770" s="2" t="str">
        <f>Datos!C770</f>
        <v>High School</v>
      </c>
      <c r="D770" s="2" t="str">
        <f>Datos!G770</f>
        <v>D</v>
      </c>
      <c r="E770" s="2">
        <f>Datos!I770</f>
        <v>1.4</v>
      </c>
      <c r="F770" s="2">
        <f>Datos!J770</f>
        <v>86.9</v>
      </c>
      <c r="G770" s="2">
        <f>Datos!L770</f>
        <v>82.6</v>
      </c>
      <c r="H770" s="2">
        <f>Datos!M770</f>
        <v>74.099999999999994</v>
      </c>
      <c r="I770" s="2" t="b">
        <f t="shared" ref="I770:I833" si="60">AND(E770&gt;=0,E770&lt;=12,F770&gt;=0,F770&lt;=100,G770&gt;=0,G770&lt;=100,H770&gt;=0,H770&lt;=100)</f>
        <v>1</v>
      </c>
      <c r="J770" s="2">
        <f t="shared" ref="J770:J833" si="61">IF(I770,H770,"")</f>
        <v>74.099999999999994</v>
      </c>
      <c r="K770" s="2">
        <f t="shared" ref="K770:K833" si="62">IF(I770,E770,"")</f>
        <v>1.4</v>
      </c>
      <c r="L770" s="2">
        <f t="shared" ref="L770:L833" si="63">IF(I770,G770,"")</f>
        <v>82.6</v>
      </c>
      <c r="M770" s="2">
        <f t="shared" ref="M770:M833" si="64">IF(I770,F770,"")</f>
        <v>86.9</v>
      </c>
    </row>
    <row r="771" spans="1:13" x14ac:dyDescent="0.3">
      <c r="A771" s="2">
        <f>Datos!A771</f>
        <v>935</v>
      </c>
      <c r="B771" s="2" t="str">
        <f>Datos!B771</f>
        <v>Male</v>
      </c>
      <c r="C771" s="2" t="str">
        <f>Datos!C771</f>
        <v>High School</v>
      </c>
      <c r="D771" s="2" t="str">
        <f>Datos!G771</f>
        <v>D</v>
      </c>
      <c r="E771" s="2">
        <f>Datos!I771</f>
        <v>4.0999999999999996</v>
      </c>
      <c r="F771" s="2">
        <f>Datos!J771</f>
        <v>92.7</v>
      </c>
      <c r="G771" s="2">
        <f>Datos!L771</f>
        <v>36.5</v>
      </c>
      <c r="H771" s="2">
        <f>Datos!M771</f>
        <v>64.2</v>
      </c>
      <c r="I771" s="2" t="b">
        <f t="shared" si="60"/>
        <v>1</v>
      </c>
      <c r="J771" s="2">
        <f t="shared" si="61"/>
        <v>64.2</v>
      </c>
      <c r="K771" s="2">
        <f t="shared" si="62"/>
        <v>4.0999999999999996</v>
      </c>
      <c r="L771" s="2">
        <f t="shared" si="63"/>
        <v>36.5</v>
      </c>
      <c r="M771" s="2">
        <f t="shared" si="64"/>
        <v>92.7</v>
      </c>
    </row>
    <row r="772" spans="1:13" x14ac:dyDescent="0.3">
      <c r="A772" s="2">
        <f>Datos!A772</f>
        <v>554</v>
      </c>
      <c r="B772" s="2" t="str">
        <f>Datos!B772</f>
        <v>Male</v>
      </c>
      <c r="C772" s="2" t="str">
        <f>Datos!C772</f>
        <v>PhD</v>
      </c>
      <c r="D772" s="2" t="str">
        <f>Datos!G772</f>
        <v>F</v>
      </c>
      <c r="E772" s="2">
        <f>Datos!I772</f>
        <v>1.2</v>
      </c>
      <c r="F772" s="2">
        <f>Datos!J772</f>
        <v>65.2</v>
      </c>
      <c r="G772" s="2">
        <f>Datos!L772</f>
        <v>48.4</v>
      </c>
      <c r="H772" s="2">
        <f>Datos!M772</f>
        <v>52.6</v>
      </c>
      <c r="I772" s="2" t="b">
        <f t="shared" si="60"/>
        <v>1</v>
      </c>
      <c r="J772" s="2">
        <f t="shared" si="61"/>
        <v>52.6</v>
      </c>
      <c r="K772" s="2">
        <f t="shared" si="62"/>
        <v>1.2</v>
      </c>
      <c r="L772" s="2">
        <f t="shared" si="63"/>
        <v>48.4</v>
      </c>
      <c r="M772" s="2">
        <f t="shared" si="64"/>
        <v>65.2</v>
      </c>
    </row>
    <row r="773" spans="1:13" x14ac:dyDescent="0.3">
      <c r="A773" s="2">
        <f>Datos!A773</f>
        <v>296</v>
      </c>
      <c r="B773" s="2" t="str">
        <f>Datos!B773</f>
        <v>Female</v>
      </c>
      <c r="C773" s="2">
        <f>Datos!C773</f>
        <v>0</v>
      </c>
      <c r="D773" s="2" t="str">
        <f>Datos!G773</f>
        <v>C</v>
      </c>
      <c r="E773" s="2">
        <f>Datos!I773</f>
        <v>2</v>
      </c>
      <c r="F773" s="2">
        <f>Datos!J773</f>
        <v>94.4</v>
      </c>
      <c r="G773" s="2">
        <f>Datos!L773</f>
        <v>83.3</v>
      </c>
      <c r="H773" s="2">
        <f>Datos!M773</f>
        <v>72.599999999999994</v>
      </c>
      <c r="I773" s="2" t="b">
        <f t="shared" si="60"/>
        <v>1</v>
      </c>
      <c r="J773" s="2">
        <f t="shared" si="61"/>
        <v>72.599999999999994</v>
      </c>
      <c r="K773" s="2">
        <f t="shared" si="62"/>
        <v>2</v>
      </c>
      <c r="L773" s="2">
        <f t="shared" si="63"/>
        <v>83.3</v>
      </c>
      <c r="M773" s="2">
        <f t="shared" si="64"/>
        <v>94.4</v>
      </c>
    </row>
    <row r="774" spans="1:13" x14ac:dyDescent="0.3">
      <c r="A774" s="2">
        <f>Datos!A774</f>
        <v>675</v>
      </c>
      <c r="B774" s="2" t="str">
        <f>Datos!B774</f>
        <v>Male</v>
      </c>
      <c r="C774" s="2" t="str">
        <f>Datos!C774</f>
        <v>High School</v>
      </c>
      <c r="D774" s="2" t="str">
        <f>Datos!G774</f>
        <v>F</v>
      </c>
      <c r="E774" s="2">
        <f>Datos!I774</f>
        <v>1</v>
      </c>
      <c r="F774" s="2">
        <f>Datos!J774</f>
        <v>68.400000000000006</v>
      </c>
      <c r="G774" s="2">
        <f>Datos!L774</f>
        <v>78.8</v>
      </c>
      <c r="H774" s="2">
        <f>Datos!M774</f>
        <v>59.8</v>
      </c>
      <c r="I774" s="2" t="b">
        <f t="shared" si="60"/>
        <v>1</v>
      </c>
      <c r="J774" s="2">
        <f t="shared" si="61"/>
        <v>59.8</v>
      </c>
      <c r="K774" s="2">
        <f t="shared" si="62"/>
        <v>1</v>
      </c>
      <c r="L774" s="2">
        <f t="shared" si="63"/>
        <v>78.8</v>
      </c>
      <c r="M774" s="2">
        <f t="shared" si="64"/>
        <v>68.400000000000006</v>
      </c>
    </row>
    <row r="775" spans="1:13" x14ac:dyDescent="0.3">
      <c r="A775" s="2">
        <f>Datos!A775</f>
        <v>466</v>
      </c>
      <c r="B775" s="2" t="str">
        <f>Datos!B775</f>
        <v>Female</v>
      </c>
      <c r="C775" s="2" t="str">
        <f>Datos!C775</f>
        <v>High School</v>
      </c>
      <c r="D775" s="2" t="str">
        <f>Datos!G775</f>
        <v>D</v>
      </c>
      <c r="E775" s="2">
        <f>Datos!I775</f>
        <v>3.9</v>
      </c>
      <c r="F775" s="2">
        <f>Datos!J775</f>
        <v>82.2</v>
      </c>
      <c r="G775" s="2">
        <f>Datos!L775</f>
        <v>83.4</v>
      </c>
      <c r="H775" s="2">
        <f>Datos!M775</f>
        <v>66.3</v>
      </c>
      <c r="I775" s="2" t="b">
        <f t="shared" si="60"/>
        <v>1</v>
      </c>
      <c r="J775" s="2">
        <f t="shared" si="61"/>
        <v>66.3</v>
      </c>
      <c r="K775" s="2">
        <f t="shared" si="62"/>
        <v>3.9</v>
      </c>
      <c r="L775" s="2">
        <f t="shared" si="63"/>
        <v>83.4</v>
      </c>
      <c r="M775" s="2">
        <f t="shared" si="64"/>
        <v>82.2</v>
      </c>
    </row>
    <row r="776" spans="1:13" x14ac:dyDescent="0.3">
      <c r="A776" s="2">
        <f>Datos!A776</f>
        <v>32</v>
      </c>
      <c r="B776" s="2" t="str">
        <f>Datos!B776</f>
        <v>Female</v>
      </c>
      <c r="C776" s="2">
        <f>Datos!C776</f>
        <v>0</v>
      </c>
      <c r="D776" s="2" t="str">
        <f>Datos!G776</f>
        <v>F</v>
      </c>
      <c r="E776" s="2">
        <f>Datos!I776</f>
        <v>1.7</v>
      </c>
      <c r="F776" s="2">
        <f>Datos!J776</f>
        <v>73.3</v>
      </c>
      <c r="G776" s="2">
        <f>Datos!L776</f>
        <v>57.4</v>
      </c>
      <c r="H776" s="2">
        <f>Datos!M776</f>
        <v>58</v>
      </c>
      <c r="I776" s="2" t="b">
        <f t="shared" si="60"/>
        <v>1</v>
      </c>
      <c r="J776" s="2">
        <f t="shared" si="61"/>
        <v>58</v>
      </c>
      <c r="K776" s="2">
        <f t="shared" si="62"/>
        <v>1.7</v>
      </c>
      <c r="L776" s="2">
        <f t="shared" si="63"/>
        <v>57.4</v>
      </c>
      <c r="M776" s="2">
        <f t="shared" si="64"/>
        <v>73.3</v>
      </c>
    </row>
    <row r="777" spans="1:13" x14ac:dyDescent="0.3">
      <c r="A777" s="2">
        <f>Datos!A777</f>
        <v>315</v>
      </c>
      <c r="B777" s="2" t="str">
        <f>Datos!B777</f>
        <v>Female</v>
      </c>
      <c r="C777" s="2" t="str">
        <f>Datos!C777</f>
        <v>Masters</v>
      </c>
      <c r="D777" s="2" t="str">
        <f>Datos!G777</f>
        <v>D</v>
      </c>
      <c r="E777" s="2">
        <f>Datos!I777</f>
        <v>1.9</v>
      </c>
      <c r="F777" s="2">
        <f>Datos!J777</f>
        <v>80.8</v>
      </c>
      <c r="G777" s="2">
        <f>Datos!L777</f>
        <v>74</v>
      </c>
      <c r="H777" s="2">
        <f>Datos!M777</f>
        <v>64.7</v>
      </c>
      <c r="I777" s="2" t="b">
        <f t="shared" si="60"/>
        <v>1</v>
      </c>
      <c r="J777" s="2">
        <f t="shared" si="61"/>
        <v>64.7</v>
      </c>
      <c r="K777" s="2">
        <f t="shared" si="62"/>
        <v>1.9</v>
      </c>
      <c r="L777" s="2">
        <f t="shared" si="63"/>
        <v>74</v>
      </c>
      <c r="M777" s="2">
        <f t="shared" si="64"/>
        <v>80.8</v>
      </c>
    </row>
    <row r="778" spans="1:13" x14ac:dyDescent="0.3">
      <c r="A778" s="2">
        <f>Datos!A778</f>
        <v>30</v>
      </c>
      <c r="B778" s="2" t="str">
        <f>Datos!B778</f>
        <v>Male</v>
      </c>
      <c r="C778" s="2" t="str">
        <f>Datos!C778</f>
        <v>High School</v>
      </c>
      <c r="D778" s="2" t="str">
        <f>Datos!G778</f>
        <v>F</v>
      </c>
      <c r="E778" s="2">
        <f>Datos!I778</f>
        <v>1.4</v>
      </c>
      <c r="F778" s="2">
        <f>Datos!J778</f>
        <v>97.2</v>
      </c>
      <c r="G778" s="2">
        <f>Datos!L778</f>
        <v>36.299999999999997</v>
      </c>
      <c r="H778" s="2">
        <f>Datos!M778</f>
        <v>51.3</v>
      </c>
      <c r="I778" s="2" t="b">
        <f t="shared" si="60"/>
        <v>1</v>
      </c>
      <c r="J778" s="2">
        <f t="shared" si="61"/>
        <v>51.3</v>
      </c>
      <c r="K778" s="2">
        <f t="shared" si="62"/>
        <v>1.4</v>
      </c>
      <c r="L778" s="2">
        <f t="shared" si="63"/>
        <v>36.299999999999997</v>
      </c>
      <c r="M778" s="2">
        <f t="shared" si="64"/>
        <v>97.2</v>
      </c>
    </row>
    <row r="779" spans="1:13" x14ac:dyDescent="0.3">
      <c r="A779" s="2">
        <f>Datos!A779</f>
        <v>79</v>
      </c>
      <c r="B779" s="2" t="str">
        <f>Datos!B779</f>
        <v>Male</v>
      </c>
      <c r="C779" s="2" t="str">
        <f>Datos!C779</f>
        <v>Bachelors</v>
      </c>
      <c r="D779" s="2" t="str">
        <f>Datos!G779</f>
        <v>B</v>
      </c>
      <c r="E779" s="2">
        <f>Datos!I779</f>
        <v>5.6</v>
      </c>
      <c r="F779" s="2">
        <f>Datos!J779</f>
        <v>92.4</v>
      </c>
      <c r="G779" s="2">
        <f>Datos!L779</f>
        <v>83.9</v>
      </c>
      <c r="H779" s="2">
        <f>Datos!M779</f>
        <v>87.1</v>
      </c>
      <c r="I779" s="2" t="b">
        <f t="shared" si="60"/>
        <v>1</v>
      </c>
      <c r="J779" s="2">
        <f t="shared" si="61"/>
        <v>87.1</v>
      </c>
      <c r="K779" s="2">
        <f t="shared" si="62"/>
        <v>5.6</v>
      </c>
      <c r="L779" s="2">
        <f t="shared" si="63"/>
        <v>83.9</v>
      </c>
      <c r="M779" s="2">
        <f t="shared" si="64"/>
        <v>92.4</v>
      </c>
    </row>
    <row r="780" spans="1:13" x14ac:dyDescent="0.3">
      <c r="A780" s="2">
        <f>Datos!A780</f>
        <v>239</v>
      </c>
      <c r="B780" s="2" t="str">
        <f>Datos!B780</f>
        <v>Male</v>
      </c>
      <c r="C780" s="2" t="str">
        <f>Datos!C780</f>
        <v>PhD</v>
      </c>
      <c r="D780" s="2" t="str">
        <f>Datos!G780</f>
        <v>C</v>
      </c>
      <c r="E780" s="2">
        <f>Datos!I780</f>
        <v>1.1000000000000001</v>
      </c>
      <c r="F780" s="2">
        <f>Datos!J780</f>
        <v>99.8</v>
      </c>
      <c r="G780" s="2">
        <f>Datos!L780</f>
        <v>81.2</v>
      </c>
      <c r="H780" s="2">
        <f>Datos!M780</f>
        <v>71</v>
      </c>
      <c r="I780" s="2" t="b">
        <f t="shared" si="60"/>
        <v>1</v>
      </c>
      <c r="J780" s="2">
        <f t="shared" si="61"/>
        <v>71</v>
      </c>
      <c r="K780" s="2">
        <f t="shared" si="62"/>
        <v>1.1000000000000001</v>
      </c>
      <c r="L780" s="2">
        <f t="shared" si="63"/>
        <v>81.2</v>
      </c>
      <c r="M780" s="2">
        <f t="shared" si="64"/>
        <v>99.8</v>
      </c>
    </row>
    <row r="781" spans="1:13" x14ac:dyDescent="0.3">
      <c r="A781" s="2">
        <f>Datos!A781</f>
        <v>947</v>
      </c>
      <c r="B781" s="2" t="str">
        <f>Datos!B781</f>
        <v>Female</v>
      </c>
      <c r="C781" s="2">
        <f>Datos!C781</f>
        <v>0</v>
      </c>
      <c r="D781" s="2" t="str">
        <f>Datos!G781</f>
        <v>B</v>
      </c>
      <c r="E781" s="2">
        <f>Datos!I781</f>
        <v>6.6</v>
      </c>
      <c r="F781" s="2">
        <f>Datos!J781</f>
        <v>90.9</v>
      </c>
      <c r="G781" s="2">
        <f>Datos!L781</f>
        <v>50.4</v>
      </c>
      <c r="H781" s="2">
        <f>Datos!M781</f>
        <v>87.5</v>
      </c>
      <c r="I781" s="2" t="b">
        <f t="shared" si="60"/>
        <v>1</v>
      </c>
      <c r="J781" s="2">
        <f t="shared" si="61"/>
        <v>87.5</v>
      </c>
      <c r="K781" s="2">
        <f t="shared" si="62"/>
        <v>6.6</v>
      </c>
      <c r="L781" s="2">
        <f t="shared" si="63"/>
        <v>50.4</v>
      </c>
      <c r="M781" s="2">
        <f t="shared" si="64"/>
        <v>90.9</v>
      </c>
    </row>
    <row r="782" spans="1:13" x14ac:dyDescent="0.3">
      <c r="A782" s="2">
        <f>Datos!A782</f>
        <v>653</v>
      </c>
      <c r="B782" s="2" t="str">
        <f>Datos!B782</f>
        <v>Male</v>
      </c>
      <c r="C782" s="2" t="str">
        <f>Datos!C782</f>
        <v>Masters</v>
      </c>
      <c r="D782" s="2" t="str">
        <f>Datos!G782</f>
        <v>B</v>
      </c>
      <c r="E782" s="2">
        <f>Datos!I782</f>
        <v>6.7</v>
      </c>
      <c r="F782" s="2">
        <f>Datos!J782</f>
        <v>82.2</v>
      </c>
      <c r="G782" s="2">
        <f>Datos!L782</f>
        <v>40.1</v>
      </c>
      <c r="H782" s="2">
        <f>Datos!M782</f>
        <v>80</v>
      </c>
      <c r="I782" s="2" t="b">
        <f t="shared" si="60"/>
        <v>1</v>
      </c>
      <c r="J782" s="2">
        <f t="shared" si="61"/>
        <v>80</v>
      </c>
      <c r="K782" s="2">
        <f t="shared" si="62"/>
        <v>6.7</v>
      </c>
      <c r="L782" s="2">
        <f t="shared" si="63"/>
        <v>40.1</v>
      </c>
      <c r="M782" s="2">
        <f t="shared" si="64"/>
        <v>82.2</v>
      </c>
    </row>
    <row r="783" spans="1:13" x14ac:dyDescent="0.3">
      <c r="A783" s="2">
        <f>Datos!A783</f>
        <v>214</v>
      </c>
      <c r="B783" s="2" t="str">
        <f>Datos!B783</f>
        <v>Female</v>
      </c>
      <c r="C783" s="2" t="str">
        <f>Datos!C783</f>
        <v>Bachelors</v>
      </c>
      <c r="D783" s="2" t="str">
        <f>Datos!G783</f>
        <v>C</v>
      </c>
      <c r="E783" s="2">
        <f>Datos!I783</f>
        <v>2.5</v>
      </c>
      <c r="F783" s="2">
        <f>Datos!J783</f>
        <v>81.7</v>
      </c>
      <c r="G783" s="2">
        <f>Datos!L783</f>
        <v>77.7</v>
      </c>
      <c r="H783" s="2">
        <f>Datos!M783</f>
        <v>71.099999999999994</v>
      </c>
      <c r="I783" s="2" t="b">
        <f t="shared" si="60"/>
        <v>1</v>
      </c>
      <c r="J783" s="2">
        <f t="shared" si="61"/>
        <v>71.099999999999994</v>
      </c>
      <c r="K783" s="2">
        <f t="shared" si="62"/>
        <v>2.5</v>
      </c>
      <c r="L783" s="2">
        <f t="shared" si="63"/>
        <v>77.7</v>
      </c>
      <c r="M783" s="2">
        <f t="shared" si="64"/>
        <v>81.7</v>
      </c>
    </row>
    <row r="784" spans="1:13" x14ac:dyDescent="0.3">
      <c r="A784" s="2">
        <f>Datos!A784</f>
        <v>743</v>
      </c>
      <c r="B784" s="2" t="str">
        <f>Datos!B784</f>
        <v>Male</v>
      </c>
      <c r="C784" s="2" t="str">
        <f>Datos!C784</f>
        <v>High School</v>
      </c>
      <c r="D784" s="2" t="str">
        <f>Datos!G784</f>
        <v>B</v>
      </c>
      <c r="E784" s="2">
        <f>Datos!I784</f>
        <v>2.7</v>
      </c>
      <c r="F784" s="2">
        <f>Datos!J784</f>
        <v>83.5</v>
      </c>
      <c r="G784" s="2">
        <f>Datos!L784</f>
        <v>93.8</v>
      </c>
      <c r="H784" s="2">
        <f>Datos!M784</f>
        <v>86</v>
      </c>
      <c r="I784" s="2" t="b">
        <f t="shared" si="60"/>
        <v>1</v>
      </c>
      <c r="J784" s="2">
        <f t="shared" si="61"/>
        <v>86</v>
      </c>
      <c r="K784" s="2">
        <f t="shared" si="62"/>
        <v>2.7</v>
      </c>
      <c r="L784" s="2">
        <f t="shared" si="63"/>
        <v>93.8</v>
      </c>
      <c r="M784" s="2">
        <f t="shared" si="64"/>
        <v>83.5</v>
      </c>
    </row>
    <row r="785" spans="1:13" x14ac:dyDescent="0.3">
      <c r="A785" s="2">
        <f>Datos!A785</f>
        <v>95</v>
      </c>
      <c r="B785" s="2" t="str">
        <f>Datos!B785</f>
        <v>Male</v>
      </c>
      <c r="C785" s="2" t="str">
        <f>Datos!C785</f>
        <v>PhD</v>
      </c>
      <c r="D785" s="2" t="str">
        <f>Datos!G785</f>
        <v>C</v>
      </c>
      <c r="E785" s="2">
        <f>Datos!I785</f>
        <v>1.7</v>
      </c>
      <c r="F785" s="2">
        <f>Datos!J785</f>
        <v>72</v>
      </c>
      <c r="G785" s="2">
        <f>Datos!L785</f>
        <v>79</v>
      </c>
      <c r="H785" s="2">
        <f>Datos!M785</f>
        <v>70.099999999999994</v>
      </c>
      <c r="I785" s="2" t="b">
        <f t="shared" si="60"/>
        <v>1</v>
      </c>
      <c r="J785" s="2">
        <f t="shared" si="61"/>
        <v>70.099999999999994</v>
      </c>
      <c r="K785" s="2">
        <f t="shared" si="62"/>
        <v>1.7</v>
      </c>
      <c r="L785" s="2">
        <f t="shared" si="63"/>
        <v>79</v>
      </c>
      <c r="M785" s="2">
        <f t="shared" si="64"/>
        <v>72</v>
      </c>
    </row>
    <row r="786" spans="1:13" x14ac:dyDescent="0.3">
      <c r="A786" s="2">
        <f>Datos!A786</f>
        <v>246</v>
      </c>
      <c r="B786" s="2" t="str">
        <f>Datos!B786</f>
        <v>Male</v>
      </c>
      <c r="C786" s="2">
        <f>Datos!C786</f>
        <v>0</v>
      </c>
      <c r="D786" s="2" t="str">
        <f>Datos!G786</f>
        <v>C</v>
      </c>
      <c r="E786" s="2">
        <f>Datos!I786</f>
        <v>1.2</v>
      </c>
      <c r="F786" s="2">
        <f>Datos!J786</f>
        <v>100</v>
      </c>
      <c r="G786" s="2">
        <f>Datos!L786</f>
        <v>40.299999999999997</v>
      </c>
      <c r="H786" s="2">
        <f>Datos!M786</f>
        <v>74</v>
      </c>
      <c r="I786" s="2" t="b">
        <f t="shared" si="60"/>
        <v>1</v>
      </c>
      <c r="J786" s="2">
        <f t="shared" si="61"/>
        <v>74</v>
      </c>
      <c r="K786" s="2">
        <f t="shared" si="62"/>
        <v>1.2</v>
      </c>
      <c r="L786" s="2">
        <f t="shared" si="63"/>
        <v>40.299999999999997</v>
      </c>
      <c r="M786" s="2">
        <f t="shared" si="64"/>
        <v>100</v>
      </c>
    </row>
    <row r="787" spans="1:13" x14ac:dyDescent="0.3">
      <c r="A787" s="2">
        <f>Datos!A787</f>
        <v>288</v>
      </c>
      <c r="B787" s="2" t="str">
        <f>Datos!B787</f>
        <v>Female</v>
      </c>
      <c r="C787" s="2" t="str">
        <f>Datos!C787</f>
        <v>High School</v>
      </c>
      <c r="D787" s="2" t="str">
        <f>Datos!G787</f>
        <v>F</v>
      </c>
      <c r="E787" s="2">
        <f>Datos!I787</f>
        <v>1.6</v>
      </c>
      <c r="F787" s="2">
        <f>Datos!J787</f>
        <v>80.8</v>
      </c>
      <c r="G787" s="2">
        <f>Datos!L787</f>
        <v>42.5</v>
      </c>
      <c r="H787" s="2">
        <f>Datos!M787</f>
        <v>49.1</v>
      </c>
      <c r="I787" s="2" t="b">
        <f t="shared" si="60"/>
        <v>1</v>
      </c>
      <c r="J787" s="2">
        <f t="shared" si="61"/>
        <v>49.1</v>
      </c>
      <c r="K787" s="2">
        <f t="shared" si="62"/>
        <v>1.6</v>
      </c>
      <c r="L787" s="2">
        <f t="shared" si="63"/>
        <v>42.5</v>
      </c>
      <c r="M787" s="2">
        <f t="shared" si="64"/>
        <v>80.8</v>
      </c>
    </row>
    <row r="788" spans="1:13" x14ac:dyDescent="0.3">
      <c r="A788" s="2">
        <f>Datos!A788</f>
        <v>632</v>
      </c>
      <c r="B788" s="2" t="str">
        <f>Datos!B788</f>
        <v>Male</v>
      </c>
      <c r="C788" s="2">
        <f>Datos!C788</f>
        <v>0</v>
      </c>
      <c r="D788" s="2" t="str">
        <f>Datos!G788</f>
        <v>B</v>
      </c>
      <c r="E788" s="2">
        <f>Datos!I788</f>
        <v>4</v>
      </c>
      <c r="F788" s="2">
        <f>Datos!J788</f>
        <v>94.9</v>
      </c>
      <c r="G788" s="2">
        <f>Datos!L788</f>
        <v>86.2</v>
      </c>
      <c r="H788" s="2">
        <f>Datos!M788</f>
        <v>82.7</v>
      </c>
      <c r="I788" s="2" t="b">
        <f t="shared" si="60"/>
        <v>1</v>
      </c>
      <c r="J788" s="2">
        <f t="shared" si="61"/>
        <v>82.7</v>
      </c>
      <c r="K788" s="2">
        <f t="shared" si="62"/>
        <v>4</v>
      </c>
      <c r="L788" s="2">
        <f t="shared" si="63"/>
        <v>86.2</v>
      </c>
      <c r="M788" s="2">
        <f t="shared" si="64"/>
        <v>94.9</v>
      </c>
    </row>
    <row r="789" spans="1:13" x14ac:dyDescent="0.3">
      <c r="A789" s="2">
        <f>Datos!A789</f>
        <v>695</v>
      </c>
      <c r="B789" s="2" t="str">
        <f>Datos!B789</f>
        <v>Male</v>
      </c>
      <c r="C789" s="2" t="str">
        <f>Datos!C789</f>
        <v>Masters</v>
      </c>
      <c r="D789" s="2" t="str">
        <f>Datos!G789</f>
        <v>C</v>
      </c>
      <c r="E789" s="2">
        <f>Datos!I789</f>
        <v>3.4</v>
      </c>
      <c r="F789" s="2">
        <f>Datos!J789</f>
        <v>94.3</v>
      </c>
      <c r="G789" s="2">
        <f>Datos!L789</f>
        <v>62.7</v>
      </c>
      <c r="H789" s="2">
        <f>Datos!M789</f>
        <v>75.599999999999994</v>
      </c>
      <c r="I789" s="2" t="b">
        <f t="shared" si="60"/>
        <v>1</v>
      </c>
      <c r="J789" s="2">
        <f t="shared" si="61"/>
        <v>75.599999999999994</v>
      </c>
      <c r="K789" s="2">
        <f t="shared" si="62"/>
        <v>3.4</v>
      </c>
      <c r="L789" s="2">
        <f t="shared" si="63"/>
        <v>62.7</v>
      </c>
      <c r="M789" s="2">
        <f t="shared" si="64"/>
        <v>94.3</v>
      </c>
    </row>
    <row r="790" spans="1:13" x14ac:dyDescent="0.3">
      <c r="A790" s="2">
        <f>Datos!A790</f>
        <v>496</v>
      </c>
      <c r="B790" s="2" t="str">
        <f>Datos!B790</f>
        <v>Female</v>
      </c>
      <c r="C790" s="2">
        <f>Datos!C790</f>
        <v>0</v>
      </c>
      <c r="D790" s="2" t="str">
        <f>Datos!G790</f>
        <v>C</v>
      </c>
      <c r="E790" s="2">
        <f>Datos!I790</f>
        <v>1.6</v>
      </c>
      <c r="F790" s="2">
        <f>Datos!J790</f>
        <v>88</v>
      </c>
      <c r="G790" s="2">
        <f>Datos!L790</f>
        <v>73.900000000000006</v>
      </c>
      <c r="H790" s="2">
        <f>Datos!M790</f>
        <v>77.5</v>
      </c>
      <c r="I790" s="2" t="b">
        <f t="shared" si="60"/>
        <v>1</v>
      </c>
      <c r="J790" s="2">
        <f t="shared" si="61"/>
        <v>77.5</v>
      </c>
      <c r="K790" s="2">
        <f t="shared" si="62"/>
        <v>1.6</v>
      </c>
      <c r="L790" s="2">
        <f t="shared" si="63"/>
        <v>73.900000000000006</v>
      </c>
      <c r="M790" s="2">
        <f t="shared" si="64"/>
        <v>88</v>
      </c>
    </row>
    <row r="791" spans="1:13" x14ac:dyDescent="0.3">
      <c r="A791" s="2">
        <f>Datos!A791</f>
        <v>236</v>
      </c>
      <c r="B791" s="2" t="str">
        <f>Datos!B791</f>
        <v>Female</v>
      </c>
      <c r="C791" s="2">
        <f>Datos!C791</f>
        <v>0</v>
      </c>
      <c r="D791" s="2" t="str">
        <f>Datos!G791</f>
        <v>F</v>
      </c>
      <c r="E791" s="2">
        <f>Datos!I791</f>
        <v>2.1</v>
      </c>
      <c r="F791" s="2">
        <f>Datos!J791</f>
        <v>74.599999999999994</v>
      </c>
      <c r="G791" s="2">
        <f>Datos!L791</f>
        <v>58.1</v>
      </c>
      <c r="H791" s="2">
        <f>Datos!M791</f>
        <v>43.9</v>
      </c>
      <c r="I791" s="2" t="b">
        <f t="shared" si="60"/>
        <v>1</v>
      </c>
      <c r="J791" s="2">
        <f t="shared" si="61"/>
        <v>43.9</v>
      </c>
      <c r="K791" s="2">
        <f t="shared" si="62"/>
        <v>2.1</v>
      </c>
      <c r="L791" s="2">
        <f t="shared" si="63"/>
        <v>58.1</v>
      </c>
      <c r="M791" s="2">
        <f t="shared" si="64"/>
        <v>74.599999999999994</v>
      </c>
    </row>
    <row r="792" spans="1:13" x14ac:dyDescent="0.3">
      <c r="A792" s="2">
        <f>Datos!A792</f>
        <v>38</v>
      </c>
      <c r="B792" s="2" t="str">
        <f>Datos!B792</f>
        <v>Female</v>
      </c>
      <c r="C792" s="2" t="str">
        <f>Datos!C792</f>
        <v>Masters</v>
      </c>
      <c r="D792" s="2" t="str">
        <f>Datos!G792</f>
        <v>C</v>
      </c>
      <c r="E792" s="2">
        <f>Datos!I792</f>
        <v>1.1000000000000001</v>
      </c>
      <c r="F792" s="2">
        <f>Datos!J792</f>
        <v>90.4</v>
      </c>
      <c r="G792" s="2">
        <f>Datos!L792</f>
        <v>83.1</v>
      </c>
      <c r="H792" s="2">
        <f>Datos!M792</f>
        <v>74.5</v>
      </c>
      <c r="I792" s="2" t="b">
        <f t="shared" si="60"/>
        <v>1</v>
      </c>
      <c r="J792" s="2">
        <f t="shared" si="61"/>
        <v>74.5</v>
      </c>
      <c r="K792" s="2">
        <f t="shared" si="62"/>
        <v>1.1000000000000001</v>
      </c>
      <c r="L792" s="2">
        <f t="shared" si="63"/>
        <v>83.1</v>
      </c>
      <c r="M792" s="2">
        <f t="shared" si="64"/>
        <v>90.4</v>
      </c>
    </row>
    <row r="793" spans="1:13" x14ac:dyDescent="0.3">
      <c r="A793" s="2">
        <f>Datos!A793</f>
        <v>444</v>
      </c>
      <c r="B793" s="2" t="str">
        <f>Datos!B793</f>
        <v>Female</v>
      </c>
      <c r="C793" s="2">
        <f>Datos!C793</f>
        <v>0</v>
      </c>
      <c r="D793" s="2" t="str">
        <f>Datos!G793</f>
        <v>F</v>
      </c>
      <c r="E793" s="2">
        <f>Datos!I793</f>
        <v>3.4</v>
      </c>
      <c r="F793" s="2">
        <f>Datos!J793</f>
        <v>76.900000000000006</v>
      </c>
      <c r="G793" s="2">
        <f>Datos!L793</f>
        <v>49.5</v>
      </c>
      <c r="H793" s="2">
        <f>Datos!M793</f>
        <v>58.8</v>
      </c>
      <c r="I793" s="2" t="b">
        <f t="shared" si="60"/>
        <v>1</v>
      </c>
      <c r="J793" s="2">
        <f t="shared" si="61"/>
        <v>58.8</v>
      </c>
      <c r="K793" s="2">
        <f t="shared" si="62"/>
        <v>3.4</v>
      </c>
      <c r="L793" s="2">
        <f t="shared" si="63"/>
        <v>49.5</v>
      </c>
      <c r="M793" s="2">
        <f t="shared" si="64"/>
        <v>76.900000000000006</v>
      </c>
    </row>
    <row r="794" spans="1:13" x14ac:dyDescent="0.3">
      <c r="A794" s="2">
        <f>Datos!A794</f>
        <v>611</v>
      </c>
      <c r="B794" s="2" t="str">
        <f>Datos!B794</f>
        <v>Female</v>
      </c>
      <c r="C794" s="2" t="str">
        <f>Datos!C794</f>
        <v>Bachelors</v>
      </c>
      <c r="D794" s="2" t="str">
        <f>Datos!G794</f>
        <v>C</v>
      </c>
      <c r="E794" s="2">
        <f>Datos!I794</f>
        <v>4.5999999999999996</v>
      </c>
      <c r="F794" s="2">
        <f>Datos!J794</f>
        <v>95.6</v>
      </c>
      <c r="G794" s="2">
        <f>Datos!L794</f>
        <v>70.5</v>
      </c>
      <c r="H794" s="2">
        <f>Datos!M794</f>
        <v>76.900000000000006</v>
      </c>
      <c r="I794" s="2" t="b">
        <f t="shared" si="60"/>
        <v>1</v>
      </c>
      <c r="J794" s="2">
        <f t="shared" si="61"/>
        <v>76.900000000000006</v>
      </c>
      <c r="K794" s="2">
        <f t="shared" si="62"/>
        <v>4.5999999999999996</v>
      </c>
      <c r="L794" s="2">
        <f t="shared" si="63"/>
        <v>70.5</v>
      </c>
      <c r="M794" s="2">
        <f t="shared" si="64"/>
        <v>95.6</v>
      </c>
    </row>
    <row r="795" spans="1:13" x14ac:dyDescent="0.3">
      <c r="A795" s="2">
        <f>Datos!A795</f>
        <v>476</v>
      </c>
      <c r="B795" s="2" t="str">
        <f>Datos!B795</f>
        <v>Male</v>
      </c>
      <c r="C795" s="2" t="str">
        <f>Datos!C795</f>
        <v>PhD</v>
      </c>
      <c r="D795" s="2" t="str">
        <f>Datos!G795</f>
        <v>F</v>
      </c>
      <c r="E795" s="2">
        <f>Datos!I795</f>
        <v>1.5</v>
      </c>
      <c r="F795" s="2">
        <f>Datos!J795</f>
        <v>96.8</v>
      </c>
      <c r="G795" s="2">
        <f>Datos!L795</f>
        <v>67</v>
      </c>
      <c r="H795" s="2">
        <f>Datos!M795</f>
        <v>74.099999999999994</v>
      </c>
      <c r="I795" s="2" t="b">
        <f t="shared" si="60"/>
        <v>1</v>
      </c>
      <c r="J795" s="2">
        <f t="shared" si="61"/>
        <v>74.099999999999994</v>
      </c>
      <c r="K795" s="2">
        <f t="shared" si="62"/>
        <v>1.5</v>
      </c>
      <c r="L795" s="2">
        <f t="shared" si="63"/>
        <v>67</v>
      </c>
      <c r="M795" s="2">
        <f t="shared" si="64"/>
        <v>96.8</v>
      </c>
    </row>
    <row r="796" spans="1:13" x14ac:dyDescent="0.3">
      <c r="A796" s="2">
        <f>Datos!A796</f>
        <v>595</v>
      </c>
      <c r="B796" s="2" t="str">
        <f>Datos!B796</f>
        <v>Female</v>
      </c>
      <c r="C796" s="2" t="str">
        <f>Datos!C796</f>
        <v>High School</v>
      </c>
      <c r="D796" s="2" t="str">
        <f>Datos!G796</f>
        <v>B</v>
      </c>
      <c r="E796" s="2">
        <f>Datos!I796</f>
        <v>5.8</v>
      </c>
      <c r="F796" s="2">
        <f>Datos!J796</f>
        <v>87.6</v>
      </c>
      <c r="G796" s="2">
        <f>Datos!L796</f>
        <v>92.1</v>
      </c>
      <c r="H796" s="2">
        <f>Datos!M796</f>
        <v>84.8</v>
      </c>
      <c r="I796" s="2" t="b">
        <f t="shared" si="60"/>
        <v>1</v>
      </c>
      <c r="J796" s="2">
        <f t="shared" si="61"/>
        <v>84.8</v>
      </c>
      <c r="K796" s="2">
        <f t="shared" si="62"/>
        <v>5.8</v>
      </c>
      <c r="L796" s="2">
        <f t="shared" si="63"/>
        <v>92.1</v>
      </c>
      <c r="M796" s="2">
        <f t="shared" si="64"/>
        <v>87.6</v>
      </c>
    </row>
    <row r="797" spans="1:13" x14ac:dyDescent="0.3">
      <c r="A797" s="2">
        <f>Datos!A797</f>
        <v>780</v>
      </c>
      <c r="B797" s="2" t="str">
        <f>Datos!B797</f>
        <v>Female</v>
      </c>
      <c r="C797" s="2" t="str">
        <f>Datos!C797</f>
        <v>Masters</v>
      </c>
      <c r="D797" s="2" t="str">
        <f>Datos!G797</f>
        <v>C</v>
      </c>
      <c r="E797" s="2">
        <f>Datos!I797</f>
        <v>6.3</v>
      </c>
      <c r="F797" s="2">
        <f>Datos!J797</f>
        <v>65</v>
      </c>
      <c r="G797" s="2">
        <f>Datos!L797</f>
        <v>72.599999999999994</v>
      </c>
      <c r="H797" s="2">
        <f>Datos!M797</f>
        <v>72.400000000000006</v>
      </c>
      <c r="I797" s="2" t="b">
        <f t="shared" si="60"/>
        <v>1</v>
      </c>
      <c r="J797" s="2">
        <f t="shared" si="61"/>
        <v>72.400000000000006</v>
      </c>
      <c r="K797" s="2">
        <f t="shared" si="62"/>
        <v>6.3</v>
      </c>
      <c r="L797" s="2">
        <f t="shared" si="63"/>
        <v>72.599999999999994</v>
      </c>
      <c r="M797" s="2">
        <f t="shared" si="64"/>
        <v>65</v>
      </c>
    </row>
    <row r="798" spans="1:13" x14ac:dyDescent="0.3">
      <c r="A798" s="2">
        <f>Datos!A798</f>
        <v>35</v>
      </c>
      <c r="B798" s="2" t="str">
        <f>Datos!B798</f>
        <v>Female</v>
      </c>
      <c r="C798" s="2" t="str">
        <f>Datos!C798</f>
        <v>Masters</v>
      </c>
      <c r="D798" s="2" t="str">
        <f>Datos!G798</f>
        <v>F</v>
      </c>
      <c r="E798" s="2">
        <f>Datos!I798</f>
        <v>2.2000000000000002</v>
      </c>
      <c r="F798" s="2">
        <f>Datos!J798</f>
        <v>69.900000000000006</v>
      </c>
      <c r="G798" s="2">
        <f>Datos!L798</f>
        <v>57</v>
      </c>
      <c r="H798" s="2">
        <f>Datos!M798</f>
        <v>58.2</v>
      </c>
      <c r="I798" s="2" t="b">
        <f t="shared" si="60"/>
        <v>1</v>
      </c>
      <c r="J798" s="2">
        <f t="shared" si="61"/>
        <v>58.2</v>
      </c>
      <c r="K798" s="2">
        <f t="shared" si="62"/>
        <v>2.2000000000000002</v>
      </c>
      <c r="L798" s="2">
        <f t="shared" si="63"/>
        <v>57</v>
      </c>
      <c r="M798" s="2">
        <f t="shared" si="64"/>
        <v>69.900000000000006</v>
      </c>
    </row>
    <row r="799" spans="1:13" x14ac:dyDescent="0.3">
      <c r="A799" s="2">
        <f>Datos!A799</f>
        <v>603</v>
      </c>
      <c r="B799" s="2" t="str">
        <f>Datos!B799</f>
        <v>Male</v>
      </c>
      <c r="C799" s="2" t="str">
        <f>Datos!C799</f>
        <v>High School</v>
      </c>
      <c r="D799" s="2" t="str">
        <f>Datos!G799</f>
        <v>D</v>
      </c>
      <c r="E799" s="2">
        <f>Datos!I799</f>
        <v>3.4</v>
      </c>
      <c r="F799" s="2">
        <f>Datos!J799</f>
        <v>88</v>
      </c>
      <c r="G799" s="2">
        <f>Datos!L799</f>
        <v>47.3</v>
      </c>
      <c r="H799" s="2">
        <f>Datos!M799</f>
        <v>69</v>
      </c>
      <c r="I799" s="2" t="b">
        <f t="shared" si="60"/>
        <v>1</v>
      </c>
      <c r="J799" s="2">
        <f t="shared" si="61"/>
        <v>69</v>
      </c>
      <c r="K799" s="2">
        <f t="shared" si="62"/>
        <v>3.4</v>
      </c>
      <c r="L799" s="2">
        <f t="shared" si="63"/>
        <v>47.3</v>
      </c>
      <c r="M799" s="2">
        <f t="shared" si="64"/>
        <v>88</v>
      </c>
    </row>
    <row r="800" spans="1:13" x14ac:dyDescent="0.3">
      <c r="A800" s="2">
        <f>Datos!A800</f>
        <v>69</v>
      </c>
      <c r="B800" s="2" t="str">
        <f>Datos!B800</f>
        <v>Male</v>
      </c>
      <c r="C800" s="2" t="str">
        <f>Datos!C800</f>
        <v>High School</v>
      </c>
      <c r="D800" s="2" t="str">
        <f>Datos!G800</f>
        <v>B</v>
      </c>
      <c r="E800" s="2">
        <f>Datos!I800</f>
        <v>5.3</v>
      </c>
      <c r="F800" s="2">
        <f>Datos!J800</f>
        <v>91.2</v>
      </c>
      <c r="G800" s="2">
        <f>Datos!L800</f>
        <v>64.400000000000006</v>
      </c>
      <c r="H800" s="2">
        <f>Datos!M800</f>
        <v>85.5</v>
      </c>
      <c r="I800" s="2" t="b">
        <f t="shared" si="60"/>
        <v>1</v>
      </c>
      <c r="J800" s="2">
        <f t="shared" si="61"/>
        <v>85.5</v>
      </c>
      <c r="K800" s="2">
        <f t="shared" si="62"/>
        <v>5.3</v>
      </c>
      <c r="L800" s="2">
        <f t="shared" si="63"/>
        <v>64.400000000000006</v>
      </c>
      <c r="M800" s="2">
        <f t="shared" si="64"/>
        <v>91.2</v>
      </c>
    </row>
    <row r="801" spans="1:13" x14ac:dyDescent="0.3">
      <c r="A801" s="2">
        <f>Datos!A801</f>
        <v>594</v>
      </c>
      <c r="B801" s="2" t="str">
        <f>Datos!B801</f>
        <v>Female</v>
      </c>
      <c r="C801" s="2" t="str">
        <f>Datos!C801</f>
        <v>High School</v>
      </c>
      <c r="D801" s="2" t="str">
        <f>Datos!G801</f>
        <v>B</v>
      </c>
      <c r="E801" s="2">
        <f>Datos!I801</f>
        <v>6.4</v>
      </c>
      <c r="F801" s="2">
        <f>Datos!J801</f>
        <v>91.4</v>
      </c>
      <c r="G801" s="2">
        <f>Datos!L801</f>
        <v>70.7</v>
      </c>
      <c r="H801" s="2">
        <f>Datos!M801</f>
        <v>87.7</v>
      </c>
      <c r="I801" s="2" t="b">
        <f t="shared" si="60"/>
        <v>1</v>
      </c>
      <c r="J801" s="2">
        <f t="shared" si="61"/>
        <v>87.7</v>
      </c>
      <c r="K801" s="2">
        <f t="shared" si="62"/>
        <v>6.4</v>
      </c>
      <c r="L801" s="2">
        <f t="shared" si="63"/>
        <v>70.7</v>
      </c>
      <c r="M801" s="2">
        <f t="shared" si="64"/>
        <v>91.4</v>
      </c>
    </row>
    <row r="802" spans="1:13" x14ac:dyDescent="0.3">
      <c r="A802" s="2">
        <f>Datos!A802</f>
        <v>731</v>
      </c>
      <c r="B802" s="2" t="str">
        <f>Datos!B802</f>
        <v>Male</v>
      </c>
      <c r="C802" s="2" t="str">
        <f>Datos!C802</f>
        <v>PhD</v>
      </c>
      <c r="D802" s="2" t="str">
        <f>Datos!G802</f>
        <v>B</v>
      </c>
      <c r="E802" s="2">
        <f>Datos!I802</f>
        <v>6.1</v>
      </c>
      <c r="F802" s="2">
        <f>Datos!J802</f>
        <v>83</v>
      </c>
      <c r="G802" s="2">
        <f>Datos!L802</f>
        <v>95</v>
      </c>
      <c r="H802" s="2">
        <f>Datos!M802</f>
        <v>82.2</v>
      </c>
      <c r="I802" s="2" t="b">
        <f t="shared" si="60"/>
        <v>1</v>
      </c>
      <c r="J802" s="2">
        <f t="shared" si="61"/>
        <v>82.2</v>
      </c>
      <c r="K802" s="2">
        <f t="shared" si="62"/>
        <v>6.1</v>
      </c>
      <c r="L802" s="2">
        <f t="shared" si="63"/>
        <v>95</v>
      </c>
      <c r="M802" s="2">
        <f t="shared" si="64"/>
        <v>83</v>
      </c>
    </row>
    <row r="803" spans="1:13" x14ac:dyDescent="0.3">
      <c r="A803" s="2">
        <f>Datos!A803</f>
        <v>562</v>
      </c>
      <c r="B803" s="2" t="str">
        <f>Datos!B803</f>
        <v>Female</v>
      </c>
      <c r="C803" s="2">
        <f>Datos!C803</f>
        <v>0</v>
      </c>
      <c r="D803" s="2" t="str">
        <f>Datos!G803</f>
        <v>F</v>
      </c>
      <c r="E803" s="2">
        <f>Datos!I803</f>
        <v>1.5</v>
      </c>
      <c r="F803" s="2">
        <f>Datos!J803</f>
        <v>75.599999999999994</v>
      </c>
      <c r="G803" s="2">
        <f>Datos!L803</f>
        <v>66.75</v>
      </c>
      <c r="H803" s="2">
        <f>Datos!M803</f>
        <v>56.9</v>
      </c>
      <c r="I803" s="2" t="b">
        <f t="shared" si="60"/>
        <v>1</v>
      </c>
      <c r="J803" s="2">
        <f t="shared" si="61"/>
        <v>56.9</v>
      </c>
      <c r="K803" s="2">
        <f t="shared" si="62"/>
        <v>1.5</v>
      </c>
      <c r="L803" s="2">
        <f t="shared" si="63"/>
        <v>66.75</v>
      </c>
      <c r="M803" s="2">
        <f t="shared" si="64"/>
        <v>75.599999999999994</v>
      </c>
    </row>
    <row r="804" spans="1:13" x14ac:dyDescent="0.3">
      <c r="A804" s="2">
        <f>Datos!A804</f>
        <v>835</v>
      </c>
      <c r="B804" s="2" t="str">
        <f>Datos!B804</f>
        <v>Male</v>
      </c>
      <c r="C804" s="2">
        <f>Datos!C804</f>
        <v>0</v>
      </c>
      <c r="D804" s="2" t="str">
        <f>Datos!G804</f>
        <v>F</v>
      </c>
      <c r="E804" s="2">
        <f>Datos!I804</f>
        <v>2</v>
      </c>
      <c r="F804" s="2">
        <f>Datos!J804</f>
        <v>92.3</v>
      </c>
      <c r="G804" s="2">
        <f>Datos!L804</f>
        <v>40.200000000000003</v>
      </c>
      <c r="H804" s="2">
        <f>Datos!M804</f>
        <v>59.9</v>
      </c>
      <c r="I804" s="2" t="b">
        <f t="shared" si="60"/>
        <v>1</v>
      </c>
      <c r="J804" s="2">
        <f t="shared" si="61"/>
        <v>59.9</v>
      </c>
      <c r="K804" s="2">
        <f t="shared" si="62"/>
        <v>2</v>
      </c>
      <c r="L804" s="2">
        <f t="shared" si="63"/>
        <v>40.200000000000003</v>
      </c>
      <c r="M804" s="2">
        <f t="shared" si="64"/>
        <v>92.3</v>
      </c>
    </row>
    <row r="805" spans="1:13" x14ac:dyDescent="0.3">
      <c r="A805" s="2">
        <f>Datos!A805</f>
        <v>427</v>
      </c>
      <c r="B805" s="2" t="str">
        <f>Datos!B805</f>
        <v>Female</v>
      </c>
      <c r="C805" s="2" t="str">
        <f>Datos!C805</f>
        <v>Masters</v>
      </c>
      <c r="D805" s="2" t="str">
        <f>Datos!G805</f>
        <v>B</v>
      </c>
      <c r="E805" s="2">
        <f>Datos!I805</f>
        <v>4.5</v>
      </c>
      <c r="F805" s="2">
        <f>Datos!J805</f>
        <v>98.6</v>
      </c>
      <c r="G805" s="2">
        <f>Datos!L805</f>
        <v>52</v>
      </c>
      <c r="H805" s="2">
        <f>Datos!M805</f>
        <v>80.7</v>
      </c>
      <c r="I805" s="2" t="b">
        <f t="shared" si="60"/>
        <v>1</v>
      </c>
      <c r="J805" s="2">
        <f t="shared" si="61"/>
        <v>80.7</v>
      </c>
      <c r="K805" s="2">
        <f t="shared" si="62"/>
        <v>4.5</v>
      </c>
      <c r="L805" s="2">
        <f t="shared" si="63"/>
        <v>52</v>
      </c>
      <c r="M805" s="2">
        <f t="shared" si="64"/>
        <v>98.6</v>
      </c>
    </row>
    <row r="806" spans="1:13" x14ac:dyDescent="0.3">
      <c r="A806" s="2">
        <f>Datos!A806</f>
        <v>785</v>
      </c>
      <c r="B806" s="2" t="str">
        <f>Datos!B806</f>
        <v>Male</v>
      </c>
      <c r="C806" s="2" t="str">
        <f>Datos!C806</f>
        <v>Masters</v>
      </c>
      <c r="D806" s="2" t="str">
        <f>Datos!G806</f>
        <v>B</v>
      </c>
      <c r="E806" s="2">
        <f>Datos!I806</f>
        <v>3.5</v>
      </c>
      <c r="F806" s="2">
        <f>Datos!J806</f>
        <v>73</v>
      </c>
      <c r="G806" s="2">
        <f>Datos!L806</f>
        <v>85.3</v>
      </c>
      <c r="H806" s="2">
        <f>Datos!M806</f>
        <v>86.4</v>
      </c>
      <c r="I806" s="2" t="b">
        <f t="shared" si="60"/>
        <v>1</v>
      </c>
      <c r="J806" s="2">
        <f t="shared" si="61"/>
        <v>86.4</v>
      </c>
      <c r="K806" s="2">
        <f t="shared" si="62"/>
        <v>3.5</v>
      </c>
      <c r="L806" s="2">
        <f t="shared" si="63"/>
        <v>85.3</v>
      </c>
      <c r="M806" s="2">
        <f t="shared" si="64"/>
        <v>73</v>
      </c>
    </row>
    <row r="807" spans="1:13" x14ac:dyDescent="0.3">
      <c r="A807" s="2">
        <f>Datos!A807</f>
        <v>501</v>
      </c>
      <c r="B807" s="2" t="str">
        <f>Datos!B807</f>
        <v>Female</v>
      </c>
      <c r="C807" s="2" t="str">
        <f>Datos!C807</f>
        <v>Bachelors</v>
      </c>
      <c r="D807" s="2" t="str">
        <f>Datos!G807</f>
        <v>D</v>
      </c>
      <c r="E807" s="2">
        <f>Datos!I807</f>
        <v>3.9</v>
      </c>
      <c r="F807" s="2">
        <f>Datos!J807</f>
        <v>95.7</v>
      </c>
      <c r="G807" s="2">
        <f>Datos!L807</f>
        <v>52.9</v>
      </c>
      <c r="H807" s="2">
        <f>Datos!M807</f>
        <v>68.2</v>
      </c>
      <c r="I807" s="2" t="b">
        <f t="shared" si="60"/>
        <v>1</v>
      </c>
      <c r="J807" s="2">
        <f t="shared" si="61"/>
        <v>68.2</v>
      </c>
      <c r="K807" s="2">
        <f t="shared" si="62"/>
        <v>3.9</v>
      </c>
      <c r="L807" s="2">
        <f t="shared" si="63"/>
        <v>52.9</v>
      </c>
      <c r="M807" s="2">
        <f t="shared" si="64"/>
        <v>95.7</v>
      </c>
    </row>
    <row r="808" spans="1:13" x14ac:dyDescent="0.3">
      <c r="A808" s="2">
        <f>Datos!A808</f>
        <v>722</v>
      </c>
      <c r="B808" s="2" t="str">
        <f>Datos!B808</f>
        <v>Female</v>
      </c>
      <c r="C808" s="2" t="str">
        <f>Datos!C808</f>
        <v>PhD</v>
      </c>
      <c r="D808" s="2" t="str">
        <f>Datos!G808</f>
        <v>D</v>
      </c>
      <c r="E808" s="2">
        <f>Datos!I808</f>
        <v>0.8</v>
      </c>
      <c r="F808" s="2">
        <f>Datos!J808</f>
        <v>85.6</v>
      </c>
      <c r="G808" s="2">
        <f>Datos!L808</f>
        <v>80.099999999999994</v>
      </c>
      <c r="H808" s="2">
        <f>Datos!M808</f>
        <v>69.099999999999994</v>
      </c>
      <c r="I808" s="2" t="b">
        <f t="shared" si="60"/>
        <v>1</v>
      </c>
      <c r="J808" s="2">
        <f t="shared" si="61"/>
        <v>69.099999999999994</v>
      </c>
      <c r="K808" s="2">
        <f t="shared" si="62"/>
        <v>0.8</v>
      </c>
      <c r="L808" s="2">
        <f t="shared" si="63"/>
        <v>80.099999999999994</v>
      </c>
      <c r="M808" s="2">
        <f t="shared" si="64"/>
        <v>85.6</v>
      </c>
    </row>
    <row r="809" spans="1:13" x14ac:dyDescent="0.3">
      <c r="A809" s="2">
        <f>Datos!A809</f>
        <v>943</v>
      </c>
      <c r="B809" s="2" t="str">
        <f>Datos!B809</f>
        <v>Male</v>
      </c>
      <c r="C809" s="2">
        <f>Datos!C809</f>
        <v>0</v>
      </c>
      <c r="D809" s="2" t="str">
        <f>Datos!G809</f>
        <v>C</v>
      </c>
      <c r="E809" s="2">
        <f>Datos!I809</f>
        <v>6.4</v>
      </c>
      <c r="F809" s="2">
        <f>Datos!J809</f>
        <v>84.5</v>
      </c>
      <c r="G809" s="2">
        <f>Datos!L809</f>
        <v>67</v>
      </c>
      <c r="H809" s="2">
        <f>Datos!M809</f>
        <v>79.099999999999994</v>
      </c>
      <c r="I809" s="2" t="b">
        <f t="shared" si="60"/>
        <v>1</v>
      </c>
      <c r="J809" s="2">
        <f t="shared" si="61"/>
        <v>79.099999999999994</v>
      </c>
      <c r="K809" s="2">
        <f t="shared" si="62"/>
        <v>6.4</v>
      </c>
      <c r="L809" s="2">
        <f t="shared" si="63"/>
        <v>67</v>
      </c>
      <c r="M809" s="2">
        <f t="shared" si="64"/>
        <v>84.5</v>
      </c>
    </row>
    <row r="810" spans="1:13" x14ac:dyDescent="0.3">
      <c r="A810" s="2">
        <f>Datos!A810</f>
        <v>242</v>
      </c>
      <c r="B810" s="2" t="str">
        <f>Datos!B810</f>
        <v>Male</v>
      </c>
      <c r="C810" s="2" t="str">
        <f>Datos!C810</f>
        <v>Bachelors</v>
      </c>
      <c r="D810" s="2" t="str">
        <f>Datos!G810</f>
        <v>C</v>
      </c>
      <c r="E810" s="2">
        <f>Datos!I810</f>
        <v>1.5</v>
      </c>
      <c r="F810" s="2">
        <f>Datos!J810</f>
        <v>77.3</v>
      </c>
      <c r="G810" s="2">
        <f>Datos!L810</f>
        <v>93.2</v>
      </c>
      <c r="H810" s="2">
        <f>Datos!M810</f>
        <v>70</v>
      </c>
      <c r="I810" s="2" t="b">
        <f t="shared" si="60"/>
        <v>1</v>
      </c>
      <c r="J810" s="2">
        <f t="shared" si="61"/>
        <v>70</v>
      </c>
      <c r="K810" s="2">
        <f t="shared" si="62"/>
        <v>1.5</v>
      </c>
      <c r="L810" s="2">
        <f t="shared" si="63"/>
        <v>93.2</v>
      </c>
      <c r="M810" s="2">
        <f t="shared" si="64"/>
        <v>77.3</v>
      </c>
    </row>
    <row r="811" spans="1:13" x14ac:dyDescent="0.3">
      <c r="A811" s="2">
        <f>Datos!A811</f>
        <v>890</v>
      </c>
      <c r="B811" s="2" t="str">
        <f>Datos!B811</f>
        <v>Female</v>
      </c>
      <c r="C811" s="2" t="str">
        <f>Datos!C811</f>
        <v>Masters</v>
      </c>
      <c r="D811" s="2" t="str">
        <f>Datos!G811</f>
        <v>D</v>
      </c>
      <c r="E811" s="2">
        <f>Datos!I811</f>
        <v>1.8</v>
      </c>
      <c r="F811" s="2">
        <f>Datos!J811</f>
        <v>74.2</v>
      </c>
      <c r="G811" s="2">
        <f>Datos!L811</f>
        <v>58.2</v>
      </c>
      <c r="H811" s="2">
        <f>Datos!M811</f>
        <v>67.7</v>
      </c>
      <c r="I811" s="2" t="b">
        <f t="shared" si="60"/>
        <v>1</v>
      </c>
      <c r="J811" s="2">
        <f t="shared" si="61"/>
        <v>67.7</v>
      </c>
      <c r="K811" s="2">
        <f t="shared" si="62"/>
        <v>1.8</v>
      </c>
      <c r="L811" s="2">
        <f t="shared" si="63"/>
        <v>58.2</v>
      </c>
      <c r="M811" s="2">
        <f t="shared" si="64"/>
        <v>74.2</v>
      </c>
    </row>
    <row r="812" spans="1:13" x14ac:dyDescent="0.3">
      <c r="A812" s="2">
        <f>Datos!A812</f>
        <v>636</v>
      </c>
      <c r="B812" s="2" t="str">
        <f>Datos!B812</f>
        <v>Female</v>
      </c>
      <c r="C812" s="2" t="str">
        <f>Datos!C812</f>
        <v>High School</v>
      </c>
      <c r="D812" s="2" t="str">
        <f>Datos!G812</f>
        <v>B</v>
      </c>
      <c r="E812" s="2">
        <f>Datos!I812</f>
        <v>6.4</v>
      </c>
      <c r="F812" s="2">
        <f>Datos!J812</f>
        <v>75.5</v>
      </c>
      <c r="G812" s="2">
        <f>Datos!L812</f>
        <v>66.75</v>
      </c>
      <c r="H812" s="2">
        <f>Datos!M812</f>
        <v>84.2</v>
      </c>
      <c r="I812" s="2" t="b">
        <f t="shared" si="60"/>
        <v>1</v>
      </c>
      <c r="J812" s="2">
        <f t="shared" si="61"/>
        <v>84.2</v>
      </c>
      <c r="K812" s="2">
        <f t="shared" si="62"/>
        <v>6.4</v>
      </c>
      <c r="L812" s="2">
        <f t="shared" si="63"/>
        <v>66.75</v>
      </c>
      <c r="M812" s="2">
        <f t="shared" si="64"/>
        <v>75.5</v>
      </c>
    </row>
    <row r="813" spans="1:13" x14ac:dyDescent="0.3">
      <c r="A813" s="2">
        <f>Datos!A813</f>
        <v>564</v>
      </c>
      <c r="B813" s="2" t="str">
        <f>Datos!B813</f>
        <v>Male</v>
      </c>
      <c r="C813" s="2" t="str">
        <f>Datos!C813</f>
        <v>High School</v>
      </c>
      <c r="D813" s="2" t="str">
        <f>Datos!G813</f>
        <v>C</v>
      </c>
      <c r="E813" s="2">
        <f>Datos!I813</f>
        <v>5.2</v>
      </c>
      <c r="F813" s="2">
        <f>Datos!J813</f>
        <v>71.099999999999994</v>
      </c>
      <c r="G813" s="2">
        <f>Datos!L813</f>
        <v>59.8</v>
      </c>
      <c r="H813" s="2">
        <f>Datos!M813</f>
        <v>76.7</v>
      </c>
      <c r="I813" s="2" t="b">
        <f t="shared" si="60"/>
        <v>1</v>
      </c>
      <c r="J813" s="2">
        <f t="shared" si="61"/>
        <v>76.7</v>
      </c>
      <c r="K813" s="2">
        <f t="shared" si="62"/>
        <v>5.2</v>
      </c>
      <c r="L813" s="2">
        <f t="shared" si="63"/>
        <v>59.8</v>
      </c>
      <c r="M813" s="2">
        <f t="shared" si="64"/>
        <v>71.099999999999994</v>
      </c>
    </row>
    <row r="814" spans="1:13" x14ac:dyDescent="0.3">
      <c r="A814" s="2">
        <f>Datos!A814</f>
        <v>87</v>
      </c>
      <c r="B814" s="2" t="str">
        <f>Datos!B814</f>
        <v>Male</v>
      </c>
      <c r="C814" s="2" t="str">
        <f>Datos!C814</f>
        <v>High School</v>
      </c>
      <c r="D814" s="2" t="str">
        <f>Datos!G814</f>
        <v>A</v>
      </c>
      <c r="E814" s="2">
        <f>Datos!I814</f>
        <v>5.5</v>
      </c>
      <c r="F814" s="2">
        <f>Datos!J814</f>
        <v>94.9</v>
      </c>
      <c r="G814" s="2">
        <f>Datos!L814</f>
        <v>94.1</v>
      </c>
      <c r="H814" s="2">
        <f>Datos!M814</f>
        <v>98.8</v>
      </c>
      <c r="I814" s="2" t="b">
        <f t="shared" si="60"/>
        <v>1</v>
      </c>
      <c r="J814" s="2">
        <f t="shared" si="61"/>
        <v>98.8</v>
      </c>
      <c r="K814" s="2">
        <f t="shared" si="62"/>
        <v>5.5</v>
      </c>
      <c r="L814" s="2">
        <f t="shared" si="63"/>
        <v>94.1</v>
      </c>
      <c r="M814" s="2">
        <f t="shared" si="64"/>
        <v>94.9</v>
      </c>
    </row>
    <row r="815" spans="1:13" x14ac:dyDescent="0.3">
      <c r="A815" s="2">
        <f>Datos!A815</f>
        <v>474</v>
      </c>
      <c r="B815" s="2" t="str">
        <f>Datos!B815</f>
        <v>Male</v>
      </c>
      <c r="C815" s="2" t="str">
        <f>Datos!C815</f>
        <v>Bachelors</v>
      </c>
      <c r="D815" s="2" t="str">
        <f>Datos!G815</f>
        <v>A</v>
      </c>
      <c r="E815" s="2">
        <f>Datos!I815</f>
        <v>5.8</v>
      </c>
      <c r="F815" s="2">
        <f>Datos!J815</f>
        <v>92.8</v>
      </c>
      <c r="G815" s="2">
        <f>Datos!L815</f>
        <v>86.7</v>
      </c>
      <c r="H815" s="2">
        <f>Datos!M815</f>
        <v>92.2</v>
      </c>
      <c r="I815" s="2" t="b">
        <f t="shared" si="60"/>
        <v>1</v>
      </c>
      <c r="J815" s="2">
        <f t="shared" si="61"/>
        <v>92.2</v>
      </c>
      <c r="K815" s="2">
        <f t="shared" si="62"/>
        <v>5.8</v>
      </c>
      <c r="L815" s="2">
        <f t="shared" si="63"/>
        <v>86.7</v>
      </c>
      <c r="M815" s="2">
        <f t="shared" si="64"/>
        <v>92.8</v>
      </c>
    </row>
    <row r="816" spans="1:13" x14ac:dyDescent="0.3">
      <c r="A816" s="2">
        <f>Datos!A816</f>
        <v>532</v>
      </c>
      <c r="B816" s="2" t="str">
        <f>Datos!B816</f>
        <v>Male</v>
      </c>
      <c r="C816" s="2" t="str">
        <f>Datos!C816</f>
        <v>Bachelors</v>
      </c>
      <c r="D816" s="2" t="str">
        <f>Datos!G816</f>
        <v>C</v>
      </c>
      <c r="E816" s="2">
        <f>Datos!I816</f>
        <v>0.6</v>
      </c>
      <c r="F816" s="2">
        <f>Datos!J816</f>
        <v>74.599999999999994</v>
      </c>
      <c r="G816" s="2">
        <f>Datos!L816</f>
        <v>63.8</v>
      </c>
      <c r="H816" s="2">
        <f>Datos!M816</f>
        <v>71</v>
      </c>
      <c r="I816" s="2" t="b">
        <f t="shared" si="60"/>
        <v>1</v>
      </c>
      <c r="J816" s="2">
        <f t="shared" si="61"/>
        <v>71</v>
      </c>
      <c r="K816" s="2">
        <f t="shared" si="62"/>
        <v>0.6</v>
      </c>
      <c r="L816" s="2">
        <f t="shared" si="63"/>
        <v>63.8</v>
      </c>
      <c r="M816" s="2">
        <f t="shared" si="64"/>
        <v>74.599999999999994</v>
      </c>
    </row>
    <row r="817" spans="1:13" x14ac:dyDescent="0.3">
      <c r="A817" s="2">
        <f>Datos!A817</f>
        <v>718</v>
      </c>
      <c r="B817" s="2" t="str">
        <f>Datos!B817</f>
        <v>Female</v>
      </c>
      <c r="C817" s="2" t="str">
        <f>Datos!C817</f>
        <v>Bachelors</v>
      </c>
      <c r="D817" s="2" t="str">
        <f>Datos!G817</f>
        <v>A</v>
      </c>
      <c r="E817" s="2">
        <f>Datos!I817</f>
        <v>4.4000000000000004</v>
      </c>
      <c r="F817" s="2">
        <f>Datos!J817</f>
        <v>99.7</v>
      </c>
      <c r="G817" s="2">
        <f>Datos!L817</f>
        <v>60.4</v>
      </c>
      <c r="H817" s="2">
        <f>Datos!M817</f>
        <v>90</v>
      </c>
      <c r="I817" s="2" t="b">
        <f t="shared" si="60"/>
        <v>1</v>
      </c>
      <c r="J817" s="2">
        <f t="shared" si="61"/>
        <v>90</v>
      </c>
      <c r="K817" s="2">
        <f t="shared" si="62"/>
        <v>4.4000000000000004</v>
      </c>
      <c r="L817" s="2">
        <f t="shared" si="63"/>
        <v>60.4</v>
      </c>
      <c r="M817" s="2">
        <f t="shared" si="64"/>
        <v>99.7</v>
      </c>
    </row>
    <row r="818" spans="1:13" x14ac:dyDescent="0.3">
      <c r="A818" s="2">
        <f>Datos!A818</f>
        <v>859</v>
      </c>
      <c r="B818" s="2" t="str">
        <f>Datos!B818</f>
        <v>Female</v>
      </c>
      <c r="C818" s="2" t="str">
        <f>Datos!C818</f>
        <v>Bachelors</v>
      </c>
      <c r="D818" s="2" t="str">
        <f>Datos!G818</f>
        <v>B</v>
      </c>
      <c r="E818" s="2">
        <f>Datos!I818</f>
        <v>3.5</v>
      </c>
      <c r="F818" s="2">
        <f>Datos!J818</f>
        <v>93.6</v>
      </c>
      <c r="G818" s="2">
        <f>Datos!L818</f>
        <v>73.7</v>
      </c>
      <c r="H818" s="2">
        <f>Datos!M818</f>
        <v>84.6</v>
      </c>
      <c r="I818" s="2" t="b">
        <f t="shared" si="60"/>
        <v>1</v>
      </c>
      <c r="J818" s="2">
        <f t="shared" si="61"/>
        <v>84.6</v>
      </c>
      <c r="K818" s="2">
        <f t="shared" si="62"/>
        <v>3.5</v>
      </c>
      <c r="L818" s="2">
        <f t="shared" si="63"/>
        <v>73.7</v>
      </c>
      <c r="M818" s="2">
        <f t="shared" si="64"/>
        <v>93.6</v>
      </c>
    </row>
    <row r="819" spans="1:13" x14ac:dyDescent="0.3">
      <c r="A819" s="2">
        <f>Datos!A819</f>
        <v>243</v>
      </c>
      <c r="B819" s="2" t="str">
        <f>Datos!B819</f>
        <v>Male</v>
      </c>
      <c r="C819" s="2" t="str">
        <f>Datos!C819</f>
        <v>PhD</v>
      </c>
      <c r="D819" s="2" t="str">
        <f>Datos!G819</f>
        <v>C</v>
      </c>
      <c r="E819" s="2">
        <f>Datos!I819</f>
        <v>5.9</v>
      </c>
      <c r="F819" s="2">
        <f>Datos!J819</f>
        <v>70</v>
      </c>
      <c r="G819" s="2">
        <f>Datos!L819</f>
        <v>50.8</v>
      </c>
      <c r="H819" s="2">
        <f>Datos!M819</f>
        <v>73</v>
      </c>
      <c r="I819" s="2" t="b">
        <f t="shared" si="60"/>
        <v>1</v>
      </c>
      <c r="J819" s="2">
        <f t="shared" si="61"/>
        <v>73</v>
      </c>
      <c r="K819" s="2">
        <f t="shared" si="62"/>
        <v>5.9</v>
      </c>
      <c r="L819" s="2">
        <f t="shared" si="63"/>
        <v>50.8</v>
      </c>
      <c r="M819" s="2">
        <f t="shared" si="64"/>
        <v>70</v>
      </c>
    </row>
    <row r="820" spans="1:13" x14ac:dyDescent="0.3">
      <c r="A820" s="2">
        <f>Datos!A820</f>
        <v>637</v>
      </c>
      <c r="B820" s="2" t="str">
        <f>Datos!B820</f>
        <v>Female</v>
      </c>
      <c r="C820" s="2" t="str">
        <f>Datos!C820</f>
        <v>Masters</v>
      </c>
      <c r="D820" s="2" t="str">
        <f>Datos!G820</f>
        <v>A</v>
      </c>
      <c r="E820" s="2">
        <f>Datos!I820</f>
        <v>4.8</v>
      </c>
      <c r="F820" s="2">
        <f>Datos!J820</f>
        <v>97</v>
      </c>
      <c r="G820" s="2">
        <f>Datos!L820</f>
        <v>88.8</v>
      </c>
      <c r="H820" s="2">
        <f>Datos!M820</f>
        <v>91.5</v>
      </c>
      <c r="I820" s="2" t="b">
        <f t="shared" si="60"/>
        <v>1</v>
      </c>
      <c r="J820" s="2">
        <f t="shared" si="61"/>
        <v>91.5</v>
      </c>
      <c r="K820" s="2">
        <f t="shared" si="62"/>
        <v>4.8</v>
      </c>
      <c r="L820" s="2">
        <f t="shared" si="63"/>
        <v>88.8</v>
      </c>
      <c r="M820" s="2">
        <f t="shared" si="64"/>
        <v>97</v>
      </c>
    </row>
    <row r="821" spans="1:13" x14ac:dyDescent="0.3">
      <c r="A821" s="2">
        <f>Datos!A821</f>
        <v>365</v>
      </c>
      <c r="B821" s="2" t="str">
        <f>Datos!B821</f>
        <v>Male</v>
      </c>
      <c r="C821" s="2" t="str">
        <f>Datos!C821</f>
        <v>High School</v>
      </c>
      <c r="D821" s="2" t="str">
        <f>Datos!G821</f>
        <v>D</v>
      </c>
      <c r="E821" s="2">
        <f>Datos!I821</f>
        <v>1.1000000000000001</v>
      </c>
      <c r="F821" s="2">
        <f>Datos!J821</f>
        <v>71.7</v>
      </c>
      <c r="G821" s="2">
        <f>Datos!L821</f>
        <v>61</v>
      </c>
      <c r="H821" s="2">
        <f>Datos!M821</f>
        <v>74.099999999999994</v>
      </c>
      <c r="I821" s="2" t="b">
        <f t="shared" si="60"/>
        <v>1</v>
      </c>
      <c r="J821" s="2">
        <f t="shared" si="61"/>
        <v>74.099999999999994</v>
      </c>
      <c r="K821" s="2">
        <f t="shared" si="62"/>
        <v>1.1000000000000001</v>
      </c>
      <c r="L821" s="2">
        <f t="shared" si="63"/>
        <v>61</v>
      </c>
      <c r="M821" s="2">
        <f t="shared" si="64"/>
        <v>71.7</v>
      </c>
    </row>
    <row r="822" spans="1:13" x14ac:dyDescent="0.3">
      <c r="A822" s="2">
        <f>Datos!A822</f>
        <v>915</v>
      </c>
      <c r="B822" s="2" t="str">
        <f>Datos!B822</f>
        <v>Male</v>
      </c>
      <c r="C822" s="2" t="str">
        <f>Datos!C822</f>
        <v>PhD</v>
      </c>
      <c r="D822" s="2" t="str">
        <f>Datos!G822</f>
        <v>F</v>
      </c>
      <c r="E822" s="2">
        <f>Datos!I822</f>
        <v>1.6</v>
      </c>
      <c r="F822" s="2">
        <f>Datos!J822</f>
        <v>70.400000000000006</v>
      </c>
      <c r="G822" s="2">
        <f>Datos!L822</f>
        <v>43.3</v>
      </c>
      <c r="H822" s="2">
        <f>Datos!M822</f>
        <v>74.099999999999994</v>
      </c>
      <c r="I822" s="2" t="b">
        <f t="shared" si="60"/>
        <v>1</v>
      </c>
      <c r="J822" s="2">
        <f t="shared" si="61"/>
        <v>74.099999999999994</v>
      </c>
      <c r="K822" s="2">
        <f t="shared" si="62"/>
        <v>1.6</v>
      </c>
      <c r="L822" s="2">
        <f t="shared" si="63"/>
        <v>43.3</v>
      </c>
      <c r="M822" s="2">
        <f t="shared" si="64"/>
        <v>70.400000000000006</v>
      </c>
    </row>
    <row r="823" spans="1:13" x14ac:dyDescent="0.3">
      <c r="A823" s="2">
        <f>Datos!A823</f>
        <v>556</v>
      </c>
      <c r="B823" s="2" t="str">
        <f>Datos!B823</f>
        <v>Female</v>
      </c>
      <c r="C823" s="2" t="str">
        <f>Datos!C823</f>
        <v>Masters</v>
      </c>
      <c r="D823" s="2" t="str">
        <f>Datos!G823</f>
        <v>C</v>
      </c>
      <c r="E823" s="2">
        <f>Datos!I823</f>
        <v>4.7</v>
      </c>
      <c r="F823" s="2">
        <f>Datos!J823</f>
        <v>89.6</v>
      </c>
      <c r="G823" s="2">
        <f>Datos!L823</f>
        <v>78.599999999999994</v>
      </c>
      <c r="H823" s="2">
        <f>Datos!M823</f>
        <v>78.099999999999994</v>
      </c>
      <c r="I823" s="2" t="b">
        <f t="shared" si="60"/>
        <v>1</v>
      </c>
      <c r="J823" s="2">
        <f t="shared" si="61"/>
        <v>78.099999999999994</v>
      </c>
      <c r="K823" s="2">
        <f t="shared" si="62"/>
        <v>4.7</v>
      </c>
      <c r="L823" s="2">
        <f t="shared" si="63"/>
        <v>78.599999999999994</v>
      </c>
      <c r="M823" s="2">
        <f t="shared" si="64"/>
        <v>89.6</v>
      </c>
    </row>
    <row r="824" spans="1:13" x14ac:dyDescent="0.3">
      <c r="A824" s="2">
        <f>Datos!A824</f>
        <v>395</v>
      </c>
      <c r="B824" s="2" t="str">
        <f>Datos!B824</f>
        <v>Male</v>
      </c>
      <c r="C824" s="2" t="str">
        <f>Datos!C824</f>
        <v>High School</v>
      </c>
      <c r="D824" s="2" t="str">
        <f>Datos!G824</f>
        <v>B</v>
      </c>
      <c r="E824" s="2">
        <f>Datos!I824</f>
        <v>3.9</v>
      </c>
      <c r="F824" s="2">
        <f>Datos!J824</f>
        <v>75.2</v>
      </c>
      <c r="G824" s="2">
        <f>Datos!L824</f>
        <v>67</v>
      </c>
      <c r="H824" s="2">
        <f>Datos!M824</f>
        <v>88.1</v>
      </c>
      <c r="I824" s="2" t="b">
        <f t="shared" si="60"/>
        <v>1</v>
      </c>
      <c r="J824" s="2">
        <f t="shared" si="61"/>
        <v>88.1</v>
      </c>
      <c r="K824" s="2">
        <f t="shared" si="62"/>
        <v>3.9</v>
      </c>
      <c r="L824" s="2">
        <f t="shared" si="63"/>
        <v>67</v>
      </c>
      <c r="M824" s="2">
        <f t="shared" si="64"/>
        <v>75.2</v>
      </c>
    </row>
    <row r="825" spans="1:13" x14ac:dyDescent="0.3">
      <c r="A825" s="2">
        <f>Datos!A825</f>
        <v>866</v>
      </c>
      <c r="B825" s="2" t="str">
        <f>Datos!B825</f>
        <v>Female</v>
      </c>
      <c r="C825" s="2" t="str">
        <f>Datos!C825</f>
        <v>Bachelors</v>
      </c>
      <c r="D825" s="2" t="str">
        <f>Datos!G825</f>
        <v>D</v>
      </c>
      <c r="E825" s="2">
        <f>Datos!I825</f>
        <v>1.9</v>
      </c>
      <c r="F825" s="2">
        <f>Datos!J825</f>
        <v>89</v>
      </c>
      <c r="G825" s="2">
        <f>Datos!L825</f>
        <v>43</v>
      </c>
      <c r="H825" s="2">
        <f>Datos!M825</f>
        <v>63.6</v>
      </c>
      <c r="I825" s="2" t="b">
        <f t="shared" si="60"/>
        <v>1</v>
      </c>
      <c r="J825" s="2">
        <f t="shared" si="61"/>
        <v>63.6</v>
      </c>
      <c r="K825" s="2">
        <f t="shared" si="62"/>
        <v>1.9</v>
      </c>
      <c r="L825" s="2">
        <f t="shared" si="63"/>
        <v>43</v>
      </c>
      <c r="M825" s="2">
        <f t="shared" si="64"/>
        <v>89</v>
      </c>
    </row>
    <row r="826" spans="1:13" x14ac:dyDescent="0.3">
      <c r="A826" s="2">
        <f>Datos!A826</f>
        <v>115</v>
      </c>
      <c r="B826" s="2" t="str">
        <f>Datos!B826</f>
        <v>Male</v>
      </c>
      <c r="C826" s="2" t="str">
        <f>Datos!C826</f>
        <v>Bachelors</v>
      </c>
      <c r="D826" s="2" t="str">
        <f>Datos!G826</f>
        <v>C</v>
      </c>
      <c r="E826" s="2">
        <f>Datos!I826</f>
        <v>4.2</v>
      </c>
      <c r="F826" s="2">
        <f>Datos!J826</f>
        <v>90.2</v>
      </c>
      <c r="G826" s="2">
        <f>Datos!L826</f>
        <v>55.5</v>
      </c>
      <c r="H826" s="2">
        <f>Datos!M826</f>
        <v>71.400000000000006</v>
      </c>
      <c r="I826" s="2" t="b">
        <f t="shared" si="60"/>
        <v>1</v>
      </c>
      <c r="J826" s="2">
        <f t="shared" si="61"/>
        <v>71.400000000000006</v>
      </c>
      <c r="K826" s="2">
        <f t="shared" si="62"/>
        <v>4.2</v>
      </c>
      <c r="L826" s="2">
        <f t="shared" si="63"/>
        <v>55.5</v>
      </c>
      <c r="M826" s="2">
        <f t="shared" si="64"/>
        <v>90.2</v>
      </c>
    </row>
    <row r="827" spans="1:13" x14ac:dyDescent="0.3">
      <c r="A827" s="2">
        <f>Datos!A827</f>
        <v>817</v>
      </c>
      <c r="B827" s="2" t="str">
        <f>Datos!B827</f>
        <v>Female</v>
      </c>
      <c r="C827" s="2" t="str">
        <f>Datos!C827</f>
        <v>PhD</v>
      </c>
      <c r="D827" s="2" t="str">
        <f>Datos!G827</f>
        <v>A</v>
      </c>
      <c r="E827" s="2">
        <f>Datos!I827</f>
        <v>5.9</v>
      </c>
      <c r="F827" s="2">
        <f>Datos!J827</f>
        <v>71.400000000000006</v>
      </c>
      <c r="G827" s="2">
        <f>Datos!L827</f>
        <v>90.5</v>
      </c>
      <c r="H827" s="2">
        <f>Datos!M827</f>
        <v>91.2</v>
      </c>
      <c r="I827" s="2" t="b">
        <f t="shared" si="60"/>
        <v>1</v>
      </c>
      <c r="J827" s="2">
        <f t="shared" si="61"/>
        <v>91.2</v>
      </c>
      <c r="K827" s="2">
        <f t="shared" si="62"/>
        <v>5.9</v>
      </c>
      <c r="L827" s="2">
        <f t="shared" si="63"/>
        <v>90.5</v>
      </c>
      <c r="M827" s="2">
        <f t="shared" si="64"/>
        <v>71.400000000000006</v>
      </c>
    </row>
    <row r="828" spans="1:13" x14ac:dyDescent="0.3">
      <c r="A828" s="2">
        <f>Datos!A828</f>
        <v>696</v>
      </c>
      <c r="B828" s="2" t="str">
        <f>Datos!B828</f>
        <v>Female</v>
      </c>
      <c r="C828" s="2" t="str">
        <f>Datos!C828</f>
        <v>Bachelors</v>
      </c>
      <c r="D828" s="2" t="str">
        <f>Datos!G828</f>
        <v>F</v>
      </c>
      <c r="E828" s="2">
        <f>Datos!I828</f>
        <v>0.7</v>
      </c>
      <c r="F828" s="2">
        <f>Datos!J828</f>
        <v>66.2</v>
      </c>
      <c r="G828" s="2">
        <f>Datos!L828</f>
        <v>38.6</v>
      </c>
      <c r="H828" s="2">
        <f>Datos!M828</f>
        <v>47.1</v>
      </c>
      <c r="I828" s="2" t="b">
        <f t="shared" si="60"/>
        <v>1</v>
      </c>
      <c r="J828" s="2">
        <f t="shared" si="61"/>
        <v>47.1</v>
      </c>
      <c r="K828" s="2">
        <f t="shared" si="62"/>
        <v>0.7</v>
      </c>
      <c r="L828" s="2">
        <f t="shared" si="63"/>
        <v>38.6</v>
      </c>
      <c r="M828" s="2">
        <f t="shared" si="64"/>
        <v>66.2</v>
      </c>
    </row>
    <row r="829" spans="1:13" x14ac:dyDescent="0.3">
      <c r="A829" s="2">
        <f>Datos!A829</f>
        <v>86</v>
      </c>
      <c r="B829" s="2" t="str">
        <f>Datos!B829</f>
        <v>Male</v>
      </c>
      <c r="C829" s="2">
        <f>Datos!C829</f>
        <v>0</v>
      </c>
      <c r="D829" s="2" t="str">
        <f>Datos!G829</f>
        <v>A</v>
      </c>
      <c r="E829" s="2">
        <f>Datos!I829</f>
        <v>4.5</v>
      </c>
      <c r="F829" s="2">
        <f>Datos!J829</f>
        <v>73.5</v>
      </c>
      <c r="G829" s="2">
        <f>Datos!L829</f>
        <v>86.2</v>
      </c>
      <c r="H829" s="2">
        <f>Datos!M829</f>
        <v>93.2</v>
      </c>
      <c r="I829" s="2" t="b">
        <f t="shared" si="60"/>
        <v>1</v>
      </c>
      <c r="J829" s="2">
        <f t="shared" si="61"/>
        <v>93.2</v>
      </c>
      <c r="K829" s="2">
        <f t="shared" si="62"/>
        <v>4.5</v>
      </c>
      <c r="L829" s="2">
        <f t="shared" si="63"/>
        <v>86.2</v>
      </c>
      <c r="M829" s="2">
        <f t="shared" si="64"/>
        <v>73.5</v>
      </c>
    </row>
    <row r="830" spans="1:13" x14ac:dyDescent="0.3">
      <c r="A830" s="2">
        <f>Datos!A830</f>
        <v>660</v>
      </c>
      <c r="B830" s="2" t="str">
        <f>Datos!B830</f>
        <v>Male</v>
      </c>
      <c r="C830" s="2" t="str">
        <f>Datos!C830</f>
        <v>High School</v>
      </c>
      <c r="D830" s="2" t="str">
        <f>Datos!G830</f>
        <v>F</v>
      </c>
      <c r="E830" s="2">
        <f>Datos!I830</f>
        <v>0.9</v>
      </c>
      <c r="F830" s="2">
        <f>Datos!J830</f>
        <v>88.4</v>
      </c>
      <c r="G830" s="2">
        <f>Datos!L830</f>
        <v>62.5</v>
      </c>
      <c r="H830" s="2">
        <f>Datos!M830</f>
        <v>57.1</v>
      </c>
      <c r="I830" s="2" t="b">
        <f t="shared" si="60"/>
        <v>1</v>
      </c>
      <c r="J830" s="2">
        <f t="shared" si="61"/>
        <v>57.1</v>
      </c>
      <c r="K830" s="2">
        <f t="shared" si="62"/>
        <v>0.9</v>
      </c>
      <c r="L830" s="2">
        <f t="shared" si="63"/>
        <v>62.5</v>
      </c>
      <c r="M830" s="2">
        <f t="shared" si="64"/>
        <v>88.4</v>
      </c>
    </row>
    <row r="831" spans="1:13" x14ac:dyDescent="0.3">
      <c r="A831" s="2">
        <f>Datos!A831</f>
        <v>648</v>
      </c>
      <c r="B831" s="2" t="str">
        <f>Datos!B831</f>
        <v>Female</v>
      </c>
      <c r="C831" s="2" t="str">
        <f>Datos!C831</f>
        <v>Bachelors</v>
      </c>
      <c r="D831" s="2" t="str">
        <f>Datos!G831</f>
        <v>D</v>
      </c>
      <c r="E831" s="2">
        <f>Datos!I831</f>
        <v>3.6</v>
      </c>
      <c r="F831" s="2">
        <f>Datos!J831</f>
        <v>71.900000000000006</v>
      </c>
      <c r="G831" s="2">
        <f>Datos!L831</f>
        <v>62.7</v>
      </c>
      <c r="H831" s="2">
        <f>Datos!M831</f>
        <v>68.900000000000006</v>
      </c>
      <c r="I831" s="2" t="b">
        <f t="shared" si="60"/>
        <v>1</v>
      </c>
      <c r="J831" s="2">
        <f t="shared" si="61"/>
        <v>68.900000000000006</v>
      </c>
      <c r="K831" s="2">
        <f t="shared" si="62"/>
        <v>3.6</v>
      </c>
      <c r="L831" s="2">
        <f t="shared" si="63"/>
        <v>62.7</v>
      </c>
      <c r="M831" s="2">
        <f t="shared" si="64"/>
        <v>71.900000000000006</v>
      </c>
    </row>
    <row r="832" spans="1:13" x14ac:dyDescent="0.3">
      <c r="A832" s="2">
        <f>Datos!A832</f>
        <v>166</v>
      </c>
      <c r="B832" s="2" t="str">
        <f>Datos!B832</f>
        <v>Male</v>
      </c>
      <c r="C832" s="2" t="str">
        <f>Datos!C832</f>
        <v>PhD</v>
      </c>
      <c r="D832" s="2" t="str">
        <f>Datos!G832</f>
        <v>B</v>
      </c>
      <c r="E832" s="2">
        <f>Datos!I832</f>
        <v>3.6</v>
      </c>
      <c r="F832" s="2">
        <f>Datos!J832</f>
        <v>67.099999999999994</v>
      </c>
      <c r="G832" s="2">
        <f>Datos!L832</f>
        <v>73.3</v>
      </c>
      <c r="H832" s="2">
        <f>Datos!M832</f>
        <v>88.6</v>
      </c>
      <c r="I832" s="2" t="b">
        <f t="shared" si="60"/>
        <v>1</v>
      </c>
      <c r="J832" s="2">
        <f t="shared" si="61"/>
        <v>88.6</v>
      </c>
      <c r="K832" s="2">
        <f t="shared" si="62"/>
        <v>3.6</v>
      </c>
      <c r="L832" s="2">
        <f t="shared" si="63"/>
        <v>73.3</v>
      </c>
      <c r="M832" s="2">
        <f t="shared" si="64"/>
        <v>67.099999999999994</v>
      </c>
    </row>
    <row r="833" spans="1:13" x14ac:dyDescent="0.3">
      <c r="A833" s="2">
        <f>Datos!A833</f>
        <v>494</v>
      </c>
      <c r="B833" s="2" t="str">
        <f>Datos!B833</f>
        <v>Male</v>
      </c>
      <c r="C833" s="2" t="str">
        <f>Datos!C833</f>
        <v>High School</v>
      </c>
      <c r="D833" s="2" t="str">
        <f>Datos!G833</f>
        <v>D</v>
      </c>
      <c r="E833" s="2">
        <f>Datos!I833</f>
        <v>4.0999999999999996</v>
      </c>
      <c r="F833" s="2">
        <f>Datos!J833</f>
        <v>65.7</v>
      </c>
      <c r="G833" s="2">
        <f>Datos!L833</f>
        <v>66.7</v>
      </c>
      <c r="H833" s="2">
        <f>Datos!M833</f>
        <v>67.7</v>
      </c>
      <c r="I833" s="2" t="b">
        <f t="shared" si="60"/>
        <v>1</v>
      </c>
      <c r="J833" s="2">
        <f t="shared" si="61"/>
        <v>67.7</v>
      </c>
      <c r="K833" s="2">
        <f t="shared" si="62"/>
        <v>4.0999999999999996</v>
      </c>
      <c r="L833" s="2">
        <f t="shared" si="63"/>
        <v>66.7</v>
      </c>
      <c r="M833" s="2">
        <f t="shared" si="64"/>
        <v>65.7</v>
      </c>
    </row>
    <row r="834" spans="1:13" x14ac:dyDescent="0.3">
      <c r="A834" s="2">
        <f>Datos!A834</f>
        <v>820</v>
      </c>
      <c r="B834" s="2" t="str">
        <f>Datos!B834</f>
        <v>Male</v>
      </c>
      <c r="C834" s="2" t="str">
        <f>Datos!C834</f>
        <v>High School</v>
      </c>
      <c r="D834" s="2" t="str">
        <f>Datos!G834</f>
        <v>F</v>
      </c>
      <c r="E834" s="2">
        <f>Datos!I834</f>
        <v>2.2000000000000002</v>
      </c>
      <c r="F834" s="2">
        <f>Datos!J834</f>
        <v>65.5</v>
      </c>
      <c r="G834" s="2">
        <f>Datos!L834</f>
        <v>58.4</v>
      </c>
      <c r="H834" s="2">
        <f>Datos!M834</f>
        <v>51.7</v>
      </c>
      <c r="I834" s="2" t="b">
        <f t="shared" ref="I834:I897" si="65">AND(E834&gt;=0,E834&lt;=12,F834&gt;=0,F834&lt;=100,G834&gt;=0,G834&lt;=100,H834&gt;=0,H834&lt;=100)</f>
        <v>1</v>
      </c>
      <c r="J834" s="2">
        <f t="shared" ref="J834:J897" si="66">IF(I834,H834,"")</f>
        <v>51.7</v>
      </c>
      <c r="K834" s="2">
        <f t="shared" ref="K834:K897" si="67">IF(I834,E834,"")</f>
        <v>2.2000000000000002</v>
      </c>
      <c r="L834" s="2">
        <f t="shared" ref="L834:L897" si="68">IF(I834,G834,"")</f>
        <v>58.4</v>
      </c>
      <c r="M834" s="2">
        <f t="shared" ref="M834:M897" si="69">IF(I834,F834,"")</f>
        <v>65.5</v>
      </c>
    </row>
    <row r="835" spans="1:13" x14ac:dyDescent="0.3">
      <c r="A835" s="2">
        <f>Datos!A835</f>
        <v>309</v>
      </c>
      <c r="B835" s="2" t="str">
        <f>Datos!B835</f>
        <v>Female</v>
      </c>
      <c r="C835" s="2" t="str">
        <f>Datos!C835</f>
        <v>High School</v>
      </c>
      <c r="D835" s="2" t="str">
        <f>Datos!G835</f>
        <v>B</v>
      </c>
      <c r="E835" s="2">
        <f>Datos!I835</f>
        <v>4.7</v>
      </c>
      <c r="F835" s="2">
        <f>Datos!J835</f>
        <v>82.2</v>
      </c>
      <c r="G835" s="2">
        <f>Datos!L835</f>
        <v>73.3</v>
      </c>
      <c r="H835" s="2">
        <f>Datos!M835</f>
        <v>85.9</v>
      </c>
      <c r="I835" s="2" t="b">
        <f t="shared" si="65"/>
        <v>1</v>
      </c>
      <c r="J835" s="2">
        <f t="shared" si="66"/>
        <v>85.9</v>
      </c>
      <c r="K835" s="2">
        <f t="shared" si="67"/>
        <v>4.7</v>
      </c>
      <c r="L835" s="2">
        <f t="shared" si="68"/>
        <v>73.3</v>
      </c>
      <c r="M835" s="2">
        <f t="shared" si="69"/>
        <v>82.2</v>
      </c>
    </row>
    <row r="836" spans="1:13" x14ac:dyDescent="0.3">
      <c r="A836" s="2">
        <f>Datos!A836</f>
        <v>56</v>
      </c>
      <c r="B836" s="2" t="str">
        <f>Datos!B836</f>
        <v>Female</v>
      </c>
      <c r="C836" s="2" t="str">
        <f>Datos!C836</f>
        <v>Masters</v>
      </c>
      <c r="D836" s="2" t="str">
        <f>Datos!G836</f>
        <v>D</v>
      </c>
      <c r="E836" s="2">
        <f>Datos!I836</f>
        <v>2.8</v>
      </c>
      <c r="F836" s="2">
        <f>Datos!J836</f>
        <v>82.9</v>
      </c>
      <c r="G836" s="2">
        <f>Datos!L836</f>
        <v>66.2</v>
      </c>
      <c r="H836" s="2">
        <f>Datos!M836</f>
        <v>67.2</v>
      </c>
      <c r="I836" s="2" t="b">
        <f t="shared" si="65"/>
        <v>1</v>
      </c>
      <c r="J836" s="2">
        <f t="shared" si="66"/>
        <v>67.2</v>
      </c>
      <c r="K836" s="2">
        <f t="shared" si="67"/>
        <v>2.8</v>
      </c>
      <c r="L836" s="2">
        <f t="shared" si="68"/>
        <v>66.2</v>
      </c>
      <c r="M836" s="2">
        <f t="shared" si="69"/>
        <v>82.9</v>
      </c>
    </row>
    <row r="837" spans="1:13" x14ac:dyDescent="0.3">
      <c r="A837" s="2">
        <f>Datos!A837</f>
        <v>924</v>
      </c>
      <c r="B837" s="2" t="str">
        <f>Datos!B837</f>
        <v>Female</v>
      </c>
      <c r="C837" s="2" t="str">
        <f>Datos!C837</f>
        <v>High School</v>
      </c>
      <c r="D837" s="2" t="str">
        <f>Datos!G837</f>
        <v>D</v>
      </c>
      <c r="E837" s="2">
        <f>Datos!I837</f>
        <v>5</v>
      </c>
      <c r="F837" s="2">
        <f>Datos!J837</f>
        <v>84.9</v>
      </c>
      <c r="G837" s="2">
        <f>Datos!L837</f>
        <v>39.799999999999997</v>
      </c>
      <c r="H837" s="2">
        <f>Datos!M837</f>
        <v>67.900000000000006</v>
      </c>
      <c r="I837" s="2" t="b">
        <f t="shared" si="65"/>
        <v>1</v>
      </c>
      <c r="J837" s="2">
        <f t="shared" si="66"/>
        <v>67.900000000000006</v>
      </c>
      <c r="K837" s="2">
        <f t="shared" si="67"/>
        <v>5</v>
      </c>
      <c r="L837" s="2">
        <f t="shared" si="68"/>
        <v>39.799999999999997</v>
      </c>
      <c r="M837" s="2">
        <f t="shared" si="69"/>
        <v>84.9</v>
      </c>
    </row>
    <row r="838" spans="1:13" x14ac:dyDescent="0.3">
      <c r="A838" s="2">
        <f>Datos!A838</f>
        <v>305</v>
      </c>
      <c r="B838" s="2" t="str">
        <f>Datos!B838</f>
        <v>Male</v>
      </c>
      <c r="C838" s="2" t="str">
        <f>Datos!C838</f>
        <v>Bachelors</v>
      </c>
      <c r="D838" s="2" t="str">
        <f>Datos!G838</f>
        <v>F</v>
      </c>
      <c r="E838" s="2">
        <f>Datos!I838</f>
        <v>1.1000000000000001</v>
      </c>
      <c r="F838" s="2">
        <f>Datos!J838</f>
        <v>94.6</v>
      </c>
      <c r="G838" s="2">
        <f>Datos!L838</f>
        <v>47.4</v>
      </c>
      <c r="H838" s="2">
        <f>Datos!M838</f>
        <v>55.8</v>
      </c>
      <c r="I838" s="2" t="b">
        <f t="shared" si="65"/>
        <v>1</v>
      </c>
      <c r="J838" s="2">
        <f t="shared" si="66"/>
        <v>55.8</v>
      </c>
      <c r="K838" s="2">
        <f t="shared" si="67"/>
        <v>1.1000000000000001</v>
      </c>
      <c r="L838" s="2">
        <f t="shared" si="68"/>
        <v>47.4</v>
      </c>
      <c r="M838" s="2">
        <f t="shared" si="69"/>
        <v>94.6</v>
      </c>
    </row>
    <row r="839" spans="1:13" x14ac:dyDescent="0.3">
      <c r="A839" s="2">
        <f>Datos!A839</f>
        <v>391</v>
      </c>
      <c r="B839" s="2" t="str">
        <f>Datos!B839</f>
        <v>Female</v>
      </c>
      <c r="C839" s="2" t="str">
        <f>Datos!C839</f>
        <v>Masters</v>
      </c>
      <c r="D839" s="2" t="str">
        <f>Datos!G839</f>
        <v>D</v>
      </c>
      <c r="E839" s="2">
        <f>Datos!I839</f>
        <v>1.6</v>
      </c>
      <c r="F839" s="2">
        <f>Datos!J839</f>
        <v>84</v>
      </c>
      <c r="G839" s="2">
        <f>Datos!L839</f>
        <v>57.9</v>
      </c>
      <c r="H839" s="2">
        <f>Datos!M839</f>
        <v>64.400000000000006</v>
      </c>
      <c r="I839" s="2" t="b">
        <f t="shared" si="65"/>
        <v>1</v>
      </c>
      <c r="J839" s="2">
        <f t="shared" si="66"/>
        <v>64.400000000000006</v>
      </c>
      <c r="K839" s="2">
        <f t="shared" si="67"/>
        <v>1.6</v>
      </c>
      <c r="L839" s="2">
        <f t="shared" si="68"/>
        <v>57.9</v>
      </c>
      <c r="M839" s="2">
        <f t="shared" si="69"/>
        <v>84</v>
      </c>
    </row>
    <row r="840" spans="1:13" x14ac:dyDescent="0.3">
      <c r="A840" s="2">
        <f>Datos!A840</f>
        <v>94</v>
      </c>
      <c r="B840" s="2" t="str">
        <f>Datos!B840</f>
        <v>Female</v>
      </c>
      <c r="C840" s="2" t="str">
        <f>Datos!C840</f>
        <v>Bachelors</v>
      </c>
      <c r="D840" s="2" t="str">
        <f>Datos!G840</f>
        <v>B</v>
      </c>
      <c r="E840" s="2">
        <f>Datos!I840</f>
        <v>5.7</v>
      </c>
      <c r="F840" s="2">
        <f>Datos!J840</f>
        <v>83.2</v>
      </c>
      <c r="G840" s="2">
        <f>Datos!L840</f>
        <v>76</v>
      </c>
      <c r="H840" s="2">
        <f>Datos!M840</f>
        <v>86.7</v>
      </c>
      <c r="I840" s="2" t="b">
        <f t="shared" si="65"/>
        <v>1</v>
      </c>
      <c r="J840" s="2">
        <f t="shared" si="66"/>
        <v>86.7</v>
      </c>
      <c r="K840" s="2">
        <f t="shared" si="67"/>
        <v>5.7</v>
      </c>
      <c r="L840" s="2">
        <f t="shared" si="68"/>
        <v>76</v>
      </c>
      <c r="M840" s="2">
        <f t="shared" si="69"/>
        <v>83.2</v>
      </c>
    </row>
    <row r="841" spans="1:13" x14ac:dyDescent="0.3">
      <c r="A841" s="2">
        <f>Datos!A841</f>
        <v>439</v>
      </c>
      <c r="B841" s="2" t="str">
        <f>Datos!B841</f>
        <v>Male</v>
      </c>
      <c r="C841" s="2" t="str">
        <f>Datos!C841</f>
        <v>PhD</v>
      </c>
      <c r="D841" s="2" t="str">
        <f>Datos!G841</f>
        <v>C</v>
      </c>
      <c r="E841" s="2">
        <f>Datos!I841</f>
        <v>6.6</v>
      </c>
      <c r="F841" s="2">
        <f>Datos!J841</f>
        <v>90</v>
      </c>
      <c r="G841" s="2">
        <f>Datos!L841</f>
        <v>41.4</v>
      </c>
      <c r="H841" s="2">
        <f>Datos!M841</f>
        <v>77.2</v>
      </c>
      <c r="I841" s="2" t="b">
        <f t="shared" si="65"/>
        <v>1</v>
      </c>
      <c r="J841" s="2">
        <f t="shared" si="66"/>
        <v>77.2</v>
      </c>
      <c r="K841" s="2">
        <f t="shared" si="67"/>
        <v>6.6</v>
      </c>
      <c r="L841" s="2">
        <f t="shared" si="68"/>
        <v>41.4</v>
      </c>
      <c r="M841" s="2">
        <f t="shared" si="69"/>
        <v>90</v>
      </c>
    </row>
    <row r="842" spans="1:13" x14ac:dyDescent="0.3">
      <c r="A842" s="2">
        <f>Datos!A842</f>
        <v>176</v>
      </c>
      <c r="B842" s="2" t="str">
        <f>Datos!B842</f>
        <v>Female</v>
      </c>
      <c r="C842" s="2" t="str">
        <f>Datos!C842</f>
        <v>PhD</v>
      </c>
      <c r="D842" s="2" t="str">
        <f>Datos!G842</f>
        <v>B</v>
      </c>
      <c r="E842" s="2">
        <f>Datos!I842</f>
        <v>6.2</v>
      </c>
      <c r="F842" s="2">
        <f>Datos!J842</f>
        <v>96.1</v>
      </c>
      <c r="G842" s="2">
        <f>Datos!L842</f>
        <v>91.3</v>
      </c>
      <c r="H842" s="2">
        <f>Datos!M842</f>
        <v>84.4</v>
      </c>
      <c r="I842" s="2" t="b">
        <f t="shared" si="65"/>
        <v>1</v>
      </c>
      <c r="J842" s="2">
        <f t="shared" si="66"/>
        <v>84.4</v>
      </c>
      <c r="K842" s="2">
        <f t="shared" si="67"/>
        <v>6.2</v>
      </c>
      <c r="L842" s="2">
        <f t="shared" si="68"/>
        <v>91.3</v>
      </c>
      <c r="M842" s="2">
        <f t="shared" si="69"/>
        <v>96.1</v>
      </c>
    </row>
    <row r="843" spans="1:13" x14ac:dyDescent="0.3">
      <c r="A843" s="2">
        <f>Datos!A843</f>
        <v>796</v>
      </c>
      <c r="B843" s="2" t="str">
        <f>Datos!B843</f>
        <v>Male</v>
      </c>
      <c r="C843" s="2" t="str">
        <f>Datos!C843</f>
        <v>Masters</v>
      </c>
      <c r="D843" s="2" t="str">
        <f>Datos!G843</f>
        <v>F</v>
      </c>
      <c r="E843" s="2">
        <f>Datos!I843</f>
        <v>2.8</v>
      </c>
      <c r="F843" s="2">
        <f>Datos!J843</f>
        <v>65.2</v>
      </c>
      <c r="G843" s="2">
        <f>Datos!L843</f>
        <v>50.5</v>
      </c>
      <c r="H843" s="2">
        <f>Datos!M843</f>
        <v>51.2</v>
      </c>
      <c r="I843" s="2" t="b">
        <f t="shared" si="65"/>
        <v>1</v>
      </c>
      <c r="J843" s="2">
        <f t="shared" si="66"/>
        <v>51.2</v>
      </c>
      <c r="K843" s="2">
        <f t="shared" si="67"/>
        <v>2.8</v>
      </c>
      <c r="L843" s="2">
        <f t="shared" si="68"/>
        <v>50.5</v>
      </c>
      <c r="M843" s="2">
        <f t="shared" si="69"/>
        <v>65.2</v>
      </c>
    </row>
    <row r="844" spans="1:13" x14ac:dyDescent="0.3">
      <c r="A844" s="2">
        <f>Datos!A844</f>
        <v>455</v>
      </c>
      <c r="B844" s="2" t="str">
        <f>Datos!B844</f>
        <v>Male</v>
      </c>
      <c r="C844" s="2" t="str">
        <f>Datos!C844</f>
        <v>High School</v>
      </c>
      <c r="D844" s="2" t="str">
        <f>Datos!G844</f>
        <v>B</v>
      </c>
      <c r="E844" s="2">
        <f>Datos!I844</f>
        <v>4.3</v>
      </c>
      <c r="F844" s="2">
        <f>Datos!J844</f>
        <v>86.8</v>
      </c>
      <c r="G844" s="2">
        <f>Datos!L844</f>
        <v>68.599999999999994</v>
      </c>
      <c r="H844" s="2">
        <f>Datos!M844</f>
        <v>86.9</v>
      </c>
      <c r="I844" s="2" t="b">
        <f t="shared" si="65"/>
        <v>1</v>
      </c>
      <c r="J844" s="2">
        <f t="shared" si="66"/>
        <v>86.9</v>
      </c>
      <c r="K844" s="2">
        <f t="shared" si="67"/>
        <v>4.3</v>
      </c>
      <c r="L844" s="2">
        <f t="shared" si="68"/>
        <v>68.599999999999994</v>
      </c>
      <c r="M844" s="2">
        <f t="shared" si="69"/>
        <v>86.8</v>
      </c>
    </row>
    <row r="845" spans="1:13" x14ac:dyDescent="0.3">
      <c r="A845" s="2">
        <f>Datos!A845</f>
        <v>72</v>
      </c>
      <c r="B845" s="2" t="str">
        <f>Datos!B845</f>
        <v>Male</v>
      </c>
      <c r="C845" s="2" t="str">
        <f>Datos!C845</f>
        <v>PhD</v>
      </c>
      <c r="D845" s="2" t="str">
        <f>Datos!G845</f>
        <v>D</v>
      </c>
      <c r="E845" s="2">
        <f>Datos!I845</f>
        <v>0.8</v>
      </c>
      <c r="F845" s="2">
        <f>Datos!J845</f>
        <v>73.2</v>
      </c>
      <c r="G845" s="2">
        <f>Datos!L845</f>
        <v>75.599999999999994</v>
      </c>
      <c r="H845" s="2">
        <f>Datos!M845</f>
        <v>74.099999999999994</v>
      </c>
      <c r="I845" s="2" t="b">
        <f t="shared" si="65"/>
        <v>1</v>
      </c>
      <c r="J845" s="2">
        <f t="shared" si="66"/>
        <v>74.099999999999994</v>
      </c>
      <c r="K845" s="2">
        <f t="shared" si="67"/>
        <v>0.8</v>
      </c>
      <c r="L845" s="2">
        <f t="shared" si="68"/>
        <v>75.599999999999994</v>
      </c>
      <c r="M845" s="2">
        <f t="shared" si="69"/>
        <v>73.2</v>
      </c>
    </row>
    <row r="846" spans="1:13" x14ac:dyDescent="0.3">
      <c r="A846" s="2">
        <f>Datos!A846</f>
        <v>3</v>
      </c>
      <c r="B846" s="2" t="str">
        <f>Datos!B846</f>
        <v>Female</v>
      </c>
      <c r="C846" s="2" t="str">
        <f>Datos!C846</f>
        <v>PhD</v>
      </c>
      <c r="D846" s="2" t="str">
        <f>Datos!G846</f>
        <v>C</v>
      </c>
      <c r="E846" s="2">
        <f>Datos!I846</f>
        <v>48</v>
      </c>
      <c r="F846" s="2">
        <f>Datos!J846</f>
        <v>91.5</v>
      </c>
      <c r="G846" s="2">
        <f>Datos!L846</f>
        <v>46.7</v>
      </c>
      <c r="H846" s="2">
        <f>Datos!M846</f>
        <v>74.7</v>
      </c>
      <c r="I846" s="2" t="b">
        <f t="shared" si="65"/>
        <v>0</v>
      </c>
      <c r="J846" s="2" t="str">
        <f t="shared" si="66"/>
        <v/>
      </c>
      <c r="K846" s="2" t="str">
        <f t="shared" si="67"/>
        <v/>
      </c>
      <c r="L846" s="2" t="str">
        <f t="shared" si="68"/>
        <v/>
      </c>
      <c r="M846" s="2" t="str">
        <f t="shared" si="69"/>
        <v/>
      </c>
    </row>
    <row r="847" spans="1:13" x14ac:dyDescent="0.3">
      <c r="A847" s="2">
        <f>Datos!A847</f>
        <v>71</v>
      </c>
      <c r="B847" s="2" t="str">
        <f>Datos!B847</f>
        <v>Male</v>
      </c>
      <c r="C847" s="2">
        <f>Datos!C847</f>
        <v>0</v>
      </c>
      <c r="D847" s="2" t="str">
        <f>Datos!G847</f>
        <v>D</v>
      </c>
      <c r="E847" s="2">
        <f>Datos!I847</f>
        <v>2.9</v>
      </c>
      <c r="F847" s="2">
        <f>Datos!J847</f>
        <v>66.7</v>
      </c>
      <c r="G847" s="2">
        <f>Datos!L847</f>
        <v>86.9</v>
      </c>
      <c r="H847" s="2">
        <f>Datos!M847</f>
        <v>61.4</v>
      </c>
      <c r="I847" s="2" t="b">
        <f t="shared" si="65"/>
        <v>1</v>
      </c>
      <c r="J847" s="2">
        <f t="shared" si="66"/>
        <v>61.4</v>
      </c>
      <c r="K847" s="2">
        <f t="shared" si="67"/>
        <v>2.9</v>
      </c>
      <c r="L847" s="2">
        <f t="shared" si="68"/>
        <v>86.9</v>
      </c>
      <c r="M847" s="2">
        <f t="shared" si="69"/>
        <v>66.7</v>
      </c>
    </row>
    <row r="848" spans="1:13" x14ac:dyDescent="0.3">
      <c r="A848" s="2">
        <f>Datos!A848</f>
        <v>680</v>
      </c>
      <c r="B848" s="2" t="str">
        <f>Datos!B848</f>
        <v>Female</v>
      </c>
      <c r="C848" s="2" t="str">
        <f>Datos!C848</f>
        <v>Bachelors</v>
      </c>
      <c r="D848" s="2" t="str">
        <f>Datos!G848</f>
        <v>D</v>
      </c>
      <c r="E848" s="2">
        <f>Datos!I848</f>
        <v>1.3</v>
      </c>
      <c r="F848" s="2">
        <f>Datos!J848</f>
        <v>75.099999999999994</v>
      </c>
      <c r="G848" s="2">
        <f>Datos!L848</f>
        <v>49.8</v>
      </c>
      <c r="H848" s="2">
        <f>Datos!M848</f>
        <v>62</v>
      </c>
      <c r="I848" s="2" t="b">
        <f t="shared" si="65"/>
        <v>1</v>
      </c>
      <c r="J848" s="2">
        <f t="shared" si="66"/>
        <v>62</v>
      </c>
      <c r="K848" s="2">
        <f t="shared" si="67"/>
        <v>1.3</v>
      </c>
      <c r="L848" s="2">
        <f t="shared" si="68"/>
        <v>49.8</v>
      </c>
      <c r="M848" s="2">
        <f t="shared" si="69"/>
        <v>75.099999999999994</v>
      </c>
    </row>
    <row r="849" spans="1:13" x14ac:dyDescent="0.3">
      <c r="A849" s="2">
        <f>Datos!A849</f>
        <v>884</v>
      </c>
      <c r="B849" s="2" t="str">
        <f>Datos!B849</f>
        <v>Male</v>
      </c>
      <c r="C849" s="2" t="str">
        <f>Datos!C849</f>
        <v>High School</v>
      </c>
      <c r="D849" s="2" t="str">
        <f>Datos!G849</f>
        <v>C</v>
      </c>
      <c r="E849" s="2">
        <f>Datos!I849</f>
        <v>3.8</v>
      </c>
      <c r="F849" s="2">
        <f>Datos!J849</f>
        <v>94.7</v>
      </c>
      <c r="G849" s="2">
        <f>Datos!L849</f>
        <v>66.5</v>
      </c>
      <c r="H849" s="2">
        <f>Datos!M849</f>
        <v>81.7</v>
      </c>
      <c r="I849" s="2" t="b">
        <f t="shared" si="65"/>
        <v>1</v>
      </c>
      <c r="J849" s="2">
        <f t="shared" si="66"/>
        <v>81.7</v>
      </c>
      <c r="K849" s="2">
        <f t="shared" si="67"/>
        <v>3.8</v>
      </c>
      <c r="L849" s="2">
        <f t="shared" si="68"/>
        <v>66.5</v>
      </c>
      <c r="M849" s="2">
        <f t="shared" si="69"/>
        <v>94.7</v>
      </c>
    </row>
    <row r="850" spans="1:13" x14ac:dyDescent="0.3">
      <c r="A850" s="2">
        <f>Datos!A850</f>
        <v>640</v>
      </c>
      <c r="B850" s="2" t="str">
        <f>Datos!B850</f>
        <v>Female</v>
      </c>
      <c r="C850" s="2" t="str">
        <f>Datos!C850</f>
        <v>Bachelors</v>
      </c>
      <c r="D850" s="2" t="str">
        <f>Datos!G850</f>
        <v>D</v>
      </c>
      <c r="E850" s="2">
        <f>Datos!I850</f>
        <v>2.8</v>
      </c>
      <c r="F850" s="2">
        <f>Datos!J850</f>
        <v>86.6</v>
      </c>
      <c r="G850" s="2">
        <f>Datos!L850</f>
        <v>49.6</v>
      </c>
      <c r="H850" s="2">
        <f>Datos!M850</f>
        <v>65.900000000000006</v>
      </c>
      <c r="I850" s="2" t="b">
        <f t="shared" si="65"/>
        <v>1</v>
      </c>
      <c r="J850" s="2">
        <f t="shared" si="66"/>
        <v>65.900000000000006</v>
      </c>
      <c r="K850" s="2">
        <f t="shared" si="67"/>
        <v>2.8</v>
      </c>
      <c r="L850" s="2">
        <f t="shared" si="68"/>
        <v>49.6</v>
      </c>
      <c r="M850" s="2">
        <f t="shared" si="69"/>
        <v>86.6</v>
      </c>
    </row>
    <row r="851" spans="1:13" x14ac:dyDescent="0.3">
      <c r="A851" s="2">
        <f>Datos!A851</f>
        <v>588</v>
      </c>
      <c r="B851" s="2" t="str">
        <f>Datos!B851</f>
        <v>Female</v>
      </c>
      <c r="C851" s="2" t="str">
        <f>Datos!C851</f>
        <v>Masters</v>
      </c>
      <c r="D851" s="2" t="str">
        <f>Datos!G851</f>
        <v>C</v>
      </c>
      <c r="E851" s="2">
        <f>Datos!I851</f>
        <v>4.3</v>
      </c>
      <c r="F851" s="2">
        <f>Datos!J851</f>
        <v>99.7</v>
      </c>
      <c r="G851" s="2">
        <f>Datos!L851</f>
        <v>71.8</v>
      </c>
      <c r="H851" s="2">
        <f>Datos!M851</f>
        <v>75.8</v>
      </c>
      <c r="I851" s="2" t="b">
        <f t="shared" si="65"/>
        <v>1</v>
      </c>
      <c r="J851" s="2">
        <f t="shared" si="66"/>
        <v>75.8</v>
      </c>
      <c r="K851" s="2">
        <f t="shared" si="67"/>
        <v>4.3</v>
      </c>
      <c r="L851" s="2">
        <f t="shared" si="68"/>
        <v>71.8</v>
      </c>
      <c r="M851" s="2">
        <f t="shared" si="69"/>
        <v>99.7</v>
      </c>
    </row>
    <row r="852" spans="1:13" x14ac:dyDescent="0.3">
      <c r="A852" s="2">
        <f>Datos!A852</f>
        <v>536</v>
      </c>
      <c r="B852" s="2" t="str">
        <f>Datos!B852</f>
        <v>Female</v>
      </c>
      <c r="C852" s="2">
        <f>Datos!C852</f>
        <v>0</v>
      </c>
      <c r="D852" s="2" t="str">
        <f>Datos!G852</f>
        <v>B</v>
      </c>
      <c r="E852" s="2">
        <f>Datos!I852</f>
        <v>3.2</v>
      </c>
      <c r="F852" s="2">
        <f>Datos!J852</f>
        <v>92.5</v>
      </c>
      <c r="G852" s="2">
        <f>Datos!L852</f>
        <v>79.400000000000006</v>
      </c>
      <c r="H852" s="2">
        <f>Datos!M852</f>
        <v>87.5</v>
      </c>
      <c r="I852" s="2" t="b">
        <f t="shared" si="65"/>
        <v>1</v>
      </c>
      <c r="J852" s="2">
        <f t="shared" si="66"/>
        <v>87.5</v>
      </c>
      <c r="K852" s="2">
        <f t="shared" si="67"/>
        <v>3.2</v>
      </c>
      <c r="L852" s="2">
        <f t="shared" si="68"/>
        <v>79.400000000000006</v>
      </c>
      <c r="M852" s="2">
        <f t="shared" si="69"/>
        <v>92.5</v>
      </c>
    </row>
    <row r="853" spans="1:13" x14ac:dyDescent="0.3">
      <c r="A853" s="2">
        <f>Datos!A853</f>
        <v>742</v>
      </c>
      <c r="B853" s="2" t="str">
        <f>Datos!B853</f>
        <v>Male</v>
      </c>
      <c r="C853" s="2" t="str">
        <f>Datos!C853</f>
        <v>PhD</v>
      </c>
      <c r="D853" s="2" t="str">
        <f>Datos!G853</f>
        <v>A</v>
      </c>
      <c r="E853" s="2">
        <f>Datos!I853</f>
        <v>6.3</v>
      </c>
      <c r="F853" s="2">
        <f>Datos!J853</f>
        <v>84.5</v>
      </c>
      <c r="G853" s="2">
        <f>Datos!L853</f>
        <v>84.1</v>
      </c>
      <c r="H853" s="2">
        <f>Datos!M853</f>
        <v>97.2</v>
      </c>
      <c r="I853" s="2" t="b">
        <f t="shared" si="65"/>
        <v>1</v>
      </c>
      <c r="J853" s="2">
        <f t="shared" si="66"/>
        <v>97.2</v>
      </c>
      <c r="K853" s="2">
        <f t="shared" si="67"/>
        <v>6.3</v>
      </c>
      <c r="L853" s="2">
        <f t="shared" si="68"/>
        <v>84.1</v>
      </c>
      <c r="M853" s="2">
        <f t="shared" si="69"/>
        <v>84.5</v>
      </c>
    </row>
    <row r="854" spans="1:13" x14ac:dyDescent="0.3">
      <c r="A854" s="2">
        <f>Datos!A854</f>
        <v>325</v>
      </c>
      <c r="B854" s="2" t="str">
        <f>Datos!B854</f>
        <v>Female</v>
      </c>
      <c r="C854" s="2" t="str">
        <f>Datos!C854</f>
        <v>PhD</v>
      </c>
      <c r="D854" s="2" t="str">
        <f>Datos!G854</f>
        <v>C</v>
      </c>
      <c r="E854" s="2">
        <f>Datos!I854</f>
        <v>0.5</v>
      </c>
      <c r="F854" s="2">
        <f>Datos!J854</f>
        <v>70.599999999999994</v>
      </c>
      <c r="G854" s="2">
        <f>Datos!L854</f>
        <v>70.3</v>
      </c>
      <c r="H854" s="2">
        <f>Datos!M854</f>
        <v>77.7</v>
      </c>
      <c r="I854" s="2" t="b">
        <f t="shared" si="65"/>
        <v>1</v>
      </c>
      <c r="J854" s="2">
        <f t="shared" si="66"/>
        <v>77.7</v>
      </c>
      <c r="K854" s="2">
        <f t="shared" si="67"/>
        <v>0.5</v>
      </c>
      <c r="L854" s="2">
        <f t="shared" si="68"/>
        <v>70.3</v>
      </c>
      <c r="M854" s="2">
        <f t="shared" si="69"/>
        <v>70.599999999999994</v>
      </c>
    </row>
    <row r="855" spans="1:13" x14ac:dyDescent="0.3">
      <c r="A855" s="2">
        <f>Datos!A855</f>
        <v>591</v>
      </c>
      <c r="B855" s="2" t="str">
        <f>Datos!B855</f>
        <v>Female</v>
      </c>
      <c r="C855" s="2" t="str">
        <f>Datos!C855</f>
        <v>PhD</v>
      </c>
      <c r="D855" s="2" t="str">
        <f>Datos!G855</f>
        <v>F</v>
      </c>
      <c r="E855" s="2">
        <f>Datos!I855</f>
        <v>0.8</v>
      </c>
      <c r="F855" s="2">
        <f>Datos!J855</f>
        <v>70.099999999999994</v>
      </c>
      <c r="G855" s="2">
        <f>Datos!L855</f>
        <v>55.6</v>
      </c>
      <c r="H855" s="2">
        <f>Datos!M855</f>
        <v>48.6</v>
      </c>
      <c r="I855" s="2" t="b">
        <f t="shared" si="65"/>
        <v>1</v>
      </c>
      <c r="J855" s="2">
        <f t="shared" si="66"/>
        <v>48.6</v>
      </c>
      <c r="K855" s="2">
        <f t="shared" si="67"/>
        <v>0.8</v>
      </c>
      <c r="L855" s="2">
        <f t="shared" si="68"/>
        <v>55.6</v>
      </c>
      <c r="M855" s="2">
        <f t="shared" si="69"/>
        <v>70.099999999999994</v>
      </c>
    </row>
    <row r="856" spans="1:13" x14ac:dyDescent="0.3">
      <c r="A856" s="2">
        <f>Datos!A856</f>
        <v>255</v>
      </c>
      <c r="B856" s="2" t="str">
        <f>Datos!B856</f>
        <v>Male</v>
      </c>
      <c r="C856" s="2" t="str">
        <f>Datos!C856</f>
        <v>High School</v>
      </c>
      <c r="D856" s="2" t="str">
        <f>Datos!G856</f>
        <v>A</v>
      </c>
      <c r="E856" s="2">
        <f>Datos!I856</f>
        <v>6.8</v>
      </c>
      <c r="F856" s="2">
        <f>Datos!J856</f>
        <v>89.8</v>
      </c>
      <c r="G856" s="2">
        <f>Datos!L856</f>
        <v>67</v>
      </c>
      <c r="H856" s="2">
        <f>Datos!M856</f>
        <v>90.3</v>
      </c>
      <c r="I856" s="2" t="b">
        <f t="shared" si="65"/>
        <v>1</v>
      </c>
      <c r="J856" s="2">
        <f t="shared" si="66"/>
        <v>90.3</v>
      </c>
      <c r="K856" s="2">
        <f t="shared" si="67"/>
        <v>6.8</v>
      </c>
      <c r="L856" s="2">
        <f t="shared" si="68"/>
        <v>67</v>
      </c>
      <c r="M856" s="2">
        <f t="shared" si="69"/>
        <v>89.8</v>
      </c>
    </row>
    <row r="857" spans="1:13" x14ac:dyDescent="0.3">
      <c r="A857" s="2">
        <f>Datos!A857</f>
        <v>8</v>
      </c>
      <c r="B857" s="2" t="str">
        <f>Datos!B857</f>
        <v>Male</v>
      </c>
      <c r="C857" s="2" t="str">
        <f>Datos!C857</f>
        <v>Masters</v>
      </c>
      <c r="D857" s="2" t="str">
        <f>Datos!G857</f>
        <v>C</v>
      </c>
      <c r="E857" s="2">
        <f>Datos!I857</f>
        <v>4.5999999999999996</v>
      </c>
      <c r="F857" s="2">
        <f>Datos!J857</f>
        <v>84.4</v>
      </c>
      <c r="G857" s="2">
        <f>Datos!L857</f>
        <v>47.9</v>
      </c>
      <c r="H857" s="2">
        <f>Datos!M857</f>
        <v>71</v>
      </c>
      <c r="I857" s="2" t="b">
        <f t="shared" si="65"/>
        <v>1</v>
      </c>
      <c r="J857" s="2">
        <f t="shared" si="66"/>
        <v>71</v>
      </c>
      <c r="K857" s="2">
        <f t="shared" si="67"/>
        <v>4.5999999999999996</v>
      </c>
      <c r="L857" s="2">
        <f t="shared" si="68"/>
        <v>47.9</v>
      </c>
      <c r="M857" s="2">
        <f t="shared" si="69"/>
        <v>84.4</v>
      </c>
    </row>
    <row r="858" spans="1:13" x14ac:dyDescent="0.3">
      <c r="A858" s="2">
        <f>Datos!A858</f>
        <v>435</v>
      </c>
      <c r="B858" s="2" t="str">
        <f>Datos!B858</f>
        <v>Male</v>
      </c>
      <c r="C858" s="2" t="str">
        <f>Datos!C858</f>
        <v>High School</v>
      </c>
      <c r="D858" s="2" t="str">
        <f>Datos!G858</f>
        <v>C</v>
      </c>
      <c r="E858" s="2">
        <f>Datos!I858</f>
        <v>3.9</v>
      </c>
      <c r="F858" s="2">
        <f>Datos!J858</f>
        <v>84.1</v>
      </c>
      <c r="G858" s="2">
        <f>Datos!L858</f>
        <v>55.8</v>
      </c>
      <c r="H858" s="2">
        <f>Datos!M858</f>
        <v>71.599999999999994</v>
      </c>
      <c r="I858" s="2" t="b">
        <f t="shared" si="65"/>
        <v>1</v>
      </c>
      <c r="J858" s="2">
        <f t="shared" si="66"/>
        <v>71.599999999999994</v>
      </c>
      <c r="K858" s="2">
        <f t="shared" si="67"/>
        <v>3.9</v>
      </c>
      <c r="L858" s="2">
        <f t="shared" si="68"/>
        <v>55.8</v>
      </c>
      <c r="M858" s="2">
        <f t="shared" si="69"/>
        <v>84.1</v>
      </c>
    </row>
    <row r="859" spans="1:13" x14ac:dyDescent="0.3">
      <c r="A859" s="2">
        <f>Datos!A859</f>
        <v>107</v>
      </c>
      <c r="B859" s="2" t="str">
        <f>Datos!B859</f>
        <v>Male</v>
      </c>
      <c r="C859" s="2" t="str">
        <f>Datos!C859</f>
        <v>Bachelors</v>
      </c>
      <c r="D859" s="2" t="str">
        <f>Datos!G859</f>
        <v>A</v>
      </c>
      <c r="E859" s="2">
        <f>Datos!I859</f>
        <v>3.7</v>
      </c>
      <c r="F859" s="2">
        <f>Datos!J859</f>
        <v>83.5</v>
      </c>
      <c r="G859" s="2">
        <f>Datos!L859</f>
        <v>92.1</v>
      </c>
      <c r="H859" s="2">
        <f>Datos!M859</f>
        <v>90.2</v>
      </c>
      <c r="I859" s="2" t="b">
        <f t="shared" si="65"/>
        <v>1</v>
      </c>
      <c r="J859" s="2">
        <f t="shared" si="66"/>
        <v>90.2</v>
      </c>
      <c r="K859" s="2">
        <f t="shared" si="67"/>
        <v>3.7</v>
      </c>
      <c r="L859" s="2">
        <f t="shared" si="68"/>
        <v>92.1</v>
      </c>
      <c r="M859" s="2">
        <f t="shared" si="69"/>
        <v>83.5</v>
      </c>
    </row>
    <row r="860" spans="1:13" x14ac:dyDescent="0.3">
      <c r="A860" s="2">
        <f>Datos!A860</f>
        <v>248</v>
      </c>
      <c r="B860" s="2" t="str">
        <f>Datos!B860</f>
        <v>Male</v>
      </c>
      <c r="C860" s="2" t="str">
        <f>Datos!C860</f>
        <v>Masters</v>
      </c>
      <c r="D860" s="2" t="str">
        <f>Datos!G860</f>
        <v>F</v>
      </c>
      <c r="E860" s="2">
        <f>Datos!I860</f>
        <v>0.9</v>
      </c>
      <c r="F860" s="2">
        <f>Datos!J860</f>
        <v>66.400000000000006</v>
      </c>
      <c r="G860" s="2">
        <f>Datos!L860</f>
        <v>92</v>
      </c>
      <c r="H860" s="2">
        <f>Datos!M860</f>
        <v>57</v>
      </c>
      <c r="I860" s="2" t="b">
        <f t="shared" si="65"/>
        <v>1</v>
      </c>
      <c r="J860" s="2">
        <f t="shared" si="66"/>
        <v>57</v>
      </c>
      <c r="K860" s="2">
        <f t="shared" si="67"/>
        <v>0.9</v>
      </c>
      <c r="L860" s="2">
        <f t="shared" si="68"/>
        <v>92</v>
      </c>
      <c r="M860" s="2">
        <f t="shared" si="69"/>
        <v>66.400000000000006</v>
      </c>
    </row>
    <row r="861" spans="1:13" x14ac:dyDescent="0.3">
      <c r="A861" s="2">
        <f>Datos!A861</f>
        <v>509</v>
      </c>
      <c r="B861" s="2" t="str">
        <f>Datos!B861</f>
        <v>Female</v>
      </c>
      <c r="C861" s="2" t="str">
        <f>Datos!C861</f>
        <v>PhD</v>
      </c>
      <c r="D861" s="2" t="str">
        <f>Datos!G861</f>
        <v>A</v>
      </c>
      <c r="E861" s="2">
        <f>Datos!I861</f>
        <v>6.9</v>
      </c>
      <c r="F861" s="2">
        <f>Datos!J861</f>
        <v>88.5</v>
      </c>
      <c r="G861" s="2">
        <f>Datos!L861</f>
        <v>88</v>
      </c>
      <c r="H861" s="2">
        <f>Datos!M861</f>
        <v>95.7</v>
      </c>
      <c r="I861" s="2" t="b">
        <f t="shared" si="65"/>
        <v>1</v>
      </c>
      <c r="J861" s="2">
        <f t="shared" si="66"/>
        <v>95.7</v>
      </c>
      <c r="K861" s="2">
        <f t="shared" si="67"/>
        <v>6.9</v>
      </c>
      <c r="L861" s="2">
        <f t="shared" si="68"/>
        <v>88</v>
      </c>
      <c r="M861" s="2">
        <f t="shared" si="69"/>
        <v>88.5</v>
      </c>
    </row>
    <row r="862" spans="1:13" x14ac:dyDescent="0.3">
      <c r="A862" s="2">
        <f>Datos!A862</f>
        <v>156</v>
      </c>
      <c r="B862" s="2" t="str">
        <f>Datos!B862</f>
        <v>Female</v>
      </c>
      <c r="C862" s="2" t="str">
        <f>Datos!C862</f>
        <v>Bachelors</v>
      </c>
      <c r="D862" s="2" t="str">
        <f>Datos!G862</f>
        <v>F</v>
      </c>
      <c r="E862" s="2">
        <f>Datos!I862</f>
        <v>3.1</v>
      </c>
      <c r="F862" s="2">
        <f>Datos!J862</f>
        <v>80.599999999999994</v>
      </c>
      <c r="G862" s="2">
        <f>Datos!L862</f>
        <v>52.2</v>
      </c>
      <c r="H862" s="2">
        <f>Datos!M862</f>
        <v>54.2</v>
      </c>
      <c r="I862" s="2" t="b">
        <f t="shared" si="65"/>
        <v>1</v>
      </c>
      <c r="J862" s="2">
        <f t="shared" si="66"/>
        <v>54.2</v>
      </c>
      <c r="K862" s="2">
        <f t="shared" si="67"/>
        <v>3.1</v>
      </c>
      <c r="L862" s="2">
        <f t="shared" si="68"/>
        <v>52.2</v>
      </c>
      <c r="M862" s="2">
        <f t="shared" si="69"/>
        <v>80.599999999999994</v>
      </c>
    </row>
    <row r="863" spans="1:13" x14ac:dyDescent="0.3">
      <c r="A863" s="2">
        <f>Datos!A863</f>
        <v>714</v>
      </c>
      <c r="B863" s="2" t="str">
        <f>Datos!B863</f>
        <v>Female</v>
      </c>
      <c r="C863" s="2" t="str">
        <f>Datos!C863</f>
        <v>Bachelors</v>
      </c>
      <c r="D863" s="2" t="str">
        <f>Datos!G863</f>
        <v>A</v>
      </c>
      <c r="E863" s="2">
        <f>Datos!I863</f>
        <v>3</v>
      </c>
      <c r="F863" s="2">
        <f>Datos!J863</f>
        <v>82.7</v>
      </c>
      <c r="G863" s="2">
        <f>Datos!L863</f>
        <v>89.7</v>
      </c>
      <c r="H863" s="2">
        <f>Datos!M863</f>
        <v>73</v>
      </c>
      <c r="I863" s="2" t="b">
        <f t="shared" si="65"/>
        <v>1</v>
      </c>
      <c r="J863" s="2">
        <f t="shared" si="66"/>
        <v>73</v>
      </c>
      <c r="K863" s="2">
        <f t="shared" si="67"/>
        <v>3</v>
      </c>
      <c r="L863" s="2">
        <f t="shared" si="68"/>
        <v>89.7</v>
      </c>
      <c r="M863" s="2">
        <f t="shared" si="69"/>
        <v>82.7</v>
      </c>
    </row>
    <row r="864" spans="1:13" x14ac:dyDescent="0.3">
      <c r="A864" s="2">
        <f>Datos!A864</f>
        <v>522</v>
      </c>
      <c r="B864" s="2" t="str">
        <f>Datos!B864</f>
        <v>Male</v>
      </c>
      <c r="C864" s="2" t="str">
        <f>Datos!C864</f>
        <v>PhD</v>
      </c>
      <c r="D864" s="2" t="str">
        <f>Datos!G864</f>
        <v>D</v>
      </c>
      <c r="E864" s="2">
        <f>Datos!I864</f>
        <v>3.4</v>
      </c>
      <c r="F864" s="2">
        <f>Datos!J864</f>
        <v>77</v>
      </c>
      <c r="G864" s="2">
        <f>Datos!L864</f>
        <v>60.7</v>
      </c>
      <c r="H864" s="2">
        <f>Datos!M864</f>
        <v>65.8</v>
      </c>
      <c r="I864" s="2" t="b">
        <f t="shared" si="65"/>
        <v>1</v>
      </c>
      <c r="J864" s="2">
        <f t="shared" si="66"/>
        <v>65.8</v>
      </c>
      <c r="K864" s="2">
        <f t="shared" si="67"/>
        <v>3.4</v>
      </c>
      <c r="L864" s="2">
        <f t="shared" si="68"/>
        <v>60.7</v>
      </c>
      <c r="M864" s="2">
        <f t="shared" si="69"/>
        <v>77</v>
      </c>
    </row>
    <row r="865" spans="1:13" x14ac:dyDescent="0.3">
      <c r="A865" s="2">
        <f>Datos!A865</f>
        <v>266</v>
      </c>
      <c r="B865" s="2" t="str">
        <f>Datos!B865</f>
        <v>Male</v>
      </c>
      <c r="C865" s="2" t="str">
        <f>Datos!C865</f>
        <v>Masters</v>
      </c>
      <c r="D865" s="2" t="str">
        <f>Datos!G865</f>
        <v>C</v>
      </c>
      <c r="E865" s="2">
        <f>Datos!I865</f>
        <v>1</v>
      </c>
      <c r="F865" s="2">
        <f>Datos!J865</f>
        <v>85.7</v>
      </c>
      <c r="G865" s="2">
        <f>Datos!L865</f>
        <v>94.5</v>
      </c>
      <c r="H865" s="2">
        <f>Datos!M865</f>
        <v>73.5</v>
      </c>
      <c r="I865" s="2" t="b">
        <f t="shared" si="65"/>
        <v>1</v>
      </c>
      <c r="J865" s="2">
        <f t="shared" si="66"/>
        <v>73.5</v>
      </c>
      <c r="K865" s="2">
        <f t="shared" si="67"/>
        <v>1</v>
      </c>
      <c r="L865" s="2">
        <f t="shared" si="68"/>
        <v>94.5</v>
      </c>
      <c r="M865" s="2">
        <f t="shared" si="69"/>
        <v>85.7</v>
      </c>
    </row>
    <row r="866" spans="1:13" x14ac:dyDescent="0.3">
      <c r="A866" s="2">
        <f>Datos!A866</f>
        <v>789</v>
      </c>
      <c r="B866" s="2" t="str">
        <f>Datos!B866</f>
        <v>Female</v>
      </c>
      <c r="C866" s="2" t="str">
        <f>Datos!C866</f>
        <v>Bachelors</v>
      </c>
      <c r="D866" s="2" t="str">
        <f>Datos!G866</f>
        <v>D</v>
      </c>
      <c r="E866" s="2">
        <f>Datos!I866</f>
        <v>4.3</v>
      </c>
      <c r="F866" s="2">
        <f>Datos!J866</f>
        <v>88.8</v>
      </c>
      <c r="G866" s="2">
        <f>Datos!L866</f>
        <v>76.400000000000006</v>
      </c>
      <c r="H866" s="2">
        <f>Datos!M866</f>
        <v>69.599999999999994</v>
      </c>
      <c r="I866" s="2" t="b">
        <f t="shared" si="65"/>
        <v>1</v>
      </c>
      <c r="J866" s="2">
        <f t="shared" si="66"/>
        <v>69.599999999999994</v>
      </c>
      <c r="K866" s="2">
        <f t="shared" si="67"/>
        <v>4.3</v>
      </c>
      <c r="L866" s="2">
        <f t="shared" si="68"/>
        <v>76.400000000000006</v>
      </c>
      <c r="M866" s="2">
        <f t="shared" si="69"/>
        <v>88.8</v>
      </c>
    </row>
    <row r="867" spans="1:13" x14ac:dyDescent="0.3">
      <c r="A867" s="2">
        <f>Datos!A867</f>
        <v>440</v>
      </c>
      <c r="B867" s="2" t="str">
        <f>Datos!B867</f>
        <v>Male</v>
      </c>
      <c r="C867" s="2" t="str">
        <f>Datos!C867</f>
        <v>High School</v>
      </c>
      <c r="D867" s="2" t="str">
        <f>Datos!G867</f>
        <v>F</v>
      </c>
      <c r="E867" s="2">
        <f>Datos!I867</f>
        <v>1.3</v>
      </c>
      <c r="F867" s="2">
        <f>Datos!J867</f>
        <v>89.3</v>
      </c>
      <c r="G867" s="2">
        <f>Datos!L867</f>
        <v>44.5</v>
      </c>
      <c r="H867" s="2">
        <f>Datos!M867</f>
        <v>47.8</v>
      </c>
      <c r="I867" s="2" t="b">
        <f t="shared" si="65"/>
        <v>1</v>
      </c>
      <c r="J867" s="2">
        <f t="shared" si="66"/>
        <v>47.8</v>
      </c>
      <c r="K867" s="2">
        <f t="shared" si="67"/>
        <v>1.3</v>
      </c>
      <c r="L867" s="2">
        <f t="shared" si="68"/>
        <v>44.5</v>
      </c>
      <c r="M867" s="2">
        <f t="shared" si="69"/>
        <v>89.3</v>
      </c>
    </row>
    <row r="868" spans="1:13" x14ac:dyDescent="0.3">
      <c r="A868" s="2">
        <f>Datos!A868</f>
        <v>600</v>
      </c>
      <c r="B868" s="2" t="str">
        <f>Datos!B868</f>
        <v>Female</v>
      </c>
      <c r="C868" s="2">
        <f>Datos!C868</f>
        <v>0</v>
      </c>
      <c r="D868" s="2" t="str">
        <f>Datos!G868</f>
        <v>C</v>
      </c>
      <c r="E868" s="2">
        <f>Datos!I868</f>
        <v>4.0999999999999996</v>
      </c>
      <c r="F868" s="2">
        <f>Datos!J868</f>
        <v>90.5</v>
      </c>
      <c r="G868" s="2">
        <f>Datos!L868</f>
        <v>51.1</v>
      </c>
      <c r="H868" s="2">
        <f>Datos!M868</f>
        <v>72.8</v>
      </c>
      <c r="I868" s="2" t="b">
        <f t="shared" si="65"/>
        <v>1</v>
      </c>
      <c r="J868" s="2">
        <f t="shared" si="66"/>
        <v>72.8</v>
      </c>
      <c r="K868" s="2">
        <f t="shared" si="67"/>
        <v>4.0999999999999996</v>
      </c>
      <c r="L868" s="2">
        <f t="shared" si="68"/>
        <v>51.1</v>
      </c>
      <c r="M868" s="2">
        <f t="shared" si="69"/>
        <v>90.5</v>
      </c>
    </row>
    <row r="869" spans="1:13" x14ac:dyDescent="0.3">
      <c r="A869" s="2">
        <f>Datos!A869</f>
        <v>787</v>
      </c>
      <c r="B869" s="2" t="str">
        <f>Datos!B869</f>
        <v>Female</v>
      </c>
      <c r="C869" s="2" t="str">
        <f>Datos!C869</f>
        <v>PhD</v>
      </c>
      <c r="D869" s="2" t="str">
        <f>Datos!G869</f>
        <v>C</v>
      </c>
      <c r="E869" s="2">
        <f>Datos!I869</f>
        <v>5.5</v>
      </c>
      <c r="F869" s="2">
        <f>Datos!J869</f>
        <v>88.7</v>
      </c>
      <c r="G869" s="2">
        <f>Datos!L869</f>
        <v>35.6</v>
      </c>
      <c r="H869" s="2">
        <f>Datos!M869</f>
        <v>76.3</v>
      </c>
      <c r="I869" s="2" t="b">
        <f t="shared" si="65"/>
        <v>1</v>
      </c>
      <c r="J869" s="2">
        <f t="shared" si="66"/>
        <v>76.3</v>
      </c>
      <c r="K869" s="2">
        <f t="shared" si="67"/>
        <v>5.5</v>
      </c>
      <c r="L869" s="2">
        <f t="shared" si="68"/>
        <v>35.6</v>
      </c>
      <c r="M869" s="2">
        <f t="shared" si="69"/>
        <v>88.7</v>
      </c>
    </row>
    <row r="870" spans="1:13" x14ac:dyDescent="0.3">
      <c r="A870" s="2">
        <f>Datos!A870</f>
        <v>28</v>
      </c>
      <c r="B870" s="2" t="str">
        <f>Datos!B870</f>
        <v>Female</v>
      </c>
      <c r="C870" s="2" t="str">
        <f>Datos!C870</f>
        <v>Masters</v>
      </c>
      <c r="D870" s="2" t="str">
        <f>Datos!G870</f>
        <v>B</v>
      </c>
      <c r="E870" s="2">
        <f>Datos!I870</f>
        <v>6.1</v>
      </c>
      <c r="F870" s="2">
        <f>Datos!J870</f>
        <v>86.1</v>
      </c>
      <c r="G870" s="2">
        <f>Datos!L870</f>
        <v>87</v>
      </c>
      <c r="H870" s="2">
        <f>Datos!M870</f>
        <v>82.8</v>
      </c>
      <c r="I870" s="2" t="b">
        <f t="shared" si="65"/>
        <v>1</v>
      </c>
      <c r="J870" s="2">
        <f t="shared" si="66"/>
        <v>82.8</v>
      </c>
      <c r="K870" s="2">
        <f t="shared" si="67"/>
        <v>6.1</v>
      </c>
      <c r="L870" s="2">
        <f t="shared" si="68"/>
        <v>87</v>
      </c>
      <c r="M870" s="2">
        <f t="shared" si="69"/>
        <v>86.1</v>
      </c>
    </row>
    <row r="871" spans="1:13" x14ac:dyDescent="0.3">
      <c r="A871" s="2">
        <f>Datos!A871</f>
        <v>212</v>
      </c>
      <c r="B871" s="2" t="str">
        <f>Datos!B871</f>
        <v>Male</v>
      </c>
      <c r="C871" s="2" t="str">
        <f>Datos!C871</f>
        <v>PhD</v>
      </c>
      <c r="D871" s="2" t="str">
        <f>Datos!G871</f>
        <v>C</v>
      </c>
      <c r="E871" s="2">
        <f>Datos!I871</f>
        <v>1.5</v>
      </c>
      <c r="F871" s="2">
        <f>Datos!J871</f>
        <v>86.2</v>
      </c>
      <c r="G871" s="2">
        <f>Datos!L871</f>
        <v>88.6</v>
      </c>
      <c r="H871" s="2">
        <f>Datos!M871</f>
        <v>72.7</v>
      </c>
      <c r="I871" s="2" t="b">
        <f t="shared" si="65"/>
        <v>1</v>
      </c>
      <c r="J871" s="2">
        <f t="shared" si="66"/>
        <v>72.7</v>
      </c>
      <c r="K871" s="2">
        <f t="shared" si="67"/>
        <v>1.5</v>
      </c>
      <c r="L871" s="2">
        <f t="shared" si="68"/>
        <v>88.6</v>
      </c>
      <c r="M871" s="2">
        <f t="shared" si="69"/>
        <v>86.2</v>
      </c>
    </row>
    <row r="872" spans="1:13" x14ac:dyDescent="0.3">
      <c r="A872" s="2">
        <f>Datos!A872</f>
        <v>186</v>
      </c>
      <c r="B872" s="2" t="str">
        <f>Datos!B872</f>
        <v>Female</v>
      </c>
      <c r="C872" s="2">
        <f>Datos!C872</f>
        <v>0</v>
      </c>
      <c r="D872" s="2" t="str">
        <f>Datos!G872</f>
        <v>B</v>
      </c>
      <c r="E872" s="2">
        <f>Datos!I872</f>
        <v>6.1</v>
      </c>
      <c r="F872" s="2">
        <f>Datos!J872</f>
        <v>75.7</v>
      </c>
      <c r="G872" s="2">
        <f>Datos!L872</f>
        <v>91.3</v>
      </c>
      <c r="H872" s="2">
        <f>Datos!M872</f>
        <v>81.900000000000006</v>
      </c>
      <c r="I872" s="2" t="b">
        <f t="shared" si="65"/>
        <v>1</v>
      </c>
      <c r="J872" s="2">
        <f t="shared" si="66"/>
        <v>81.900000000000006</v>
      </c>
      <c r="K872" s="2">
        <f t="shared" si="67"/>
        <v>6.1</v>
      </c>
      <c r="L872" s="2">
        <f t="shared" si="68"/>
        <v>91.3</v>
      </c>
      <c r="M872" s="2">
        <f t="shared" si="69"/>
        <v>75.7</v>
      </c>
    </row>
    <row r="873" spans="1:13" x14ac:dyDescent="0.3">
      <c r="A873" s="2">
        <f>Datos!A873</f>
        <v>573</v>
      </c>
      <c r="B873" s="2" t="str">
        <f>Datos!B873</f>
        <v>Male</v>
      </c>
      <c r="C873" s="2" t="str">
        <f>Datos!C873</f>
        <v>High School</v>
      </c>
      <c r="D873" s="2" t="str">
        <f>Datos!G873</f>
        <v>A</v>
      </c>
      <c r="E873" s="2">
        <f>Datos!I873</f>
        <v>6.9</v>
      </c>
      <c r="F873" s="2">
        <f>Datos!J873</f>
        <v>97.9</v>
      </c>
      <c r="G873" s="2">
        <f>Datos!L873</f>
        <v>57</v>
      </c>
      <c r="H873" s="2">
        <f>Datos!M873</f>
        <v>92.9</v>
      </c>
      <c r="I873" s="2" t="b">
        <f t="shared" si="65"/>
        <v>1</v>
      </c>
      <c r="J873" s="2">
        <f t="shared" si="66"/>
        <v>92.9</v>
      </c>
      <c r="K873" s="2">
        <f t="shared" si="67"/>
        <v>6.9</v>
      </c>
      <c r="L873" s="2">
        <f t="shared" si="68"/>
        <v>57</v>
      </c>
      <c r="M873" s="2">
        <f t="shared" si="69"/>
        <v>97.9</v>
      </c>
    </row>
    <row r="874" spans="1:13" x14ac:dyDescent="0.3">
      <c r="A874" s="2">
        <f>Datos!A874</f>
        <v>568</v>
      </c>
      <c r="B874" s="2" t="str">
        <f>Datos!B874</f>
        <v>Male</v>
      </c>
      <c r="C874" s="2">
        <f>Datos!C874</f>
        <v>0</v>
      </c>
      <c r="D874" s="2" t="str">
        <f>Datos!G874</f>
        <v>B</v>
      </c>
      <c r="E874" s="2">
        <f>Datos!I874</f>
        <v>6.5</v>
      </c>
      <c r="F874" s="2">
        <f>Datos!J874</f>
        <v>86.1</v>
      </c>
      <c r="G874" s="2">
        <f>Datos!L874</f>
        <v>53.4</v>
      </c>
      <c r="H874" s="2">
        <f>Datos!M874</f>
        <v>83.3</v>
      </c>
      <c r="I874" s="2" t="b">
        <f t="shared" si="65"/>
        <v>1</v>
      </c>
      <c r="J874" s="2">
        <f t="shared" si="66"/>
        <v>83.3</v>
      </c>
      <c r="K874" s="2">
        <f t="shared" si="67"/>
        <v>6.5</v>
      </c>
      <c r="L874" s="2">
        <f t="shared" si="68"/>
        <v>53.4</v>
      </c>
      <c r="M874" s="2">
        <f t="shared" si="69"/>
        <v>86.1</v>
      </c>
    </row>
    <row r="875" spans="1:13" x14ac:dyDescent="0.3">
      <c r="A875" s="2">
        <f>Datos!A875</f>
        <v>452</v>
      </c>
      <c r="B875" s="2" t="str">
        <f>Datos!B875</f>
        <v>Female</v>
      </c>
      <c r="C875" s="2" t="str">
        <f>Datos!C875</f>
        <v>PhD</v>
      </c>
      <c r="D875" s="2" t="str">
        <f>Datos!G875</f>
        <v>D</v>
      </c>
      <c r="E875" s="2">
        <f>Datos!I875</f>
        <v>1.7</v>
      </c>
      <c r="F875" s="2">
        <f>Datos!J875</f>
        <v>78.8</v>
      </c>
      <c r="G875" s="2">
        <f>Datos!L875</f>
        <v>59.4</v>
      </c>
      <c r="H875" s="2">
        <f>Datos!M875</f>
        <v>60.4</v>
      </c>
      <c r="I875" s="2" t="b">
        <f t="shared" si="65"/>
        <v>1</v>
      </c>
      <c r="J875" s="2">
        <f t="shared" si="66"/>
        <v>60.4</v>
      </c>
      <c r="K875" s="2">
        <f t="shared" si="67"/>
        <v>1.7</v>
      </c>
      <c r="L875" s="2">
        <f t="shared" si="68"/>
        <v>59.4</v>
      </c>
      <c r="M875" s="2">
        <f t="shared" si="69"/>
        <v>78.8</v>
      </c>
    </row>
    <row r="876" spans="1:13" x14ac:dyDescent="0.3">
      <c r="A876" s="2">
        <f>Datos!A876</f>
        <v>464</v>
      </c>
      <c r="B876" s="2" t="str">
        <f>Datos!B876</f>
        <v>Male</v>
      </c>
      <c r="C876" s="2" t="str">
        <f>Datos!C876</f>
        <v>High School</v>
      </c>
      <c r="D876" s="2" t="str">
        <f>Datos!G876</f>
        <v>B</v>
      </c>
      <c r="E876" s="2">
        <f>Datos!I876</f>
        <v>6.9</v>
      </c>
      <c r="F876" s="2">
        <f>Datos!J876</f>
        <v>87.9</v>
      </c>
      <c r="G876" s="2">
        <f>Datos!L876</f>
        <v>64.099999999999994</v>
      </c>
      <c r="H876" s="2">
        <f>Datos!M876</f>
        <v>89.8</v>
      </c>
      <c r="I876" s="2" t="b">
        <f t="shared" si="65"/>
        <v>1</v>
      </c>
      <c r="J876" s="2">
        <f t="shared" si="66"/>
        <v>89.8</v>
      </c>
      <c r="K876" s="2">
        <f t="shared" si="67"/>
        <v>6.9</v>
      </c>
      <c r="L876" s="2">
        <f t="shared" si="68"/>
        <v>64.099999999999994</v>
      </c>
      <c r="M876" s="2">
        <f t="shared" si="69"/>
        <v>87.9</v>
      </c>
    </row>
    <row r="877" spans="1:13" x14ac:dyDescent="0.3">
      <c r="A877" s="2">
        <f>Datos!A877</f>
        <v>478</v>
      </c>
      <c r="B877" s="2" t="str">
        <f>Datos!B877</f>
        <v>Male</v>
      </c>
      <c r="C877" s="2" t="str">
        <f>Datos!C877</f>
        <v>PhD</v>
      </c>
      <c r="D877" s="2" t="str">
        <f>Datos!G877</f>
        <v>D</v>
      </c>
      <c r="E877" s="2">
        <f>Datos!I877</f>
        <v>2.8</v>
      </c>
      <c r="F877" s="2">
        <f>Datos!J877</f>
        <v>65.400000000000006</v>
      </c>
      <c r="G877" s="2">
        <f>Datos!L877</f>
        <v>72.599999999999994</v>
      </c>
      <c r="H877" s="2">
        <f>Datos!M877</f>
        <v>65.400000000000006</v>
      </c>
      <c r="I877" s="2" t="b">
        <f t="shared" si="65"/>
        <v>1</v>
      </c>
      <c r="J877" s="2">
        <f t="shared" si="66"/>
        <v>65.400000000000006</v>
      </c>
      <c r="K877" s="2">
        <f t="shared" si="67"/>
        <v>2.8</v>
      </c>
      <c r="L877" s="2">
        <f t="shared" si="68"/>
        <v>72.599999999999994</v>
      </c>
      <c r="M877" s="2">
        <f t="shared" si="69"/>
        <v>65.400000000000006</v>
      </c>
    </row>
    <row r="878" spans="1:13" x14ac:dyDescent="0.3">
      <c r="A878" s="2">
        <f>Datos!A878</f>
        <v>82</v>
      </c>
      <c r="B878" s="2" t="str">
        <f>Datos!B878</f>
        <v>Female</v>
      </c>
      <c r="C878" s="2">
        <f>Datos!C878</f>
        <v>0</v>
      </c>
      <c r="D878" s="2" t="str">
        <f>Datos!G878</f>
        <v>D</v>
      </c>
      <c r="E878" s="2">
        <f>Datos!I878</f>
        <v>3</v>
      </c>
      <c r="F878" s="2">
        <f>Datos!J878</f>
        <v>82.2</v>
      </c>
      <c r="G878" s="2">
        <f>Datos!L878</f>
        <v>66.75</v>
      </c>
      <c r="H878" s="2">
        <f>Datos!M878</f>
        <v>66.2</v>
      </c>
      <c r="I878" s="2" t="b">
        <f t="shared" si="65"/>
        <v>1</v>
      </c>
      <c r="J878" s="2">
        <f t="shared" si="66"/>
        <v>66.2</v>
      </c>
      <c r="K878" s="2">
        <f t="shared" si="67"/>
        <v>3</v>
      </c>
      <c r="L878" s="2">
        <f t="shared" si="68"/>
        <v>66.75</v>
      </c>
      <c r="M878" s="2">
        <f t="shared" si="69"/>
        <v>82.2</v>
      </c>
    </row>
    <row r="879" spans="1:13" x14ac:dyDescent="0.3">
      <c r="A879" s="2">
        <f>Datos!A879</f>
        <v>764</v>
      </c>
      <c r="B879" s="2" t="str">
        <f>Datos!B879</f>
        <v>Female</v>
      </c>
      <c r="C879" s="2" t="str">
        <f>Datos!C879</f>
        <v>PhD</v>
      </c>
      <c r="D879" s="2" t="str">
        <f>Datos!G879</f>
        <v>C</v>
      </c>
      <c r="E879" s="2">
        <f>Datos!I879</f>
        <v>6.7</v>
      </c>
      <c r="F879" s="2">
        <f>Datos!J879</f>
        <v>82.2</v>
      </c>
      <c r="G879" s="2">
        <f>Datos!L879</f>
        <v>54.3</v>
      </c>
      <c r="H879" s="2">
        <f>Datos!M879</f>
        <v>76.2</v>
      </c>
      <c r="I879" s="2" t="b">
        <f t="shared" si="65"/>
        <v>1</v>
      </c>
      <c r="J879" s="2">
        <f t="shared" si="66"/>
        <v>76.2</v>
      </c>
      <c r="K879" s="2">
        <f t="shared" si="67"/>
        <v>6.7</v>
      </c>
      <c r="L879" s="2">
        <f t="shared" si="68"/>
        <v>54.3</v>
      </c>
      <c r="M879" s="2">
        <f t="shared" si="69"/>
        <v>82.2</v>
      </c>
    </row>
    <row r="880" spans="1:13" x14ac:dyDescent="0.3">
      <c r="A880" s="2">
        <f>Datos!A880</f>
        <v>6</v>
      </c>
      <c r="B880" s="2" t="str">
        <f>Datos!B880</f>
        <v>Male</v>
      </c>
      <c r="C880" s="2" t="str">
        <f>Datos!C880</f>
        <v>PhD</v>
      </c>
      <c r="D880" s="2" t="str">
        <f>Datos!G880</f>
        <v>C</v>
      </c>
      <c r="E880" s="2">
        <f>Datos!I880</f>
        <v>3</v>
      </c>
      <c r="F880" s="2">
        <f>Datos!J880</f>
        <v>75.099999999999994</v>
      </c>
      <c r="G880" s="2">
        <f>Datos!L880</f>
        <v>67</v>
      </c>
      <c r="H880" s="2">
        <f>Datos!M880</f>
        <v>79.599999999999994</v>
      </c>
      <c r="I880" s="2" t="b">
        <f t="shared" si="65"/>
        <v>1</v>
      </c>
      <c r="J880" s="2">
        <f t="shared" si="66"/>
        <v>79.599999999999994</v>
      </c>
      <c r="K880" s="2">
        <f t="shared" si="67"/>
        <v>3</v>
      </c>
      <c r="L880" s="2">
        <f t="shared" si="68"/>
        <v>67</v>
      </c>
      <c r="M880" s="2">
        <f t="shared" si="69"/>
        <v>75.099999999999994</v>
      </c>
    </row>
    <row r="881" spans="1:13" x14ac:dyDescent="0.3">
      <c r="A881" s="2">
        <f>Datos!A881</f>
        <v>89</v>
      </c>
      <c r="B881" s="2" t="str">
        <f>Datos!B881</f>
        <v>Female</v>
      </c>
      <c r="C881" s="2" t="str">
        <f>Datos!C881</f>
        <v>High School</v>
      </c>
      <c r="D881" s="2" t="str">
        <f>Datos!G881</f>
        <v>C</v>
      </c>
      <c r="E881" s="2">
        <f>Datos!I881</f>
        <v>0.6</v>
      </c>
      <c r="F881" s="2">
        <f>Datos!J881</f>
        <v>70.8</v>
      </c>
      <c r="G881" s="2">
        <f>Datos!L881</f>
        <v>66.75</v>
      </c>
      <c r="H881" s="2">
        <f>Datos!M881</f>
        <v>74.599999999999994</v>
      </c>
      <c r="I881" s="2" t="b">
        <f t="shared" si="65"/>
        <v>1</v>
      </c>
      <c r="J881" s="2">
        <f t="shared" si="66"/>
        <v>74.599999999999994</v>
      </c>
      <c r="K881" s="2">
        <f t="shared" si="67"/>
        <v>0.6</v>
      </c>
      <c r="L881" s="2">
        <f t="shared" si="68"/>
        <v>66.75</v>
      </c>
      <c r="M881" s="2">
        <f t="shared" si="69"/>
        <v>70.8</v>
      </c>
    </row>
    <row r="882" spans="1:13" x14ac:dyDescent="0.3">
      <c r="A882" s="2">
        <f>Datos!A882</f>
        <v>312</v>
      </c>
      <c r="B882" s="2" t="str">
        <f>Datos!B882</f>
        <v>Female</v>
      </c>
      <c r="C882" s="2">
        <f>Datos!C882</f>
        <v>0</v>
      </c>
      <c r="D882" s="2" t="str">
        <f>Datos!G882</f>
        <v>D</v>
      </c>
      <c r="E882" s="2">
        <f>Datos!I882</f>
        <v>4.4000000000000004</v>
      </c>
      <c r="F882" s="2">
        <f>Datos!J882</f>
        <v>69.2</v>
      </c>
      <c r="G882" s="2">
        <f>Datos!L882</f>
        <v>44.9</v>
      </c>
      <c r="H882" s="2">
        <f>Datos!M882</f>
        <v>62.2</v>
      </c>
      <c r="I882" s="2" t="b">
        <f t="shared" si="65"/>
        <v>1</v>
      </c>
      <c r="J882" s="2">
        <f t="shared" si="66"/>
        <v>62.2</v>
      </c>
      <c r="K882" s="2">
        <f t="shared" si="67"/>
        <v>4.4000000000000004</v>
      </c>
      <c r="L882" s="2">
        <f t="shared" si="68"/>
        <v>44.9</v>
      </c>
      <c r="M882" s="2">
        <f t="shared" si="69"/>
        <v>69.2</v>
      </c>
    </row>
    <row r="883" spans="1:13" x14ac:dyDescent="0.3">
      <c r="A883" s="2">
        <f>Datos!A883</f>
        <v>896</v>
      </c>
      <c r="B883" s="2" t="str">
        <f>Datos!B883</f>
        <v>Male</v>
      </c>
      <c r="C883" s="2" t="str">
        <f>Datos!C883</f>
        <v>Bachelors</v>
      </c>
      <c r="D883" s="2" t="str">
        <f>Datos!G883</f>
        <v>D</v>
      </c>
      <c r="E883" s="2">
        <f>Datos!I883</f>
        <v>6.9</v>
      </c>
      <c r="F883" s="2">
        <f>Datos!J883</f>
        <v>82.1</v>
      </c>
      <c r="G883" s="2">
        <f>Datos!L883</f>
        <v>47.6</v>
      </c>
      <c r="H883" s="2">
        <f>Datos!M883</f>
        <v>67.900000000000006</v>
      </c>
      <c r="I883" s="2" t="b">
        <f t="shared" si="65"/>
        <v>1</v>
      </c>
      <c r="J883" s="2">
        <f t="shared" si="66"/>
        <v>67.900000000000006</v>
      </c>
      <c r="K883" s="2">
        <f t="shared" si="67"/>
        <v>6.9</v>
      </c>
      <c r="L883" s="2">
        <f t="shared" si="68"/>
        <v>47.6</v>
      </c>
      <c r="M883" s="2">
        <f t="shared" si="69"/>
        <v>82.1</v>
      </c>
    </row>
    <row r="884" spans="1:13" x14ac:dyDescent="0.3">
      <c r="A884" s="2">
        <f>Datos!A884</f>
        <v>93</v>
      </c>
      <c r="B884" s="2" t="str">
        <f>Datos!B884</f>
        <v>Male</v>
      </c>
      <c r="C884" s="2" t="str">
        <f>Datos!C884</f>
        <v>High School</v>
      </c>
      <c r="D884" s="2" t="str">
        <f>Datos!G884</f>
        <v>C</v>
      </c>
      <c r="E884" s="2">
        <f>Datos!I884</f>
        <v>3.1</v>
      </c>
      <c r="F884" s="2">
        <f>Datos!J884</f>
        <v>88.7</v>
      </c>
      <c r="G884" s="2">
        <f>Datos!L884</f>
        <v>60.2</v>
      </c>
      <c r="H884" s="2">
        <f>Datos!M884</f>
        <v>73.7</v>
      </c>
      <c r="I884" s="2" t="b">
        <f t="shared" si="65"/>
        <v>1</v>
      </c>
      <c r="J884" s="2">
        <f t="shared" si="66"/>
        <v>73.7</v>
      </c>
      <c r="K884" s="2">
        <f t="shared" si="67"/>
        <v>3.1</v>
      </c>
      <c r="L884" s="2">
        <f t="shared" si="68"/>
        <v>60.2</v>
      </c>
      <c r="M884" s="2">
        <f t="shared" si="69"/>
        <v>88.7</v>
      </c>
    </row>
    <row r="885" spans="1:13" x14ac:dyDescent="0.3">
      <c r="A885" s="2">
        <f>Datos!A885</f>
        <v>16</v>
      </c>
      <c r="B885" s="2" t="str">
        <f>Datos!B885</f>
        <v>Male</v>
      </c>
      <c r="C885" s="2">
        <f>Datos!C885</f>
        <v>0</v>
      </c>
      <c r="D885" s="2" t="str">
        <f>Datos!G885</f>
        <v>A</v>
      </c>
      <c r="E885" s="2">
        <f>Datos!I885</f>
        <v>6.7</v>
      </c>
      <c r="F885" s="2">
        <f>Datos!J885</f>
        <v>81.900000000000006</v>
      </c>
      <c r="G885" s="2">
        <f>Datos!L885</f>
        <v>91.3</v>
      </c>
      <c r="H885" s="2">
        <f>Datos!M885</f>
        <v>92.4</v>
      </c>
      <c r="I885" s="2" t="b">
        <f t="shared" si="65"/>
        <v>1</v>
      </c>
      <c r="J885" s="2">
        <f t="shared" si="66"/>
        <v>92.4</v>
      </c>
      <c r="K885" s="2">
        <f t="shared" si="67"/>
        <v>6.7</v>
      </c>
      <c r="L885" s="2">
        <f t="shared" si="68"/>
        <v>91.3</v>
      </c>
      <c r="M885" s="2">
        <f t="shared" si="69"/>
        <v>81.900000000000006</v>
      </c>
    </row>
    <row r="886" spans="1:13" x14ac:dyDescent="0.3">
      <c r="A886" s="2">
        <f>Datos!A886</f>
        <v>316</v>
      </c>
      <c r="B886" s="2" t="str">
        <f>Datos!B886</f>
        <v>Female</v>
      </c>
      <c r="C886" s="2" t="str">
        <f>Datos!C886</f>
        <v>High School</v>
      </c>
      <c r="D886" s="2" t="str">
        <f>Datos!G886</f>
        <v>C</v>
      </c>
      <c r="E886" s="2">
        <f>Datos!I886</f>
        <v>0.8</v>
      </c>
      <c r="F886" s="2">
        <f>Datos!J886</f>
        <v>92.5</v>
      </c>
      <c r="G886" s="2">
        <f>Datos!L886</f>
        <v>70.3</v>
      </c>
      <c r="H886" s="2">
        <f>Datos!M886</f>
        <v>70.099999999999994</v>
      </c>
      <c r="I886" s="2" t="b">
        <f t="shared" si="65"/>
        <v>1</v>
      </c>
      <c r="J886" s="2">
        <f t="shared" si="66"/>
        <v>70.099999999999994</v>
      </c>
      <c r="K886" s="2">
        <f t="shared" si="67"/>
        <v>0.8</v>
      </c>
      <c r="L886" s="2">
        <f t="shared" si="68"/>
        <v>70.3</v>
      </c>
      <c r="M886" s="2">
        <f t="shared" si="69"/>
        <v>92.5</v>
      </c>
    </row>
    <row r="887" spans="1:13" x14ac:dyDescent="0.3">
      <c r="A887" s="2">
        <f>Datos!A887</f>
        <v>145</v>
      </c>
      <c r="B887" s="2" t="str">
        <f>Datos!B887</f>
        <v>Female</v>
      </c>
      <c r="C887" s="2">
        <f>Datos!C887</f>
        <v>0</v>
      </c>
      <c r="D887" s="2" t="str">
        <f>Datos!G887</f>
        <v>C</v>
      </c>
      <c r="E887" s="2">
        <f>Datos!I887</f>
        <v>1.9</v>
      </c>
      <c r="F887" s="2">
        <f>Datos!J887</f>
        <v>84.7</v>
      </c>
      <c r="G887" s="2">
        <f>Datos!L887</f>
        <v>70.8</v>
      </c>
      <c r="H887" s="2">
        <f>Datos!M887</f>
        <v>73.7</v>
      </c>
      <c r="I887" s="2" t="b">
        <f t="shared" si="65"/>
        <v>1</v>
      </c>
      <c r="J887" s="2">
        <f t="shared" si="66"/>
        <v>73.7</v>
      </c>
      <c r="K887" s="2">
        <f t="shared" si="67"/>
        <v>1.9</v>
      </c>
      <c r="L887" s="2">
        <f t="shared" si="68"/>
        <v>70.8</v>
      </c>
      <c r="M887" s="2">
        <f t="shared" si="69"/>
        <v>84.7</v>
      </c>
    </row>
    <row r="888" spans="1:13" x14ac:dyDescent="0.3">
      <c r="A888" s="2">
        <f>Datos!A888</f>
        <v>761</v>
      </c>
      <c r="B888" s="2" t="str">
        <f>Datos!B888</f>
        <v>Male</v>
      </c>
      <c r="C888" s="2" t="str">
        <f>Datos!C888</f>
        <v>High School</v>
      </c>
      <c r="D888" s="2" t="str">
        <f>Datos!G888</f>
        <v>F</v>
      </c>
      <c r="E888" s="2">
        <f>Datos!I888</f>
        <v>1.9</v>
      </c>
      <c r="F888" s="2">
        <f>Datos!J888</f>
        <v>68.900000000000006</v>
      </c>
      <c r="G888" s="2">
        <f>Datos!L888</f>
        <v>66.7</v>
      </c>
      <c r="H888" s="2">
        <f>Datos!M888</f>
        <v>52.8</v>
      </c>
      <c r="I888" s="2" t="b">
        <f t="shared" si="65"/>
        <v>1</v>
      </c>
      <c r="J888" s="2">
        <f t="shared" si="66"/>
        <v>52.8</v>
      </c>
      <c r="K888" s="2">
        <f t="shared" si="67"/>
        <v>1.9</v>
      </c>
      <c r="L888" s="2">
        <f t="shared" si="68"/>
        <v>66.7</v>
      </c>
      <c r="M888" s="2">
        <f t="shared" si="69"/>
        <v>68.900000000000006</v>
      </c>
    </row>
    <row r="889" spans="1:13" x14ac:dyDescent="0.3">
      <c r="A889" s="2">
        <f>Datos!A889</f>
        <v>489</v>
      </c>
      <c r="B889" s="2" t="str">
        <f>Datos!B889</f>
        <v>Female</v>
      </c>
      <c r="C889" s="2" t="str">
        <f>Datos!C889</f>
        <v>Bachelors</v>
      </c>
      <c r="D889" s="2" t="str">
        <f>Datos!G889</f>
        <v>C</v>
      </c>
      <c r="E889" s="2">
        <f>Datos!I889</f>
        <v>2.2999999999999998</v>
      </c>
      <c r="F889" s="2">
        <f>Datos!J889</f>
        <v>81.400000000000006</v>
      </c>
      <c r="G889" s="2">
        <f>Datos!L889</f>
        <v>44.8</v>
      </c>
      <c r="H889" s="2">
        <f>Datos!M889</f>
        <v>72.900000000000006</v>
      </c>
      <c r="I889" s="2" t="b">
        <f t="shared" si="65"/>
        <v>1</v>
      </c>
      <c r="J889" s="2">
        <f t="shared" si="66"/>
        <v>72.900000000000006</v>
      </c>
      <c r="K889" s="2">
        <f t="shared" si="67"/>
        <v>2.2999999999999998</v>
      </c>
      <c r="L889" s="2">
        <f t="shared" si="68"/>
        <v>44.8</v>
      </c>
      <c r="M889" s="2">
        <f t="shared" si="69"/>
        <v>81.400000000000006</v>
      </c>
    </row>
    <row r="890" spans="1:13" x14ac:dyDescent="0.3">
      <c r="A890" s="2">
        <f>Datos!A890</f>
        <v>161</v>
      </c>
      <c r="B890" s="2" t="str">
        <f>Datos!B890</f>
        <v>Female</v>
      </c>
      <c r="C890" s="2">
        <f>Datos!C890</f>
        <v>0</v>
      </c>
      <c r="D890" s="2" t="str">
        <f>Datos!G890</f>
        <v>B</v>
      </c>
      <c r="E890" s="2">
        <f>Datos!I890</f>
        <v>1.8</v>
      </c>
      <c r="F890" s="2">
        <f>Datos!J890</f>
        <v>84.9</v>
      </c>
      <c r="G890" s="2">
        <f>Datos!L890</f>
        <v>83</v>
      </c>
      <c r="H890" s="2">
        <f>Datos!M890</f>
        <v>89</v>
      </c>
      <c r="I890" s="2" t="b">
        <f t="shared" si="65"/>
        <v>1</v>
      </c>
      <c r="J890" s="2">
        <f t="shared" si="66"/>
        <v>89</v>
      </c>
      <c r="K890" s="2">
        <f t="shared" si="67"/>
        <v>1.8</v>
      </c>
      <c r="L890" s="2">
        <f t="shared" si="68"/>
        <v>83</v>
      </c>
      <c r="M890" s="2">
        <f t="shared" si="69"/>
        <v>84.9</v>
      </c>
    </row>
    <row r="891" spans="1:13" x14ac:dyDescent="0.3">
      <c r="A891" s="2">
        <f>Datos!A891</f>
        <v>199</v>
      </c>
      <c r="B891" s="2" t="str">
        <f>Datos!B891</f>
        <v>Female</v>
      </c>
      <c r="C891" s="2" t="str">
        <f>Datos!C891</f>
        <v>PhD</v>
      </c>
      <c r="D891" s="2" t="str">
        <f>Datos!G891</f>
        <v>D</v>
      </c>
      <c r="E891" s="2">
        <f>Datos!I891</f>
        <v>2.6</v>
      </c>
      <c r="F891" s="2">
        <f>Datos!J891</f>
        <v>89</v>
      </c>
      <c r="G891" s="2">
        <f>Datos!L891</f>
        <v>48</v>
      </c>
      <c r="H891" s="2">
        <f>Datos!M891</f>
        <v>62.7</v>
      </c>
      <c r="I891" s="2" t="b">
        <f t="shared" si="65"/>
        <v>1</v>
      </c>
      <c r="J891" s="2">
        <f t="shared" si="66"/>
        <v>62.7</v>
      </c>
      <c r="K891" s="2">
        <f t="shared" si="67"/>
        <v>2.6</v>
      </c>
      <c r="L891" s="2">
        <f t="shared" si="68"/>
        <v>48</v>
      </c>
      <c r="M891" s="2">
        <f t="shared" si="69"/>
        <v>89</v>
      </c>
    </row>
    <row r="892" spans="1:13" x14ac:dyDescent="0.3">
      <c r="A892" s="2">
        <f>Datos!A892</f>
        <v>618</v>
      </c>
      <c r="B892" s="2" t="str">
        <f>Datos!B892</f>
        <v>Female</v>
      </c>
      <c r="C892" s="2" t="str">
        <f>Datos!C892</f>
        <v>High School</v>
      </c>
      <c r="D892" s="2" t="str">
        <f>Datos!G892</f>
        <v>D</v>
      </c>
      <c r="E892" s="2">
        <f>Datos!I892</f>
        <v>4.8</v>
      </c>
      <c r="F892" s="2">
        <f>Datos!J892</f>
        <v>70.5</v>
      </c>
      <c r="G892" s="2">
        <f>Datos!L892</f>
        <v>65.099999999999994</v>
      </c>
      <c r="H892" s="2">
        <f>Datos!M892</f>
        <v>64</v>
      </c>
      <c r="I892" s="2" t="b">
        <f t="shared" si="65"/>
        <v>1</v>
      </c>
      <c r="J892" s="2">
        <f t="shared" si="66"/>
        <v>64</v>
      </c>
      <c r="K892" s="2">
        <f t="shared" si="67"/>
        <v>4.8</v>
      </c>
      <c r="L892" s="2">
        <f t="shared" si="68"/>
        <v>65.099999999999994</v>
      </c>
      <c r="M892" s="2">
        <f t="shared" si="69"/>
        <v>70.5</v>
      </c>
    </row>
    <row r="893" spans="1:13" x14ac:dyDescent="0.3">
      <c r="A893" s="2">
        <f>Datos!A893</f>
        <v>317</v>
      </c>
      <c r="B893" s="2" t="str">
        <f>Datos!B893</f>
        <v>Female</v>
      </c>
      <c r="C893" s="2">
        <f>Datos!C893</f>
        <v>0</v>
      </c>
      <c r="D893" s="2" t="str">
        <f>Datos!G893</f>
        <v>C</v>
      </c>
      <c r="E893" s="2">
        <f>Datos!I893</f>
        <v>5.5</v>
      </c>
      <c r="F893" s="2">
        <f>Datos!J893</f>
        <v>78.2</v>
      </c>
      <c r="G893" s="2">
        <f>Datos!L893</f>
        <v>80.5</v>
      </c>
      <c r="H893" s="2">
        <f>Datos!M893</f>
        <v>79.599999999999994</v>
      </c>
      <c r="I893" s="2" t="b">
        <f t="shared" si="65"/>
        <v>1</v>
      </c>
      <c r="J893" s="2">
        <f t="shared" si="66"/>
        <v>79.599999999999994</v>
      </c>
      <c r="K893" s="2">
        <f t="shared" si="67"/>
        <v>5.5</v>
      </c>
      <c r="L893" s="2">
        <f t="shared" si="68"/>
        <v>80.5</v>
      </c>
      <c r="M893" s="2">
        <f t="shared" si="69"/>
        <v>78.2</v>
      </c>
    </row>
    <row r="894" spans="1:13" x14ac:dyDescent="0.3">
      <c r="A894" s="2">
        <f>Datos!A894</f>
        <v>755</v>
      </c>
      <c r="B894" s="2" t="str">
        <f>Datos!B894</f>
        <v>Female</v>
      </c>
      <c r="C894" s="2" t="str">
        <f>Datos!C894</f>
        <v>High School</v>
      </c>
      <c r="D894" s="2" t="str">
        <f>Datos!G894</f>
        <v>C</v>
      </c>
      <c r="E894" s="2">
        <f>Datos!I894</f>
        <v>6.3</v>
      </c>
      <c r="F894" s="2">
        <f>Datos!J894</f>
        <v>92</v>
      </c>
      <c r="G894" s="2">
        <f>Datos!L894</f>
        <v>45.1</v>
      </c>
      <c r="H894" s="2">
        <f>Datos!M894</f>
        <v>73</v>
      </c>
      <c r="I894" s="2" t="b">
        <f t="shared" si="65"/>
        <v>1</v>
      </c>
      <c r="J894" s="2">
        <f t="shared" si="66"/>
        <v>73</v>
      </c>
      <c r="K894" s="2">
        <f t="shared" si="67"/>
        <v>6.3</v>
      </c>
      <c r="L894" s="2">
        <f t="shared" si="68"/>
        <v>45.1</v>
      </c>
      <c r="M894" s="2">
        <f t="shared" si="69"/>
        <v>92</v>
      </c>
    </row>
    <row r="895" spans="1:13" x14ac:dyDescent="0.3">
      <c r="A895" s="2">
        <f>Datos!A895</f>
        <v>699</v>
      </c>
      <c r="B895" s="2" t="str">
        <f>Datos!B895</f>
        <v>Male</v>
      </c>
      <c r="C895" s="2" t="str">
        <f>Datos!C895</f>
        <v>PhD</v>
      </c>
      <c r="D895" s="2" t="str">
        <f>Datos!G895</f>
        <v>C</v>
      </c>
      <c r="E895" s="2">
        <f>Datos!I895</f>
        <v>1.8</v>
      </c>
      <c r="F895" s="2">
        <f>Datos!J895</f>
        <v>82.5</v>
      </c>
      <c r="G895" s="2">
        <f>Datos!L895</f>
        <v>76.599999999999994</v>
      </c>
      <c r="H895" s="2">
        <f>Datos!M895</f>
        <v>79.3</v>
      </c>
      <c r="I895" s="2" t="b">
        <f t="shared" si="65"/>
        <v>1</v>
      </c>
      <c r="J895" s="2">
        <f t="shared" si="66"/>
        <v>79.3</v>
      </c>
      <c r="K895" s="2">
        <f t="shared" si="67"/>
        <v>1.8</v>
      </c>
      <c r="L895" s="2">
        <f t="shared" si="68"/>
        <v>76.599999999999994</v>
      </c>
      <c r="M895" s="2">
        <f t="shared" si="69"/>
        <v>82.5</v>
      </c>
    </row>
    <row r="896" spans="1:13" x14ac:dyDescent="0.3">
      <c r="A896" s="2">
        <f>Datos!A896</f>
        <v>204</v>
      </c>
      <c r="B896" s="2" t="str">
        <f>Datos!B896</f>
        <v>Female</v>
      </c>
      <c r="C896" s="2" t="str">
        <f>Datos!C896</f>
        <v>Bachelors</v>
      </c>
      <c r="D896" s="2" t="str">
        <f>Datos!G896</f>
        <v>B</v>
      </c>
      <c r="E896" s="2">
        <f>Datos!I896</f>
        <v>6.8</v>
      </c>
      <c r="F896" s="2">
        <f>Datos!J896</f>
        <v>80.8</v>
      </c>
      <c r="G896" s="2">
        <f>Datos!L896</f>
        <v>60.9</v>
      </c>
      <c r="H896" s="2">
        <f>Datos!M896</f>
        <v>80.099999999999994</v>
      </c>
      <c r="I896" s="2" t="b">
        <f t="shared" si="65"/>
        <v>1</v>
      </c>
      <c r="J896" s="2">
        <f t="shared" si="66"/>
        <v>80.099999999999994</v>
      </c>
      <c r="K896" s="2">
        <f t="shared" si="67"/>
        <v>6.8</v>
      </c>
      <c r="L896" s="2">
        <f t="shared" si="68"/>
        <v>60.9</v>
      </c>
      <c r="M896" s="2">
        <f t="shared" si="69"/>
        <v>80.8</v>
      </c>
    </row>
    <row r="897" spans="1:13" x14ac:dyDescent="0.3">
      <c r="A897" s="2">
        <f>Datos!A897</f>
        <v>289</v>
      </c>
      <c r="B897" s="2" t="str">
        <f>Datos!B897</f>
        <v>Female</v>
      </c>
      <c r="C897" s="2" t="str">
        <f>Datos!C897</f>
        <v>PhD</v>
      </c>
      <c r="D897" s="2" t="str">
        <f>Datos!G897</f>
        <v>D</v>
      </c>
      <c r="E897" s="2">
        <f>Datos!I897</f>
        <v>1.1000000000000001</v>
      </c>
      <c r="F897" s="2">
        <f>Datos!J897</f>
        <v>79.2</v>
      </c>
      <c r="G897" s="2">
        <f>Datos!L897</f>
        <v>62.4</v>
      </c>
      <c r="H897" s="2">
        <f>Datos!M897</f>
        <v>63.7</v>
      </c>
      <c r="I897" s="2" t="b">
        <f t="shared" si="65"/>
        <v>1</v>
      </c>
      <c r="J897" s="2">
        <f t="shared" si="66"/>
        <v>63.7</v>
      </c>
      <c r="K897" s="2">
        <f t="shared" si="67"/>
        <v>1.1000000000000001</v>
      </c>
      <c r="L897" s="2">
        <f t="shared" si="68"/>
        <v>62.4</v>
      </c>
      <c r="M897" s="2">
        <f t="shared" si="69"/>
        <v>79.2</v>
      </c>
    </row>
    <row r="898" spans="1:13" x14ac:dyDescent="0.3">
      <c r="A898" s="2">
        <f>Datos!A898</f>
        <v>540</v>
      </c>
      <c r="B898" s="2" t="str">
        <f>Datos!B898</f>
        <v>Male</v>
      </c>
      <c r="C898" s="2" t="str">
        <f>Datos!C898</f>
        <v>High School</v>
      </c>
      <c r="D898" s="2" t="str">
        <f>Datos!G898</f>
        <v>B</v>
      </c>
      <c r="E898" s="2">
        <f>Datos!I898</f>
        <v>5.5</v>
      </c>
      <c r="F898" s="2">
        <f>Datos!J898</f>
        <v>88.2</v>
      </c>
      <c r="G898" s="2">
        <f>Datos!L898</f>
        <v>73.099999999999994</v>
      </c>
      <c r="H898" s="2">
        <f>Datos!M898</f>
        <v>84.6</v>
      </c>
      <c r="I898" s="2" t="b">
        <f t="shared" ref="I898:I961" si="70">AND(E898&gt;=0,E898&lt;=12,F898&gt;=0,F898&lt;=100,G898&gt;=0,G898&lt;=100,H898&gt;=0,H898&lt;=100)</f>
        <v>1</v>
      </c>
      <c r="J898" s="2">
        <f t="shared" ref="J898:J961" si="71">IF(I898,H898,"")</f>
        <v>84.6</v>
      </c>
      <c r="K898" s="2">
        <f t="shared" ref="K898:K961" si="72">IF(I898,E898,"")</f>
        <v>5.5</v>
      </c>
      <c r="L898" s="2">
        <f t="shared" ref="L898:L961" si="73">IF(I898,G898,"")</f>
        <v>73.099999999999994</v>
      </c>
      <c r="M898" s="2">
        <f t="shared" ref="M898:M961" si="74">IF(I898,F898,"")</f>
        <v>88.2</v>
      </c>
    </row>
    <row r="899" spans="1:13" x14ac:dyDescent="0.3">
      <c r="A899" s="2">
        <f>Datos!A899</f>
        <v>616</v>
      </c>
      <c r="B899" s="2" t="str">
        <f>Datos!B899</f>
        <v>Female</v>
      </c>
      <c r="C899" s="2" t="str">
        <f>Datos!C899</f>
        <v>Masters</v>
      </c>
      <c r="D899" s="2" t="str">
        <f>Datos!G899</f>
        <v>C</v>
      </c>
      <c r="E899" s="2">
        <f>Datos!I899</f>
        <v>4.9000000000000004</v>
      </c>
      <c r="F899" s="2">
        <f>Datos!J899</f>
        <v>80.900000000000006</v>
      </c>
      <c r="G899" s="2">
        <f>Datos!L899</f>
        <v>74.7</v>
      </c>
      <c r="H899" s="2">
        <f>Datos!M899</f>
        <v>79</v>
      </c>
      <c r="I899" s="2" t="b">
        <f t="shared" si="70"/>
        <v>1</v>
      </c>
      <c r="J899" s="2">
        <f t="shared" si="71"/>
        <v>79</v>
      </c>
      <c r="K899" s="2">
        <f t="shared" si="72"/>
        <v>4.9000000000000004</v>
      </c>
      <c r="L899" s="2">
        <f t="shared" si="73"/>
        <v>74.7</v>
      </c>
      <c r="M899" s="2">
        <f t="shared" si="74"/>
        <v>80.900000000000006</v>
      </c>
    </row>
    <row r="900" spans="1:13" x14ac:dyDescent="0.3">
      <c r="A900" s="2">
        <f>Datos!A900</f>
        <v>279</v>
      </c>
      <c r="B900" s="2" t="str">
        <f>Datos!B900</f>
        <v>Female</v>
      </c>
      <c r="C900" s="2" t="str">
        <f>Datos!C900</f>
        <v>Bachelors</v>
      </c>
      <c r="D900" s="2" t="str">
        <f>Datos!G900</f>
        <v>C</v>
      </c>
      <c r="E900" s="2">
        <f>Datos!I900</f>
        <v>6.6</v>
      </c>
      <c r="F900" s="2">
        <f>Datos!J900</f>
        <v>82.2</v>
      </c>
      <c r="G900" s="2">
        <f>Datos!L900</f>
        <v>42.2</v>
      </c>
      <c r="H900" s="2">
        <f>Datos!M900</f>
        <v>70.8</v>
      </c>
      <c r="I900" s="2" t="b">
        <f t="shared" si="70"/>
        <v>1</v>
      </c>
      <c r="J900" s="2">
        <f t="shared" si="71"/>
        <v>70.8</v>
      </c>
      <c r="K900" s="2">
        <f t="shared" si="72"/>
        <v>6.6</v>
      </c>
      <c r="L900" s="2">
        <f t="shared" si="73"/>
        <v>42.2</v>
      </c>
      <c r="M900" s="2">
        <f t="shared" si="74"/>
        <v>82.2</v>
      </c>
    </row>
    <row r="901" spans="1:13" x14ac:dyDescent="0.3">
      <c r="A901" s="2">
        <f>Datos!A901</f>
        <v>99</v>
      </c>
      <c r="B901" s="2" t="str">
        <f>Datos!B901</f>
        <v>Male</v>
      </c>
      <c r="C901" s="2" t="str">
        <f>Datos!C901</f>
        <v>High School</v>
      </c>
      <c r="D901" s="2" t="str">
        <f>Datos!G901</f>
        <v>F</v>
      </c>
      <c r="E901" s="2">
        <f>Datos!I901</f>
        <v>3.1</v>
      </c>
      <c r="F901" s="2">
        <f>Datos!J901</f>
        <v>69.599999999999994</v>
      </c>
      <c r="G901" s="2">
        <f>Datos!L901</f>
        <v>49.6</v>
      </c>
      <c r="H901" s="2">
        <f>Datos!M901</f>
        <v>74.099999999999994</v>
      </c>
      <c r="I901" s="2" t="b">
        <f t="shared" si="70"/>
        <v>1</v>
      </c>
      <c r="J901" s="2">
        <f t="shared" si="71"/>
        <v>74.099999999999994</v>
      </c>
      <c r="K901" s="2">
        <f t="shared" si="72"/>
        <v>3.1</v>
      </c>
      <c r="L901" s="2">
        <f t="shared" si="73"/>
        <v>49.6</v>
      </c>
      <c r="M901" s="2">
        <f t="shared" si="74"/>
        <v>69.599999999999994</v>
      </c>
    </row>
    <row r="902" spans="1:13" x14ac:dyDescent="0.3">
      <c r="A902" s="2">
        <f>Datos!A902</f>
        <v>320</v>
      </c>
      <c r="B902" s="2" t="str">
        <f>Datos!B902</f>
        <v>Female</v>
      </c>
      <c r="C902" s="2" t="str">
        <f>Datos!C902</f>
        <v>High School</v>
      </c>
      <c r="D902" s="2" t="str">
        <f>Datos!G902</f>
        <v>C</v>
      </c>
      <c r="E902" s="2">
        <f>Datos!I902</f>
        <v>2.2999999999999998</v>
      </c>
      <c r="F902" s="2">
        <f>Datos!J902</f>
        <v>79</v>
      </c>
      <c r="G902" s="2">
        <f>Datos!L902</f>
        <v>68</v>
      </c>
      <c r="H902" s="2">
        <f>Datos!M902</f>
        <v>71.599999999999994</v>
      </c>
      <c r="I902" s="2" t="b">
        <f t="shared" si="70"/>
        <v>1</v>
      </c>
      <c r="J902" s="2">
        <f t="shared" si="71"/>
        <v>71.599999999999994</v>
      </c>
      <c r="K902" s="2">
        <f t="shared" si="72"/>
        <v>2.2999999999999998</v>
      </c>
      <c r="L902" s="2">
        <f t="shared" si="73"/>
        <v>68</v>
      </c>
      <c r="M902" s="2">
        <f t="shared" si="74"/>
        <v>79</v>
      </c>
    </row>
    <row r="903" spans="1:13" x14ac:dyDescent="0.3">
      <c r="A903" s="2">
        <f>Datos!A903</f>
        <v>267</v>
      </c>
      <c r="B903" s="2" t="str">
        <f>Datos!B903</f>
        <v>Male</v>
      </c>
      <c r="C903" s="2">
        <f>Datos!C903</f>
        <v>0</v>
      </c>
      <c r="D903" s="2" t="str">
        <f>Datos!G903</f>
        <v>F</v>
      </c>
      <c r="E903" s="2">
        <f>Datos!I903</f>
        <v>1.3</v>
      </c>
      <c r="F903" s="2">
        <f>Datos!J903</f>
        <v>84.4</v>
      </c>
      <c r="G903" s="2">
        <f>Datos!L903</f>
        <v>83.3</v>
      </c>
      <c r="H903" s="2">
        <f>Datos!M903</f>
        <v>44.6</v>
      </c>
      <c r="I903" s="2" t="b">
        <f t="shared" si="70"/>
        <v>1</v>
      </c>
      <c r="J903" s="2">
        <f t="shared" si="71"/>
        <v>44.6</v>
      </c>
      <c r="K903" s="2">
        <f t="shared" si="72"/>
        <v>1.3</v>
      </c>
      <c r="L903" s="2">
        <f t="shared" si="73"/>
        <v>83.3</v>
      </c>
      <c r="M903" s="2">
        <f t="shared" si="74"/>
        <v>84.4</v>
      </c>
    </row>
    <row r="904" spans="1:13" x14ac:dyDescent="0.3">
      <c r="A904" s="2">
        <f>Datos!A904</f>
        <v>234</v>
      </c>
      <c r="B904" s="2" t="str">
        <f>Datos!B904</f>
        <v>Female</v>
      </c>
      <c r="C904" s="2" t="str">
        <f>Datos!C904</f>
        <v>Masters</v>
      </c>
      <c r="D904" s="2" t="str">
        <f>Datos!G904</f>
        <v>A</v>
      </c>
      <c r="E904" s="2">
        <f>Datos!I904</f>
        <v>1.3</v>
      </c>
      <c r="F904" s="2">
        <f>Datos!J904</f>
        <v>93.2</v>
      </c>
      <c r="G904" s="2">
        <f>Datos!L904</f>
        <v>94.6</v>
      </c>
      <c r="H904" s="2">
        <f>Datos!M904</f>
        <v>90</v>
      </c>
      <c r="I904" s="2" t="b">
        <f t="shared" si="70"/>
        <v>1</v>
      </c>
      <c r="J904" s="2">
        <f t="shared" si="71"/>
        <v>90</v>
      </c>
      <c r="K904" s="2">
        <f t="shared" si="72"/>
        <v>1.3</v>
      </c>
      <c r="L904" s="2">
        <f t="shared" si="73"/>
        <v>94.6</v>
      </c>
      <c r="M904" s="2">
        <f t="shared" si="74"/>
        <v>93.2</v>
      </c>
    </row>
    <row r="905" spans="1:13" x14ac:dyDescent="0.3">
      <c r="A905" s="2">
        <f>Datos!A905</f>
        <v>368</v>
      </c>
      <c r="B905" s="2" t="str">
        <f>Datos!B905</f>
        <v>Male</v>
      </c>
      <c r="C905" s="2">
        <f>Datos!C905</f>
        <v>0</v>
      </c>
      <c r="D905" s="2" t="str">
        <f>Datos!G905</f>
        <v>A</v>
      </c>
      <c r="E905" s="2">
        <f>Datos!I905</f>
        <v>6.6</v>
      </c>
      <c r="F905" s="2">
        <f>Datos!J905</f>
        <v>97.8</v>
      </c>
      <c r="G905" s="2">
        <f>Datos!L905</f>
        <v>79.2</v>
      </c>
      <c r="H905" s="2">
        <f>Datos!M905</f>
        <v>100</v>
      </c>
      <c r="I905" s="2" t="b">
        <f t="shared" si="70"/>
        <v>1</v>
      </c>
      <c r="J905" s="2">
        <f t="shared" si="71"/>
        <v>100</v>
      </c>
      <c r="K905" s="2">
        <f t="shared" si="72"/>
        <v>6.6</v>
      </c>
      <c r="L905" s="2">
        <f t="shared" si="73"/>
        <v>79.2</v>
      </c>
      <c r="M905" s="2">
        <f t="shared" si="74"/>
        <v>97.8</v>
      </c>
    </row>
    <row r="906" spans="1:13" x14ac:dyDescent="0.3">
      <c r="A906" s="2">
        <f>Datos!A906</f>
        <v>153</v>
      </c>
      <c r="B906" s="2" t="str">
        <f>Datos!B906</f>
        <v>Female</v>
      </c>
      <c r="C906" s="2" t="str">
        <f>Datos!C906</f>
        <v>Bachelors</v>
      </c>
      <c r="D906" s="2" t="str">
        <f>Datos!G906</f>
        <v>C</v>
      </c>
      <c r="E906" s="2">
        <f>Datos!I906</f>
        <v>3.1</v>
      </c>
      <c r="F906" s="2">
        <f>Datos!J906</f>
        <v>82.2</v>
      </c>
      <c r="G906" s="2">
        <f>Datos!L906</f>
        <v>66.75</v>
      </c>
      <c r="H906" s="2">
        <f>Datos!M906</f>
        <v>75.900000000000006</v>
      </c>
      <c r="I906" s="2" t="b">
        <f t="shared" si="70"/>
        <v>1</v>
      </c>
      <c r="J906" s="2">
        <f t="shared" si="71"/>
        <v>75.900000000000006</v>
      </c>
      <c r="K906" s="2">
        <f t="shared" si="72"/>
        <v>3.1</v>
      </c>
      <c r="L906" s="2">
        <f t="shared" si="73"/>
        <v>66.75</v>
      </c>
      <c r="M906" s="2">
        <f t="shared" si="74"/>
        <v>82.2</v>
      </c>
    </row>
    <row r="907" spans="1:13" x14ac:dyDescent="0.3">
      <c r="A907" s="2">
        <f>Datos!A907</f>
        <v>506</v>
      </c>
      <c r="B907" s="2" t="str">
        <f>Datos!B907</f>
        <v>Male</v>
      </c>
      <c r="C907" s="2" t="str">
        <f>Datos!C907</f>
        <v>Masters</v>
      </c>
      <c r="D907" s="2" t="str">
        <f>Datos!G907</f>
        <v>C</v>
      </c>
      <c r="E907" s="2">
        <f>Datos!I907</f>
        <v>5.5</v>
      </c>
      <c r="F907" s="2">
        <f>Datos!J907</f>
        <v>90.3</v>
      </c>
      <c r="G907" s="2">
        <f>Datos!L907</f>
        <v>51.5</v>
      </c>
      <c r="H907" s="2">
        <f>Datos!M907</f>
        <v>70.099999999999994</v>
      </c>
      <c r="I907" s="2" t="b">
        <f t="shared" si="70"/>
        <v>1</v>
      </c>
      <c r="J907" s="2">
        <f t="shared" si="71"/>
        <v>70.099999999999994</v>
      </c>
      <c r="K907" s="2">
        <f t="shared" si="72"/>
        <v>5.5</v>
      </c>
      <c r="L907" s="2">
        <f t="shared" si="73"/>
        <v>51.5</v>
      </c>
      <c r="M907" s="2">
        <f t="shared" si="74"/>
        <v>90.3</v>
      </c>
    </row>
    <row r="908" spans="1:13" x14ac:dyDescent="0.3">
      <c r="A908" s="2">
        <f>Datos!A908</f>
        <v>757</v>
      </c>
      <c r="B908" s="2" t="str">
        <f>Datos!B908</f>
        <v>Female</v>
      </c>
      <c r="C908" s="2" t="str">
        <f>Datos!C908</f>
        <v>PhD</v>
      </c>
      <c r="D908" s="2" t="str">
        <f>Datos!G908</f>
        <v>B</v>
      </c>
      <c r="E908" s="2">
        <f>Datos!I908</f>
        <v>3.7</v>
      </c>
      <c r="F908" s="2">
        <f>Datos!J908</f>
        <v>66.2</v>
      </c>
      <c r="G908" s="2">
        <f>Datos!L908</f>
        <v>72.2</v>
      </c>
      <c r="H908" s="2">
        <f>Datos!M908</f>
        <v>84.1</v>
      </c>
      <c r="I908" s="2" t="b">
        <f t="shared" si="70"/>
        <v>1</v>
      </c>
      <c r="J908" s="2">
        <f t="shared" si="71"/>
        <v>84.1</v>
      </c>
      <c r="K908" s="2">
        <f t="shared" si="72"/>
        <v>3.7</v>
      </c>
      <c r="L908" s="2">
        <f t="shared" si="73"/>
        <v>72.2</v>
      </c>
      <c r="M908" s="2">
        <f t="shared" si="74"/>
        <v>66.2</v>
      </c>
    </row>
    <row r="909" spans="1:13" x14ac:dyDescent="0.3">
      <c r="A909" s="2">
        <f>Datos!A909</f>
        <v>913</v>
      </c>
      <c r="B909" s="2" t="str">
        <f>Datos!B909</f>
        <v>Female</v>
      </c>
      <c r="C909" s="2" t="str">
        <f>Datos!C909</f>
        <v>Masters</v>
      </c>
      <c r="D909" s="2" t="str">
        <f>Datos!G909</f>
        <v>C</v>
      </c>
      <c r="E909" s="2">
        <f>Datos!I909</f>
        <v>1.6</v>
      </c>
      <c r="F909" s="2">
        <f>Datos!J909</f>
        <v>98.2</v>
      </c>
      <c r="G909" s="2">
        <f>Datos!L909</f>
        <v>71.5</v>
      </c>
      <c r="H909" s="2">
        <f>Datos!M909</f>
        <v>73</v>
      </c>
      <c r="I909" s="2" t="b">
        <f t="shared" si="70"/>
        <v>1</v>
      </c>
      <c r="J909" s="2">
        <f t="shared" si="71"/>
        <v>73</v>
      </c>
      <c r="K909" s="2">
        <f t="shared" si="72"/>
        <v>1.6</v>
      </c>
      <c r="L909" s="2">
        <f t="shared" si="73"/>
        <v>71.5</v>
      </c>
      <c r="M909" s="2">
        <f t="shared" si="74"/>
        <v>98.2</v>
      </c>
    </row>
    <row r="910" spans="1:13" x14ac:dyDescent="0.3">
      <c r="A910" s="2">
        <f>Datos!A910</f>
        <v>567</v>
      </c>
      <c r="B910" s="2" t="str">
        <f>Datos!B910</f>
        <v>Male</v>
      </c>
      <c r="C910" s="2" t="str">
        <f>Datos!C910</f>
        <v>Bachelors</v>
      </c>
      <c r="D910" s="2" t="str">
        <f>Datos!G910</f>
        <v>D</v>
      </c>
      <c r="E910" s="2">
        <f>Datos!I910</f>
        <v>1.6</v>
      </c>
      <c r="F910" s="2">
        <f>Datos!J910</f>
        <v>75.099999999999994</v>
      </c>
      <c r="G910" s="2">
        <f>Datos!L910</f>
        <v>80.2</v>
      </c>
      <c r="H910" s="2">
        <f>Datos!M910</f>
        <v>63.7</v>
      </c>
      <c r="I910" s="2" t="b">
        <f t="shared" si="70"/>
        <v>1</v>
      </c>
      <c r="J910" s="2">
        <f t="shared" si="71"/>
        <v>63.7</v>
      </c>
      <c r="K910" s="2">
        <f t="shared" si="72"/>
        <v>1.6</v>
      </c>
      <c r="L910" s="2">
        <f t="shared" si="73"/>
        <v>80.2</v>
      </c>
      <c r="M910" s="2">
        <f t="shared" si="74"/>
        <v>75.099999999999994</v>
      </c>
    </row>
    <row r="911" spans="1:13" x14ac:dyDescent="0.3">
      <c r="A911" s="2">
        <f>Datos!A911</f>
        <v>43</v>
      </c>
      <c r="B911" s="2" t="str">
        <f>Datos!B911</f>
        <v>Male</v>
      </c>
      <c r="C911" s="2" t="str">
        <f>Datos!C911</f>
        <v>Bachelors</v>
      </c>
      <c r="D911" s="2" t="str">
        <f>Datos!G911</f>
        <v>A</v>
      </c>
      <c r="E911" s="2">
        <f>Datos!I911</f>
        <v>6.6</v>
      </c>
      <c r="F911" s="2">
        <f>Datos!J911</f>
        <v>92.3</v>
      </c>
      <c r="G911" s="2">
        <f>Datos!L911</f>
        <v>92.1</v>
      </c>
      <c r="H911" s="2">
        <f>Datos!M911</f>
        <v>100</v>
      </c>
      <c r="I911" s="2" t="b">
        <f t="shared" si="70"/>
        <v>1</v>
      </c>
      <c r="J911" s="2">
        <f t="shared" si="71"/>
        <v>100</v>
      </c>
      <c r="K911" s="2">
        <f t="shared" si="72"/>
        <v>6.6</v>
      </c>
      <c r="L911" s="2">
        <f t="shared" si="73"/>
        <v>92.1</v>
      </c>
      <c r="M911" s="2">
        <f t="shared" si="74"/>
        <v>92.3</v>
      </c>
    </row>
    <row r="912" spans="1:13" x14ac:dyDescent="0.3">
      <c r="A912" s="2">
        <f>Datos!A912</f>
        <v>832</v>
      </c>
      <c r="B912" s="2" t="str">
        <f>Datos!B912</f>
        <v>Female</v>
      </c>
      <c r="C912" s="2" t="str">
        <f>Datos!C912</f>
        <v>Bachelors</v>
      </c>
      <c r="D912" s="2" t="str">
        <f>Datos!G912</f>
        <v>F</v>
      </c>
      <c r="E912" s="2">
        <f>Datos!I912</f>
        <v>4.8</v>
      </c>
      <c r="F912" s="2">
        <f>Datos!J912</f>
        <v>65.8</v>
      </c>
      <c r="G912" s="2">
        <f>Datos!L912</f>
        <v>67</v>
      </c>
      <c r="H912" s="2">
        <f>Datos!M912</f>
        <v>59.1</v>
      </c>
      <c r="I912" s="2" t="b">
        <f t="shared" si="70"/>
        <v>1</v>
      </c>
      <c r="J912" s="2">
        <f t="shared" si="71"/>
        <v>59.1</v>
      </c>
      <c r="K912" s="2">
        <f t="shared" si="72"/>
        <v>4.8</v>
      </c>
      <c r="L912" s="2">
        <f t="shared" si="73"/>
        <v>67</v>
      </c>
      <c r="M912" s="2">
        <f t="shared" si="74"/>
        <v>65.8</v>
      </c>
    </row>
    <row r="913" spans="1:13" x14ac:dyDescent="0.3">
      <c r="A913" s="2">
        <f>Datos!A913</f>
        <v>766</v>
      </c>
      <c r="B913" s="2" t="str">
        <f>Datos!B913</f>
        <v>Female</v>
      </c>
      <c r="C913" s="2" t="str">
        <f>Datos!C913</f>
        <v>Masters</v>
      </c>
      <c r="D913" s="2" t="str">
        <f>Datos!G913</f>
        <v>D</v>
      </c>
      <c r="E913" s="2">
        <f>Datos!I913</f>
        <v>2.6</v>
      </c>
      <c r="F913" s="2">
        <f>Datos!J913</f>
        <v>81.7</v>
      </c>
      <c r="G913" s="2">
        <f>Datos!L913</f>
        <v>57.2</v>
      </c>
      <c r="H913" s="2">
        <f>Datos!M913</f>
        <v>60.1</v>
      </c>
      <c r="I913" s="2" t="b">
        <f t="shared" si="70"/>
        <v>1</v>
      </c>
      <c r="J913" s="2">
        <f t="shared" si="71"/>
        <v>60.1</v>
      </c>
      <c r="K913" s="2">
        <f t="shared" si="72"/>
        <v>2.6</v>
      </c>
      <c r="L913" s="2">
        <f t="shared" si="73"/>
        <v>57.2</v>
      </c>
      <c r="M913" s="2">
        <f t="shared" si="74"/>
        <v>81.7</v>
      </c>
    </row>
    <row r="914" spans="1:13" x14ac:dyDescent="0.3">
      <c r="A914" s="2">
        <f>Datos!A914</f>
        <v>716</v>
      </c>
      <c r="B914" s="2" t="str">
        <f>Datos!B914</f>
        <v>Female</v>
      </c>
      <c r="C914" s="2" t="str">
        <f>Datos!C914</f>
        <v>Bachelors</v>
      </c>
      <c r="D914" s="2" t="str">
        <f>Datos!G914</f>
        <v>C</v>
      </c>
      <c r="E914" s="2">
        <f>Datos!I914</f>
        <v>2.2999999999999998</v>
      </c>
      <c r="F914" s="2">
        <f>Datos!J914</f>
        <v>88.4</v>
      </c>
      <c r="G914" s="2">
        <f>Datos!L914</f>
        <v>77.8</v>
      </c>
      <c r="H914" s="2">
        <f>Datos!M914</f>
        <v>71.7</v>
      </c>
      <c r="I914" s="2" t="b">
        <f t="shared" si="70"/>
        <v>1</v>
      </c>
      <c r="J914" s="2">
        <f t="shared" si="71"/>
        <v>71.7</v>
      </c>
      <c r="K914" s="2">
        <f t="shared" si="72"/>
        <v>2.2999999999999998</v>
      </c>
      <c r="L914" s="2">
        <f t="shared" si="73"/>
        <v>77.8</v>
      </c>
      <c r="M914" s="2">
        <f t="shared" si="74"/>
        <v>88.4</v>
      </c>
    </row>
    <row r="915" spans="1:13" x14ac:dyDescent="0.3">
      <c r="A915" s="2">
        <f>Datos!A915</f>
        <v>892</v>
      </c>
      <c r="B915" s="2" t="str">
        <f>Datos!B915</f>
        <v>Male</v>
      </c>
      <c r="C915" s="2" t="str">
        <f>Datos!C915</f>
        <v>Bachelors</v>
      </c>
      <c r="D915" s="2" t="str">
        <f>Datos!G915</f>
        <v>C</v>
      </c>
      <c r="E915" s="2">
        <f>Datos!I915</f>
        <v>1</v>
      </c>
      <c r="F915" s="2">
        <f>Datos!J915</f>
        <v>83.5</v>
      </c>
      <c r="G915" s="2">
        <f>Datos!L915</f>
        <v>90.9</v>
      </c>
      <c r="H915" s="2">
        <f>Datos!M915</f>
        <v>77.2</v>
      </c>
      <c r="I915" s="2" t="b">
        <f t="shared" si="70"/>
        <v>1</v>
      </c>
      <c r="J915" s="2">
        <f t="shared" si="71"/>
        <v>77.2</v>
      </c>
      <c r="K915" s="2">
        <f t="shared" si="72"/>
        <v>1</v>
      </c>
      <c r="L915" s="2">
        <f t="shared" si="73"/>
        <v>90.9</v>
      </c>
      <c r="M915" s="2">
        <f t="shared" si="74"/>
        <v>83.5</v>
      </c>
    </row>
    <row r="916" spans="1:13" x14ac:dyDescent="0.3">
      <c r="A916" s="2">
        <f>Datos!A916</f>
        <v>78</v>
      </c>
      <c r="B916" s="2" t="str">
        <f>Datos!B916</f>
        <v>Male</v>
      </c>
      <c r="C916" s="2" t="str">
        <f>Datos!C916</f>
        <v>Bachelors</v>
      </c>
      <c r="D916" s="2" t="str">
        <f>Datos!G916</f>
        <v>B</v>
      </c>
      <c r="E916" s="2">
        <f>Datos!I916</f>
        <v>5.3</v>
      </c>
      <c r="F916" s="2">
        <f>Datos!J916</f>
        <v>85.7</v>
      </c>
      <c r="G916" s="2">
        <f>Datos!L916</f>
        <v>44.3</v>
      </c>
      <c r="H916" s="2">
        <f>Datos!M916</f>
        <v>89.7</v>
      </c>
      <c r="I916" s="2" t="b">
        <f t="shared" si="70"/>
        <v>1</v>
      </c>
      <c r="J916" s="2">
        <f t="shared" si="71"/>
        <v>89.7</v>
      </c>
      <c r="K916" s="2">
        <f t="shared" si="72"/>
        <v>5.3</v>
      </c>
      <c r="L916" s="2">
        <f t="shared" si="73"/>
        <v>44.3</v>
      </c>
      <c r="M916" s="2">
        <f t="shared" si="74"/>
        <v>85.7</v>
      </c>
    </row>
    <row r="917" spans="1:13" x14ac:dyDescent="0.3">
      <c r="A917" s="2">
        <f>Datos!A917</f>
        <v>50</v>
      </c>
      <c r="B917" s="2" t="str">
        <f>Datos!B917</f>
        <v>Male</v>
      </c>
      <c r="C917" s="2">
        <f>Datos!C917</f>
        <v>0</v>
      </c>
      <c r="D917" s="2" t="str">
        <f>Datos!G917</f>
        <v>D</v>
      </c>
      <c r="E917" s="2">
        <f>Datos!I917</f>
        <v>2.2999999999999998</v>
      </c>
      <c r="F917" s="2">
        <f>Datos!J917</f>
        <v>83.5</v>
      </c>
      <c r="G917" s="2">
        <f>Datos!L917</f>
        <v>37.5</v>
      </c>
      <c r="H917" s="2">
        <f>Datos!M917</f>
        <v>62.9</v>
      </c>
      <c r="I917" s="2" t="b">
        <f t="shared" si="70"/>
        <v>1</v>
      </c>
      <c r="J917" s="2">
        <f t="shared" si="71"/>
        <v>62.9</v>
      </c>
      <c r="K917" s="2">
        <f t="shared" si="72"/>
        <v>2.2999999999999998</v>
      </c>
      <c r="L917" s="2">
        <f t="shared" si="73"/>
        <v>37.5</v>
      </c>
      <c r="M917" s="2">
        <f t="shared" si="74"/>
        <v>83.5</v>
      </c>
    </row>
    <row r="918" spans="1:13" x14ac:dyDescent="0.3">
      <c r="A918" s="2">
        <f>Datos!A918</f>
        <v>649</v>
      </c>
      <c r="B918" s="2" t="str">
        <f>Datos!B918</f>
        <v>Female</v>
      </c>
      <c r="C918" s="2" t="str">
        <f>Datos!C918</f>
        <v>PhD</v>
      </c>
      <c r="D918" s="2" t="str">
        <f>Datos!G918</f>
        <v>F</v>
      </c>
      <c r="E918" s="2">
        <f>Datos!I918</f>
        <v>1.9</v>
      </c>
      <c r="F918" s="2">
        <f>Datos!J918</f>
        <v>68.5</v>
      </c>
      <c r="G918" s="2">
        <f>Datos!L918</f>
        <v>50.1</v>
      </c>
      <c r="H918" s="2">
        <f>Datos!M918</f>
        <v>56.2</v>
      </c>
      <c r="I918" s="2" t="b">
        <f t="shared" si="70"/>
        <v>1</v>
      </c>
      <c r="J918" s="2">
        <f t="shared" si="71"/>
        <v>56.2</v>
      </c>
      <c r="K918" s="2">
        <f t="shared" si="72"/>
        <v>1.9</v>
      </c>
      <c r="L918" s="2">
        <f t="shared" si="73"/>
        <v>50.1</v>
      </c>
      <c r="M918" s="2">
        <f t="shared" si="74"/>
        <v>68.5</v>
      </c>
    </row>
    <row r="919" spans="1:13" x14ac:dyDescent="0.3">
      <c r="A919" s="2">
        <f>Datos!A919</f>
        <v>233</v>
      </c>
      <c r="B919" s="2" t="str">
        <f>Datos!B919</f>
        <v>Male</v>
      </c>
      <c r="C919" s="2" t="str">
        <f>Datos!C919</f>
        <v>PhD</v>
      </c>
      <c r="D919" s="2" t="str">
        <f>Datos!G919</f>
        <v>B</v>
      </c>
      <c r="E919" s="2">
        <f>Datos!I919</f>
        <v>4.2</v>
      </c>
      <c r="F919" s="2">
        <f>Datos!J919</f>
        <v>72.5</v>
      </c>
      <c r="G919" s="2">
        <f>Datos!L919</f>
        <v>42.4</v>
      </c>
      <c r="H919" s="2">
        <f>Datos!M919</f>
        <v>86</v>
      </c>
      <c r="I919" s="2" t="b">
        <f t="shared" si="70"/>
        <v>1</v>
      </c>
      <c r="J919" s="2">
        <f t="shared" si="71"/>
        <v>86</v>
      </c>
      <c r="K919" s="2">
        <f t="shared" si="72"/>
        <v>4.2</v>
      </c>
      <c r="L919" s="2">
        <f t="shared" si="73"/>
        <v>42.4</v>
      </c>
      <c r="M919" s="2">
        <f t="shared" si="74"/>
        <v>72.5</v>
      </c>
    </row>
    <row r="920" spans="1:13" x14ac:dyDescent="0.3">
      <c r="A920" s="2">
        <f>Datos!A920</f>
        <v>524</v>
      </c>
      <c r="B920" s="2" t="str">
        <f>Datos!B920</f>
        <v>Male</v>
      </c>
      <c r="C920" s="2" t="str">
        <f>Datos!C920</f>
        <v>Bachelors</v>
      </c>
      <c r="D920" s="2" t="str">
        <f>Datos!G920</f>
        <v>F</v>
      </c>
      <c r="E920" s="2">
        <f>Datos!I920</f>
        <v>1.5</v>
      </c>
      <c r="F920" s="2">
        <f>Datos!J920</f>
        <v>80.599999999999994</v>
      </c>
      <c r="G920" s="2">
        <f>Datos!L920</f>
        <v>55.2</v>
      </c>
      <c r="H920" s="2">
        <f>Datos!M920</f>
        <v>57</v>
      </c>
      <c r="I920" s="2" t="b">
        <f t="shared" si="70"/>
        <v>1</v>
      </c>
      <c r="J920" s="2">
        <f t="shared" si="71"/>
        <v>57</v>
      </c>
      <c r="K920" s="2">
        <f t="shared" si="72"/>
        <v>1.5</v>
      </c>
      <c r="L920" s="2">
        <f t="shared" si="73"/>
        <v>55.2</v>
      </c>
      <c r="M920" s="2">
        <f t="shared" si="74"/>
        <v>80.599999999999994</v>
      </c>
    </row>
    <row r="921" spans="1:13" x14ac:dyDescent="0.3">
      <c r="A921" s="2">
        <f>Datos!A921</f>
        <v>555</v>
      </c>
      <c r="B921" s="2" t="str">
        <f>Datos!B921</f>
        <v>Female</v>
      </c>
      <c r="C921" s="2" t="str">
        <f>Datos!C921</f>
        <v>Bachelors</v>
      </c>
      <c r="D921" s="2" t="str">
        <f>Datos!G921</f>
        <v>D</v>
      </c>
      <c r="E921" s="2">
        <f>Datos!I921</f>
        <v>2.8</v>
      </c>
      <c r="F921" s="2">
        <f>Datos!J921</f>
        <v>86.5</v>
      </c>
      <c r="G921" s="2">
        <f>Datos!L921</f>
        <v>37.6</v>
      </c>
      <c r="H921" s="2">
        <f>Datos!M921</f>
        <v>60.2</v>
      </c>
      <c r="I921" s="2" t="b">
        <f t="shared" si="70"/>
        <v>1</v>
      </c>
      <c r="J921" s="2">
        <f t="shared" si="71"/>
        <v>60.2</v>
      </c>
      <c r="K921" s="2">
        <f t="shared" si="72"/>
        <v>2.8</v>
      </c>
      <c r="L921" s="2">
        <f t="shared" si="73"/>
        <v>37.6</v>
      </c>
      <c r="M921" s="2">
        <f t="shared" si="74"/>
        <v>86.5</v>
      </c>
    </row>
    <row r="922" spans="1:13" x14ac:dyDescent="0.3">
      <c r="A922" s="2">
        <f>Datos!A922</f>
        <v>877</v>
      </c>
      <c r="B922" s="2" t="str">
        <f>Datos!B922</f>
        <v>Female</v>
      </c>
      <c r="C922" s="2" t="str">
        <f>Datos!C922</f>
        <v>PhD</v>
      </c>
      <c r="D922" s="2" t="str">
        <f>Datos!G922</f>
        <v>D</v>
      </c>
      <c r="E922" s="2">
        <f>Datos!I922</f>
        <v>4.8</v>
      </c>
      <c r="F922" s="2">
        <f>Datos!J922</f>
        <v>98.4</v>
      </c>
      <c r="G922" s="2">
        <f>Datos!L922</f>
        <v>56.7</v>
      </c>
      <c r="H922" s="2">
        <f>Datos!M922</f>
        <v>68</v>
      </c>
      <c r="I922" s="2" t="b">
        <f t="shared" si="70"/>
        <v>1</v>
      </c>
      <c r="J922" s="2">
        <f t="shared" si="71"/>
        <v>68</v>
      </c>
      <c r="K922" s="2">
        <f t="shared" si="72"/>
        <v>4.8</v>
      </c>
      <c r="L922" s="2">
        <f t="shared" si="73"/>
        <v>56.7</v>
      </c>
      <c r="M922" s="2">
        <f t="shared" si="74"/>
        <v>98.4</v>
      </c>
    </row>
    <row r="923" spans="1:13" x14ac:dyDescent="0.3">
      <c r="A923" s="2">
        <f>Datos!A923</f>
        <v>519</v>
      </c>
      <c r="B923" s="2" t="str">
        <f>Datos!B923</f>
        <v>Female</v>
      </c>
      <c r="C923" s="2" t="str">
        <f>Datos!C923</f>
        <v>High School</v>
      </c>
      <c r="D923" s="2" t="str">
        <f>Datos!G923</f>
        <v>B</v>
      </c>
      <c r="E923" s="2">
        <f>Datos!I923</f>
        <v>4.8</v>
      </c>
      <c r="F923" s="2">
        <f>Datos!J923</f>
        <v>82.2</v>
      </c>
      <c r="G923" s="2">
        <f>Datos!L923</f>
        <v>91.6</v>
      </c>
      <c r="H923" s="2">
        <f>Datos!M923</f>
        <v>83</v>
      </c>
      <c r="I923" s="2" t="b">
        <f t="shared" si="70"/>
        <v>1</v>
      </c>
      <c r="J923" s="2">
        <f t="shared" si="71"/>
        <v>83</v>
      </c>
      <c r="K923" s="2">
        <f t="shared" si="72"/>
        <v>4.8</v>
      </c>
      <c r="L923" s="2">
        <f t="shared" si="73"/>
        <v>91.6</v>
      </c>
      <c r="M923" s="2">
        <f t="shared" si="74"/>
        <v>82.2</v>
      </c>
    </row>
    <row r="924" spans="1:13" x14ac:dyDescent="0.3">
      <c r="A924" s="2">
        <f>Datos!A924</f>
        <v>402</v>
      </c>
      <c r="B924" s="2" t="str">
        <f>Datos!B924</f>
        <v>Male</v>
      </c>
      <c r="C924" s="2" t="str">
        <f>Datos!C924</f>
        <v>High School</v>
      </c>
      <c r="D924" s="2" t="str">
        <f>Datos!G924</f>
        <v>C</v>
      </c>
      <c r="E924" s="2">
        <f>Datos!I924</f>
        <v>2.6</v>
      </c>
      <c r="F924" s="2">
        <f>Datos!J924</f>
        <v>98.7</v>
      </c>
      <c r="G924" s="2">
        <f>Datos!L924</f>
        <v>75.099999999999994</v>
      </c>
      <c r="H924" s="2">
        <f>Datos!M924</f>
        <v>79</v>
      </c>
      <c r="I924" s="2" t="b">
        <f t="shared" si="70"/>
        <v>1</v>
      </c>
      <c r="J924" s="2">
        <f t="shared" si="71"/>
        <v>79</v>
      </c>
      <c r="K924" s="2">
        <f t="shared" si="72"/>
        <v>2.6</v>
      </c>
      <c r="L924" s="2">
        <f t="shared" si="73"/>
        <v>75.099999999999994</v>
      </c>
      <c r="M924" s="2">
        <f t="shared" si="74"/>
        <v>98.7</v>
      </c>
    </row>
    <row r="925" spans="1:13" x14ac:dyDescent="0.3">
      <c r="A925" s="2">
        <f>Datos!A925</f>
        <v>208</v>
      </c>
      <c r="B925" s="2" t="str">
        <f>Datos!B925</f>
        <v>Male</v>
      </c>
      <c r="C925" s="2" t="str">
        <f>Datos!C925</f>
        <v>PhD</v>
      </c>
      <c r="D925" s="2" t="str">
        <f>Datos!G925</f>
        <v>C</v>
      </c>
      <c r="E925" s="2">
        <f>Datos!I925</f>
        <v>1.8</v>
      </c>
      <c r="F925" s="2">
        <f>Datos!J925</f>
        <v>83.5</v>
      </c>
      <c r="G925" s="2">
        <f>Datos!L925</f>
        <v>94.1</v>
      </c>
      <c r="H925" s="2">
        <f>Datos!M925</f>
        <v>77</v>
      </c>
      <c r="I925" s="2" t="b">
        <f t="shared" si="70"/>
        <v>1</v>
      </c>
      <c r="J925" s="2">
        <f t="shared" si="71"/>
        <v>77</v>
      </c>
      <c r="K925" s="2">
        <f t="shared" si="72"/>
        <v>1.8</v>
      </c>
      <c r="L925" s="2">
        <f t="shared" si="73"/>
        <v>94.1</v>
      </c>
      <c r="M925" s="2">
        <f t="shared" si="74"/>
        <v>83.5</v>
      </c>
    </row>
    <row r="926" spans="1:13" x14ac:dyDescent="0.3">
      <c r="A926" s="2">
        <f>Datos!A926</f>
        <v>190</v>
      </c>
      <c r="B926" s="2" t="str">
        <f>Datos!B926</f>
        <v>Female</v>
      </c>
      <c r="C926" s="2" t="str">
        <f>Datos!C926</f>
        <v>Bachelors</v>
      </c>
      <c r="D926" s="2" t="str">
        <f>Datos!G926</f>
        <v>C</v>
      </c>
      <c r="E926" s="2">
        <f>Datos!I926</f>
        <v>6.9</v>
      </c>
      <c r="F926" s="2">
        <f>Datos!J926</f>
        <v>68.3</v>
      </c>
      <c r="G926" s="2">
        <f>Datos!L926</f>
        <v>58</v>
      </c>
      <c r="H926" s="2">
        <f>Datos!M926</f>
        <v>71</v>
      </c>
      <c r="I926" s="2" t="b">
        <f t="shared" si="70"/>
        <v>1</v>
      </c>
      <c r="J926" s="2">
        <f t="shared" si="71"/>
        <v>71</v>
      </c>
      <c r="K926" s="2">
        <f t="shared" si="72"/>
        <v>6.9</v>
      </c>
      <c r="L926" s="2">
        <f t="shared" si="73"/>
        <v>58</v>
      </c>
      <c r="M926" s="2">
        <f t="shared" si="74"/>
        <v>68.3</v>
      </c>
    </row>
    <row r="927" spans="1:13" x14ac:dyDescent="0.3">
      <c r="A927" s="2">
        <f>Datos!A927</f>
        <v>698</v>
      </c>
      <c r="B927" s="2" t="str">
        <f>Datos!B927</f>
        <v>Female</v>
      </c>
      <c r="C927" s="2" t="str">
        <f>Datos!C927</f>
        <v>Masters</v>
      </c>
      <c r="D927" s="2" t="str">
        <f>Datos!G927</f>
        <v>A</v>
      </c>
      <c r="E927" s="2">
        <f>Datos!I927</f>
        <v>6.5</v>
      </c>
      <c r="F927" s="2">
        <f>Datos!J927</f>
        <v>96.8</v>
      </c>
      <c r="G927" s="2">
        <f>Datos!L927</f>
        <v>73.7</v>
      </c>
      <c r="H927" s="2">
        <f>Datos!M927</f>
        <v>93.2</v>
      </c>
      <c r="I927" s="2" t="b">
        <f t="shared" si="70"/>
        <v>1</v>
      </c>
      <c r="J927" s="2">
        <f t="shared" si="71"/>
        <v>93.2</v>
      </c>
      <c r="K927" s="2">
        <f t="shared" si="72"/>
        <v>6.5</v>
      </c>
      <c r="L927" s="2">
        <f t="shared" si="73"/>
        <v>73.7</v>
      </c>
      <c r="M927" s="2">
        <f t="shared" si="74"/>
        <v>96.8</v>
      </c>
    </row>
    <row r="928" spans="1:13" x14ac:dyDescent="0.3">
      <c r="A928" s="2">
        <f>Datos!A928</f>
        <v>421</v>
      </c>
      <c r="B928" s="2" t="str">
        <f>Datos!B928</f>
        <v>Female</v>
      </c>
      <c r="C928" s="2" t="str">
        <f>Datos!C928</f>
        <v>High School</v>
      </c>
      <c r="D928" s="2" t="str">
        <f>Datos!G928</f>
        <v>C</v>
      </c>
      <c r="E928" s="2">
        <f>Datos!I928</f>
        <v>5</v>
      </c>
      <c r="F928" s="2">
        <f>Datos!J928</f>
        <v>72.8</v>
      </c>
      <c r="G928" s="2">
        <f>Datos!L928</f>
        <v>74.2</v>
      </c>
      <c r="H928" s="2">
        <f>Datos!M928</f>
        <v>76.2</v>
      </c>
      <c r="I928" s="2" t="b">
        <f t="shared" si="70"/>
        <v>1</v>
      </c>
      <c r="J928" s="2">
        <f t="shared" si="71"/>
        <v>76.2</v>
      </c>
      <c r="K928" s="2">
        <f t="shared" si="72"/>
        <v>5</v>
      </c>
      <c r="L928" s="2">
        <f t="shared" si="73"/>
        <v>74.2</v>
      </c>
      <c r="M928" s="2">
        <f t="shared" si="74"/>
        <v>72.8</v>
      </c>
    </row>
    <row r="929" spans="1:13" x14ac:dyDescent="0.3">
      <c r="A929" s="2">
        <f>Datos!A929</f>
        <v>599</v>
      </c>
      <c r="B929" s="2" t="str">
        <f>Datos!B929</f>
        <v>Male</v>
      </c>
      <c r="C929" s="2" t="str">
        <f>Datos!C929</f>
        <v>Bachelors</v>
      </c>
      <c r="D929" s="2" t="str">
        <f>Datos!G929</f>
        <v>D</v>
      </c>
      <c r="E929" s="2">
        <f>Datos!I929</f>
        <v>3.2</v>
      </c>
      <c r="F929" s="2">
        <f>Datos!J929</f>
        <v>75.900000000000006</v>
      </c>
      <c r="G929" s="2">
        <f>Datos!L929</f>
        <v>47.1</v>
      </c>
      <c r="H929" s="2">
        <f>Datos!M929</f>
        <v>61.8</v>
      </c>
      <c r="I929" s="2" t="b">
        <f t="shared" si="70"/>
        <v>1</v>
      </c>
      <c r="J929" s="2">
        <f t="shared" si="71"/>
        <v>61.8</v>
      </c>
      <c r="K929" s="2">
        <f t="shared" si="72"/>
        <v>3.2</v>
      </c>
      <c r="L929" s="2">
        <f t="shared" si="73"/>
        <v>47.1</v>
      </c>
      <c r="M929" s="2">
        <f t="shared" si="74"/>
        <v>75.900000000000006</v>
      </c>
    </row>
    <row r="930" spans="1:13" x14ac:dyDescent="0.3">
      <c r="A930" s="2">
        <f>Datos!A930</f>
        <v>800</v>
      </c>
      <c r="B930" s="2" t="str">
        <f>Datos!B930</f>
        <v>Male</v>
      </c>
      <c r="C930" s="2" t="str">
        <f>Datos!C930</f>
        <v>High School</v>
      </c>
      <c r="D930" s="2" t="str">
        <f>Datos!G930</f>
        <v>C</v>
      </c>
      <c r="E930" s="2">
        <f>Datos!I930</f>
        <v>3.8</v>
      </c>
      <c r="F930" s="2">
        <f>Datos!J930</f>
        <v>92.5</v>
      </c>
      <c r="G930" s="2">
        <f>Datos!L930</f>
        <v>76.5</v>
      </c>
      <c r="H930" s="2">
        <f>Datos!M930</f>
        <v>73.8</v>
      </c>
      <c r="I930" s="2" t="b">
        <f t="shared" si="70"/>
        <v>1</v>
      </c>
      <c r="J930" s="2">
        <f t="shared" si="71"/>
        <v>73.8</v>
      </c>
      <c r="K930" s="2">
        <f t="shared" si="72"/>
        <v>3.8</v>
      </c>
      <c r="L930" s="2">
        <f t="shared" si="73"/>
        <v>76.5</v>
      </c>
      <c r="M930" s="2">
        <f t="shared" si="74"/>
        <v>92.5</v>
      </c>
    </row>
    <row r="931" spans="1:13" x14ac:dyDescent="0.3">
      <c r="A931" s="2">
        <f>Datos!A931</f>
        <v>37</v>
      </c>
      <c r="B931" s="2" t="str">
        <f>Datos!B931</f>
        <v>Male</v>
      </c>
      <c r="C931" s="2" t="str">
        <f>Datos!C931</f>
        <v>Masters</v>
      </c>
      <c r="D931" s="2" t="str">
        <f>Datos!G931</f>
        <v>B</v>
      </c>
      <c r="E931" s="2">
        <f>Datos!I931</f>
        <v>5.7</v>
      </c>
      <c r="F931" s="2">
        <f>Datos!J931</f>
        <v>83.6</v>
      </c>
      <c r="G931" s="2">
        <f>Datos!L931</f>
        <v>76.7</v>
      </c>
      <c r="H931" s="2">
        <f>Datos!M931</f>
        <v>86.7</v>
      </c>
      <c r="I931" s="2" t="b">
        <f t="shared" si="70"/>
        <v>1</v>
      </c>
      <c r="J931" s="2">
        <f t="shared" si="71"/>
        <v>86.7</v>
      </c>
      <c r="K931" s="2">
        <f t="shared" si="72"/>
        <v>5.7</v>
      </c>
      <c r="L931" s="2">
        <f t="shared" si="73"/>
        <v>76.7</v>
      </c>
      <c r="M931" s="2">
        <f t="shared" si="74"/>
        <v>83.6</v>
      </c>
    </row>
    <row r="932" spans="1:13" x14ac:dyDescent="0.3">
      <c r="A932" s="2">
        <f>Datos!A932</f>
        <v>271</v>
      </c>
      <c r="B932" s="2" t="str">
        <f>Datos!B932</f>
        <v>Male</v>
      </c>
      <c r="C932" s="2" t="str">
        <f>Datos!C932</f>
        <v>High School</v>
      </c>
      <c r="D932" s="2" t="str">
        <f>Datos!G932</f>
        <v>A</v>
      </c>
      <c r="E932" s="2">
        <f>Datos!I932</f>
        <v>5</v>
      </c>
      <c r="F932" s="2">
        <f>Datos!J932</f>
        <v>98.5</v>
      </c>
      <c r="G932" s="2">
        <f>Datos!L932</f>
        <v>94.9</v>
      </c>
      <c r="H932" s="2">
        <f>Datos!M932</f>
        <v>98.4</v>
      </c>
      <c r="I932" s="2" t="b">
        <f t="shared" si="70"/>
        <v>1</v>
      </c>
      <c r="J932" s="2">
        <f t="shared" si="71"/>
        <v>98.4</v>
      </c>
      <c r="K932" s="2">
        <f t="shared" si="72"/>
        <v>5</v>
      </c>
      <c r="L932" s="2">
        <f t="shared" si="73"/>
        <v>94.9</v>
      </c>
      <c r="M932" s="2">
        <f t="shared" si="74"/>
        <v>98.5</v>
      </c>
    </row>
    <row r="933" spans="1:13" x14ac:dyDescent="0.3">
      <c r="A933" s="2">
        <f>Datos!A933</f>
        <v>159</v>
      </c>
      <c r="B933" s="2" t="str">
        <f>Datos!B933</f>
        <v>Male</v>
      </c>
      <c r="C933" s="2" t="str">
        <f>Datos!C933</f>
        <v>High School</v>
      </c>
      <c r="D933" s="2" t="str">
        <f>Datos!G933</f>
        <v>F</v>
      </c>
      <c r="E933" s="2">
        <f>Datos!I933</f>
        <v>1.1000000000000001</v>
      </c>
      <c r="F933" s="2">
        <f>Datos!J933</f>
        <v>67.7</v>
      </c>
      <c r="G933" s="2">
        <f>Datos!L933</f>
        <v>37.1</v>
      </c>
      <c r="H933" s="2">
        <f>Datos!M933</f>
        <v>53.4</v>
      </c>
      <c r="I933" s="2" t="b">
        <f t="shared" si="70"/>
        <v>1</v>
      </c>
      <c r="J933" s="2">
        <f t="shared" si="71"/>
        <v>53.4</v>
      </c>
      <c r="K933" s="2">
        <f t="shared" si="72"/>
        <v>1.1000000000000001</v>
      </c>
      <c r="L933" s="2">
        <f t="shared" si="73"/>
        <v>37.1</v>
      </c>
      <c r="M933" s="2">
        <f t="shared" si="74"/>
        <v>67.7</v>
      </c>
    </row>
    <row r="934" spans="1:13" x14ac:dyDescent="0.3">
      <c r="A934" s="2">
        <f>Datos!A934</f>
        <v>639</v>
      </c>
      <c r="B934" s="2" t="str">
        <f>Datos!B934</f>
        <v>Male</v>
      </c>
      <c r="C934" s="2">
        <f>Datos!C934</f>
        <v>0</v>
      </c>
      <c r="D934" s="2" t="str">
        <f>Datos!G934</f>
        <v>F</v>
      </c>
      <c r="E934" s="2">
        <f>Datos!I934</f>
        <v>4.5</v>
      </c>
      <c r="F934" s="2">
        <f>Datos!J934</f>
        <v>83.5</v>
      </c>
      <c r="G934" s="2">
        <f>Datos!L934</f>
        <v>89.7</v>
      </c>
      <c r="H934" s="2">
        <f>Datos!M934</f>
        <v>55.8</v>
      </c>
      <c r="I934" s="2" t="b">
        <f t="shared" si="70"/>
        <v>1</v>
      </c>
      <c r="J934" s="2">
        <f t="shared" si="71"/>
        <v>55.8</v>
      </c>
      <c r="K934" s="2">
        <f t="shared" si="72"/>
        <v>4.5</v>
      </c>
      <c r="L934" s="2">
        <f t="shared" si="73"/>
        <v>89.7</v>
      </c>
      <c r="M934" s="2">
        <f t="shared" si="74"/>
        <v>83.5</v>
      </c>
    </row>
    <row r="935" spans="1:13" x14ac:dyDescent="0.3">
      <c r="A935" s="2">
        <f>Datos!A935</f>
        <v>111</v>
      </c>
      <c r="B935" s="2" t="str">
        <f>Datos!B935</f>
        <v>Female</v>
      </c>
      <c r="C935" s="2" t="str">
        <f>Datos!C935</f>
        <v>High School</v>
      </c>
      <c r="D935" s="2" t="str">
        <f>Datos!G935</f>
        <v>B</v>
      </c>
      <c r="E935" s="2">
        <f>Datos!I935</f>
        <v>6.5</v>
      </c>
      <c r="F935" s="2">
        <f>Datos!J935</f>
        <v>80.3</v>
      </c>
      <c r="G935" s="2">
        <f>Datos!L935</f>
        <v>38.700000000000003</v>
      </c>
      <c r="H935" s="2">
        <f>Datos!M935</f>
        <v>82.8</v>
      </c>
      <c r="I935" s="2" t="b">
        <f t="shared" si="70"/>
        <v>1</v>
      </c>
      <c r="J935" s="2">
        <f t="shared" si="71"/>
        <v>82.8</v>
      </c>
      <c r="K935" s="2">
        <f t="shared" si="72"/>
        <v>6.5</v>
      </c>
      <c r="L935" s="2">
        <f t="shared" si="73"/>
        <v>38.700000000000003</v>
      </c>
      <c r="M935" s="2">
        <f t="shared" si="74"/>
        <v>80.3</v>
      </c>
    </row>
    <row r="936" spans="1:13" x14ac:dyDescent="0.3">
      <c r="A936" s="2">
        <f>Datos!A936</f>
        <v>197</v>
      </c>
      <c r="B936" s="2" t="str">
        <f>Datos!B936</f>
        <v>Male</v>
      </c>
      <c r="C936" s="2" t="str">
        <f>Datos!C936</f>
        <v>High School</v>
      </c>
      <c r="D936" s="2" t="str">
        <f>Datos!G936</f>
        <v>D</v>
      </c>
      <c r="E936" s="2">
        <f>Datos!I936</f>
        <v>1.4</v>
      </c>
      <c r="F936" s="2">
        <f>Datos!J936</f>
        <v>94</v>
      </c>
      <c r="G936" s="2">
        <f>Datos!L936</f>
        <v>73.3</v>
      </c>
      <c r="H936" s="2">
        <f>Datos!M936</f>
        <v>68</v>
      </c>
      <c r="I936" s="2" t="b">
        <f t="shared" si="70"/>
        <v>1</v>
      </c>
      <c r="J936" s="2">
        <f t="shared" si="71"/>
        <v>68</v>
      </c>
      <c r="K936" s="2">
        <f t="shared" si="72"/>
        <v>1.4</v>
      </c>
      <c r="L936" s="2">
        <f t="shared" si="73"/>
        <v>73.3</v>
      </c>
      <c r="M936" s="2">
        <f t="shared" si="74"/>
        <v>94</v>
      </c>
    </row>
    <row r="937" spans="1:13" x14ac:dyDescent="0.3">
      <c r="A937" s="2">
        <f>Datos!A937</f>
        <v>487</v>
      </c>
      <c r="B937" s="2" t="str">
        <f>Datos!B937</f>
        <v>Male</v>
      </c>
      <c r="C937" s="2" t="str">
        <f>Datos!C937</f>
        <v>PhD</v>
      </c>
      <c r="D937" s="2" t="str">
        <f>Datos!G937</f>
        <v>B</v>
      </c>
      <c r="E937" s="2">
        <f>Datos!I937</f>
        <v>6.4</v>
      </c>
      <c r="F937" s="2">
        <f>Datos!J937</f>
        <v>75.599999999999994</v>
      </c>
      <c r="G937" s="2">
        <f>Datos!L937</f>
        <v>80.599999999999994</v>
      </c>
      <c r="H937" s="2">
        <f>Datos!M937</f>
        <v>88</v>
      </c>
      <c r="I937" s="2" t="b">
        <f t="shared" si="70"/>
        <v>1</v>
      </c>
      <c r="J937" s="2">
        <f t="shared" si="71"/>
        <v>88</v>
      </c>
      <c r="K937" s="2">
        <f t="shared" si="72"/>
        <v>6.4</v>
      </c>
      <c r="L937" s="2">
        <f t="shared" si="73"/>
        <v>80.599999999999994</v>
      </c>
      <c r="M937" s="2">
        <f t="shared" si="74"/>
        <v>75.599999999999994</v>
      </c>
    </row>
    <row r="938" spans="1:13" x14ac:dyDescent="0.3">
      <c r="A938" s="2">
        <f>Datos!A938</f>
        <v>18</v>
      </c>
      <c r="B938" s="2" t="str">
        <f>Datos!B938</f>
        <v>Male</v>
      </c>
      <c r="C938" s="2" t="str">
        <f>Datos!C938</f>
        <v>Bachelors</v>
      </c>
      <c r="D938" s="2" t="str">
        <f>Datos!G938</f>
        <v>F</v>
      </c>
      <c r="E938" s="2">
        <f>Datos!I938</f>
        <v>1.2</v>
      </c>
      <c r="F938" s="2">
        <f>Datos!J938</f>
        <v>88.5</v>
      </c>
      <c r="G938" s="2">
        <f>Datos!L938</f>
        <v>67</v>
      </c>
      <c r="H938" s="2">
        <f>Datos!M938</f>
        <v>49.9</v>
      </c>
      <c r="I938" s="2" t="b">
        <f t="shared" si="70"/>
        <v>1</v>
      </c>
      <c r="J938" s="2">
        <f t="shared" si="71"/>
        <v>49.9</v>
      </c>
      <c r="K938" s="2">
        <f t="shared" si="72"/>
        <v>1.2</v>
      </c>
      <c r="L938" s="2">
        <f t="shared" si="73"/>
        <v>67</v>
      </c>
      <c r="M938" s="2">
        <f t="shared" si="74"/>
        <v>88.5</v>
      </c>
    </row>
    <row r="939" spans="1:13" x14ac:dyDescent="0.3">
      <c r="A939" s="2">
        <f>Datos!A939</f>
        <v>269</v>
      </c>
      <c r="B939" s="2" t="str">
        <f>Datos!B939</f>
        <v>Male</v>
      </c>
      <c r="C939" s="2">
        <f>Datos!C939</f>
        <v>0</v>
      </c>
      <c r="D939" s="2" t="str">
        <f>Datos!G939</f>
        <v>C</v>
      </c>
      <c r="E939" s="2">
        <f>Datos!I939</f>
        <v>2</v>
      </c>
      <c r="F939" s="2">
        <f>Datos!J939</f>
        <v>83.5</v>
      </c>
      <c r="G939" s="2">
        <f>Datos!L939</f>
        <v>80.900000000000006</v>
      </c>
      <c r="H939" s="2">
        <f>Datos!M939</f>
        <v>76.3</v>
      </c>
      <c r="I939" s="2" t="b">
        <f t="shared" si="70"/>
        <v>1</v>
      </c>
      <c r="J939" s="2">
        <f t="shared" si="71"/>
        <v>76.3</v>
      </c>
      <c r="K939" s="2">
        <f t="shared" si="72"/>
        <v>2</v>
      </c>
      <c r="L939" s="2">
        <f t="shared" si="73"/>
        <v>80.900000000000006</v>
      </c>
      <c r="M939" s="2">
        <f t="shared" si="74"/>
        <v>83.5</v>
      </c>
    </row>
    <row r="940" spans="1:13" x14ac:dyDescent="0.3">
      <c r="A940" s="2">
        <f>Datos!A940</f>
        <v>25</v>
      </c>
      <c r="B940" s="2" t="str">
        <f>Datos!B940</f>
        <v>Male</v>
      </c>
      <c r="C940" s="2">
        <f>Datos!C940</f>
        <v>0</v>
      </c>
      <c r="D940" s="2" t="str">
        <f>Datos!G940</f>
        <v>C</v>
      </c>
      <c r="E940" s="2">
        <f>Datos!I940</f>
        <v>6.5</v>
      </c>
      <c r="F940" s="2">
        <f>Datos!J940</f>
        <v>78.900000000000006</v>
      </c>
      <c r="G940" s="2">
        <f>Datos!L940</f>
        <v>52.2</v>
      </c>
      <c r="H940" s="2">
        <f>Datos!M940</f>
        <v>74.099999999999994</v>
      </c>
      <c r="I940" s="2" t="b">
        <f t="shared" si="70"/>
        <v>1</v>
      </c>
      <c r="J940" s="2">
        <f t="shared" si="71"/>
        <v>74.099999999999994</v>
      </c>
      <c r="K940" s="2">
        <f t="shared" si="72"/>
        <v>6.5</v>
      </c>
      <c r="L940" s="2">
        <f t="shared" si="73"/>
        <v>52.2</v>
      </c>
      <c r="M940" s="2">
        <f t="shared" si="74"/>
        <v>78.900000000000006</v>
      </c>
    </row>
    <row r="941" spans="1:13" x14ac:dyDescent="0.3">
      <c r="A941" s="2">
        <f>Datos!A941</f>
        <v>381</v>
      </c>
      <c r="B941" s="2" t="str">
        <f>Datos!B941</f>
        <v>Female</v>
      </c>
      <c r="C941" s="2">
        <f>Datos!C941</f>
        <v>0</v>
      </c>
      <c r="D941" s="2" t="str">
        <f>Datos!G941</f>
        <v>A</v>
      </c>
      <c r="E941" s="2">
        <f>Datos!I941</f>
        <v>6.2</v>
      </c>
      <c r="F941" s="2">
        <f>Datos!J941</f>
        <v>97.4</v>
      </c>
      <c r="G941" s="2">
        <f>Datos!L941</f>
        <v>49.9</v>
      </c>
      <c r="H941" s="2">
        <f>Datos!M941</f>
        <v>93.5</v>
      </c>
      <c r="I941" s="2" t="b">
        <f t="shared" si="70"/>
        <v>1</v>
      </c>
      <c r="J941" s="2">
        <f t="shared" si="71"/>
        <v>93.5</v>
      </c>
      <c r="K941" s="2">
        <f t="shared" si="72"/>
        <v>6.2</v>
      </c>
      <c r="L941" s="2">
        <f t="shared" si="73"/>
        <v>49.9</v>
      </c>
      <c r="M941" s="2">
        <f t="shared" si="74"/>
        <v>97.4</v>
      </c>
    </row>
    <row r="942" spans="1:13" x14ac:dyDescent="0.3">
      <c r="A942" s="2">
        <f>Datos!A942</f>
        <v>931</v>
      </c>
      <c r="B942" s="2" t="str">
        <f>Datos!B942</f>
        <v>Female</v>
      </c>
      <c r="C942" s="2" t="str">
        <f>Datos!C942</f>
        <v>Bachelors</v>
      </c>
      <c r="D942" s="2" t="str">
        <f>Datos!G942</f>
        <v>C</v>
      </c>
      <c r="E942" s="2">
        <f>Datos!I942</f>
        <v>4.2</v>
      </c>
      <c r="F942" s="2">
        <f>Datos!J942</f>
        <v>88.4</v>
      </c>
      <c r="G942" s="2">
        <f>Datos!L942</f>
        <v>67.400000000000006</v>
      </c>
      <c r="H942" s="2">
        <f>Datos!M942</f>
        <v>73.2</v>
      </c>
      <c r="I942" s="2" t="b">
        <f t="shared" si="70"/>
        <v>1</v>
      </c>
      <c r="J942" s="2">
        <f t="shared" si="71"/>
        <v>73.2</v>
      </c>
      <c r="K942" s="2">
        <f t="shared" si="72"/>
        <v>4.2</v>
      </c>
      <c r="L942" s="2">
        <f t="shared" si="73"/>
        <v>67.400000000000006</v>
      </c>
      <c r="M942" s="2">
        <f t="shared" si="74"/>
        <v>88.4</v>
      </c>
    </row>
    <row r="943" spans="1:13" x14ac:dyDescent="0.3">
      <c r="A943" s="2">
        <f>Datos!A943</f>
        <v>909</v>
      </c>
      <c r="B943" s="2" t="str">
        <f>Datos!B943</f>
        <v>Male</v>
      </c>
      <c r="C943" s="2" t="str">
        <f>Datos!C943</f>
        <v>Masters</v>
      </c>
      <c r="D943" s="2" t="str">
        <f>Datos!G943</f>
        <v>B</v>
      </c>
      <c r="E943" s="2">
        <f>Datos!I943</f>
        <v>6</v>
      </c>
      <c r="F943" s="2">
        <f>Datos!J943</f>
        <v>69</v>
      </c>
      <c r="G943" s="2">
        <f>Datos!L943</f>
        <v>47.8</v>
      </c>
      <c r="H943" s="2">
        <f>Datos!M943</f>
        <v>85.5</v>
      </c>
      <c r="I943" s="2" t="b">
        <f t="shared" si="70"/>
        <v>1</v>
      </c>
      <c r="J943" s="2">
        <f t="shared" si="71"/>
        <v>85.5</v>
      </c>
      <c r="K943" s="2">
        <f t="shared" si="72"/>
        <v>6</v>
      </c>
      <c r="L943" s="2">
        <f t="shared" si="73"/>
        <v>47.8</v>
      </c>
      <c r="M943" s="2">
        <f t="shared" si="74"/>
        <v>69</v>
      </c>
    </row>
    <row r="944" spans="1:13" x14ac:dyDescent="0.3">
      <c r="A944" s="2">
        <f>Datos!A944</f>
        <v>182</v>
      </c>
      <c r="B944" s="2" t="str">
        <f>Datos!B944</f>
        <v>Female</v>
      </c>
      <c r="C944" s="2" t="str">
        <f>Datos!C944</f>
        <v>Masters</v>
      </c>
      <c r="D944" s="2" t="str">
        <f>Datos!G944</f>
        <v>B</v>
      </c>
      <c r="E944" s="2">
        <f>Datos!I944</f>
        <v>5</v>
      </c>
      <c r="F944" s="2">
        <f>Datos!J944</f>
        <v>99.4</v>
      </c>
      <c r="G944" s="2">
        <f>Datos!L944</f>
        <v>78.8</v>
      </c>
      <c r="H944" s="2">
        <f>Datos!M944</f>
        <v>86.8</v>
      </c>
      <c r="I944" s="2" t="b">
        <f t="shared" si="70"/>
        <v>1</v>
      </c>
      <c r="J944" s="2">
        <f t="shared" si="71"/>
        <v>86.8</v>
      </c>
      <c r="K944" s="2">
        <f t="shared" si="72"/>
        <v>5</v>
      </c>
      <c r="L944" s="2">
        <f t="shared" si="73"/>
        <v>78.8</v>
      </c>
      <c r="M944" s="2">
        <f t="shared" si="74"/>
        <v>99.4</v>
      </c>
    </row>
    <row r="945" spans="1:13" x14ac:dyDescent="0.3">
      <c r="A945" s="2">
        <f>Datos!A945</f>
        <v>265</v>
      </c>
      <c r="B945" s="2" t="str">
        <f>Datos!B945</f>
        <v>Male</v>
      </c>
      <c r="C945" s="2" t="str">
        <f>Datos!C945</f>
        <v>Masters</v>
      </c>
      <c r="D945" s="2" t="str">
        <f>Datos!G945</f>
        <v>A</v>
      </c>
      <c r="E945" s="2">
        <f>Datos!I945</f>
        <v>6</v>
      </c>
      <c r="F945" s="2">
        <f>Datos!J945</f>
        <v>73.3</v>
      </c>
      <c r="G945" s="2">
        <f>Datos!L945</f>
        <v>94.2</v>
      </c>
      <c r="H945" s="2">
        <f>Datos!M945</f>
        <v>92.9</v>
      </c>
      <c r="I945" s="2" t="b">
        <f t="shared" si="70"/>
        <v>1</v>
      </c>
      <c r="J945" s="2">
        <f t="shared" si="71"/>
        <v>92.9</v>
      </c>
      <c r="K945" s="2">
        <f t="shared" si="72"/>
        <v>6</v>
      </c>
      <c r="L945" s="2">
        <f t="shared" si="73"/>
        <v>94.2</v>
      </c>
      <c r="M945" s="2">
        <f t="shared" si="74"/>
        <v>73.3</v>
      </c>
    </row>
    <row r="946" spans="1:13" x14ac:dyDescent="0.3">
      <c r="A946" s="2">
        <f>Datos!A946</f>
        <v>815</v>
      </c>
      <c r="B946" s="2" t="str">
        <f>Datos!B946</f>
        <v>Male</v>
      </c>
      <c r="C946" s="2" t="str">
        <f>Datos!C946</f>
        <v>High School</v>
      </c>
      <c r="D946" s="2" t="str">
        <f>Datos!G946</f>
        <v>C</v>
      </c>
      <c r="E946" s="2">
        <f>Datos!I946</f>
        <v>4</v>
      </c>
      <c r="F946" s="2">
        <f>Datos!J946</f>
        <v>76.900000000000006</v>
      </c>
      <c r="G946" s="2">
        <f>Datos!L946</f>
        <v>44.5</v>
      </c>
      <c r="H946" s="2">
        <f>Datos!M946</f>
        <v>74.900000000000006</v>
      </c>
      <c r="I946" s="2" t="b">
        <f t="shared" si="70"/>
        <v>1</v>
      </c>
      <c r="J946" s="2">
        <f t="shared" si="71"/>
        <v>74.900000000000006</v>
      </c>
      <c r="K946" s="2">
        <f t="shared" si="72"/>
        <v>4</v>
      </c>
      <c r="L946" s="2">
        <f t="shared" si="73"/>
        <v>44.5</v>
      </c>
      <c r="M946" s="2">
        <f t="shared" si="74"/>
        <v>76.900000000000006</v>
      </c>
    </row>
    <row r="947" spans="1:13" x14ac:dyDescent="0.3">
      <c r="A947" s="2">
        <f>Datos!A947</f>
        <v>457</v>
      </c>
      <c r="B947" s="2" t="str">
        <f>Datos!B947</f>
        <v>Female</v>
      </c>
      <c r="C947" s="2" t="str">
        <f>Datos!C947</f>
        <v>Bachelors</v>
      </c>
      <c r="D947" s="2" t="str">
        <f>Datos!G947</f>
        <v>A</v>
      </c>
      <c r="E947" s="2">
        <f>Datos!I947</f>
        <v>5.5</v>
      </c>
      <c r="F947" s="2">
        <f>Datos!J947</f>
        <v>74.400000000000006</v>
      </c>
      <c r="G947" s="2">
        <f>Datos!L947</f>
        <v>92.1</v>
      </c>
      <c r="H947" s="2">
        <f>Datos!M947</f>
        <v>93.2</v>
      </c>
      <c r="I947" s="2" t="b">
        <f t="shared" si="70"/>
        <v>1</v>
      </c>
      <c r="J947" s="2">
        <f t="shared" si="71"/>
        <v>93.2</v>
      </c>
      <c r="K947" s="2">
        <f t="shared" si="72"/>
        <v>5.5</v>
      </c>
      <c r="L947" s="2">
        <f t="shared" si="73"/>
        <v>92.1</v>
      </c>
      <c r="M947" s="2">
        <f t="shared" si="74"/>
        <v>74.400000000000006</v>
      </c>
    </row>
    <row r="948" spans="1:13" x14ac:dyDescent="0.3">
      <c r="A948" s="2">
        <f>Datos!A948</f>
        <v>570</v>
      </c>
      <c r="B948" s="2" t="str">
        <f>Datos!B948</f>
        <v>Female</v>
      </c>
      <c r="C948" s="2" t="str">
        <f>Datos!C948</f>
        <v>High School</v>
      </c>
      <c r="D948" s="2" t="str">
        <f>Datos!G948</f>
        <v>C</v>
      </c>
      <c r="E948" s="2">
        <f>Datos!I948</f>
        <v>3.6</v>
      </c>
      <c r="F948" s="2">
        <f>Datos!J948</f>
        <v>95.6</v>
      </c>
      <c r="G948" s="2">
        <f>Datos!L948</f>
        <v>85.6</v>
      </c>
      <c r="H948" s="2">
        <f>Datos!M948</f>
        <v>75.900000000000006</v>
      </c>
      <c r="I948" s="2" t="b">
        <f t="shared" si="70"/>
        <v>1</v>
      </c>
      <c r="J948" s="2">
        <f t="shared" si="71"/>
        <v>75.900000000000006</v>
      </c>
      <c r="K948" s="2">
        <f t="shared" si="72"/>
        <v>3.6</v>
      </c>
      <c r="L948" s="2">
        <f t="shared" si="73"/>
        <v>85.6</v>
      </c>
      <c r="M948" s="2">
        <f t="shared" si="74"/>
        <v>95.6</v>
      </c>
    </row>
    <row r="949" spans="1:13" x14ac:dyDescent="0.3">
      <c r="A949" s="2">
        <f>Datos!A949</f>
        <v>310</v>
      </c>
      <c r="B949" s="2" t="str">
        <f>Datos!B949</f>
        <v>Male</v>
      </c>
      <c r="C949" s="2" t="str">
        <f>Datos!C949</f>
        <v>High School</v>
      </c>
      <c r="D949" s="2" t="str">
        <f>Datos!G949</f>
        <v>D</v>
      </c>
      <c r="E949" s="2">
        <f>Datos!I949</f>
        <v>5</v>
      </c>
      <c r="F949" s="2">
        <f>Datos!J949</f>
        <v>89</v>
      </c>
      <c r="G949" s="2">
        <f>Datos!L949</f>
        <v>39.5</v>
      </c>
      <c r="H949" s="2">
        <f>Datos!M949</f>
        <v>65</v>
      </c>
      <c r="I949" s="2" t="b">
        <f t="shared" si="70"/>
        <v>1</v>
      </c>
      <c r="J949" s="2">
        <f t="shared" si="71"/>
        <v>65</v>
      </c>
      <c r="K949" s="2">
        <f t="shared" si="72"/>
        <v>5</v>
      </c>
      <c r="L949" s="2">
        <f t="shared" si="73"/>
        <v>39.5</v>
      </c>
      <c r="M949" s="2">
        <f t="shared" si="74"/>
        <v>89</v>
      </c>
    </row>
    <row r="950" spans="1:13" x14ac:dyDescent="0.3">
      <c r="A950" s="2">
        <f>Datos!A950</f>
        <v>399</v>
      </c>
      <c r="B950" s="2" t="str">
        <f>Datos!B950</f>
        <v>Female</v>
      </c>
      <c r="C950" s="2" t="str">
        <f>Datos!C950</f>
        <v>Masters</v>
      </c>
      <c r="D950" s="2" t="str">
        <f>Datos!G950</f>
        <v>B</v>
      </c>
      <c r="E950" s="2">
        <f>Datos!I950</f>
        <v>2.4</v>
      </c>
      <c r="F950" s="2">
        <f>Datos!J950</f>
        <v>93.1</v>
      </c>
      <c r="G950" s="2">
        <f>Datos!L950</f>
        <v>94.9</v>
      </c>
      <c r="H950" s="2">
        <f>Datos!M950</f>
        <v>80.599999999999994</v>
      </c>
      <c r="I950" s="2" t="b">
        <f t="shared" si="70"/>
        <v>1</v>
      </c>
      <c r="J950" s="2">
        <f t="shared" si="71"/>
        <v>80.599999999999994</v>
      </c>
      <c r="K950" s="2">
        <f t="shared" si="72"/>
        <v>2.4</v>
      </c>
      <c r="L950" s="2">
        <f t="shared" si="73"/>
        <v>94.9</v>
      </c>
      <c r="M950" s="2">
        <f t="shared" si="74"/>
        <v>93.1</v>
      </c>
    </row>
    <row r="951" spans="1:13" x14ac:dyDescent="0.3">
      <c r="A951" s="2">
        <f>Datos!A951</f>
        <v>578</v>
      </c>
      <c r="B951" s="2" t="str">
        <f>Datos!B951</f>
        <v>Male</v>
      </c>
      <c r="C951" s="2">
        <f>Datos!C951</f>
        <v>0</v>
      </c>
      <c r="D951" s="2" t="str">
        <f>Datos!G951</f>
        <v>D</v>
      </c>
      <c r="E951" s="2">
        <f>Datos!I951</f>
        <v>0.6</v>
      </c>
      <c r="F951" s="2">
        <f>Datos!J951</f>
        <v>66.8</v>
      </c>
      <c r="G951" s="2">
        <f>Datos!L951</f>
        <v>49.7</v>
      </c>
      <c r="H951" s="2">
        <f>Datos!M951</f>
        <v>66.2</v>
      </c>
      <c r="I951" s="2" t="b">
        <f t="shared" si="70"/>
        <v>1</v>
      </c>
      <c r="J951" s="2">
        <f t="shared" si="71"/>
        <v>66.2</v>
      </c>
      <c r="K951" s="2">
        <f t="shared" si="72"/>
        <v>0.6</v>
      </c>
      <c r="L951" s="2">
        <f t="shared" si="73"/>
        <v>49.7</v>
      </c>
      <c r="M951" s="2">
        <f t="shared" si="74"/>
        <v>66.8</v>
      </c>
    </row>
    <row r="952" spans="1:13" x14ac:dyDescent="0.3">
      <c r="A952" s="2">
        <f>Datos!A952</f>
        <v>633</v>
      </c>
      <c r="B952" s="2" t="str">
        <f>Datos!B952</f>
        <v>Male</v>
      </c>
      <c r="C952" s="2" t="str">
        <f>Datos!C952</f>
        <v>PhD</v>
      </c>
      <c r="D952" s="2" t="str">
        <f>Datos!G952</f>
        <v>C</v>
      </c>
      <c r="E952" s="2">
        <f>Datos!I952</f>
        <v>1.1000000000000001</v>
      </c>
      <c r="F952" s="2">
        <f>Datos!J952</f>
        <v>67.2</v>
      </c>
      <c r="G952" s="2">
        <f>Datos!L952</f>
        <v>85.4</v>
      </c>
      <c r="H952" s="2">
        <f>Datos!M952</f>
        <v>71</v>
      </c>
      <c r="I952" s="2" t="b">
        <f t="shared" si="70"/>
        <v>1</v>
      </c>
      <c r="J952" s="2">
        <f t="shared" si="71"/>
        <v>71</v>
      </c>
      <c r="K952" s="2">
        <f t="shared" si="72"/>
        <v>1.1000000000000001</v>
      </c>
      <c r="L952" s="2">
        <f t="shared" si="73"/>
        <v>85.4</v>
      </c>
      <c r="M952" s="2">
        <f t="shared" si="74"/>
        <v>67.2</v>
      </c>
    </row>
    <row r="953" spans="1:13" x14ac:dyDescent="0.3">
      <c r="A953" s="2">
        <f>Datos!A953</f>
        <v>378</v>
      </c>
      <c r="B953" s="2" t="str">
        <f>Datos!B953</f>
        <v>Male</v>
      </c>
      <c r="C953" s="2" t="str">
        <f>Datos!C953</f>
        <v>Masters</v>
      </c>
      <c r="D953" s="2" t="str">
        <f>Datos!G953</f>
        <v>D</v>
      </c>
      <c r="E953" s="2">
        <f>Datos!I953</f>
        <v>0.9</v>
      </c>
      <c r="F953" s="2">
        <f>Datos!J953</f>
        <v>94.2</v>
      </c>
      <c r="G953" s="2">
        <f>Datos!L953</f>
        <v>66</v>
      </c>
      <c r="H953" s="2">
        <f>Datos!M953</f>
        <v>64</v>
      </c>
      <c r="I953" s="2" t="b">
        <f t="shared" si="70"/>
        <v>1</v>
      </c>
      <c r="J953" s="2">
        <f t="shared" si="71"/>
        <v>64</v>
      </c>
      <c r="K953" s="2">
        <f t="shared" si="72"/>
        <v>0.9</v>
      </c>
      <c r="L953" s="2">
        <f t="shared" si="73"/>
        <v>66</v>
      </c>
      <c r="M953" s="2">
        <f t="shared" si="74"/>
        <v>94.2</v>
      </c>
    </row>
    <row r="954" spans="1:13" x14ac:dyDescent="0.3">
      <c r="A954" s="2">
        <f>Datos!A954</f>
        <v>581</v>
      </c>
      <c r="B954" s="2" t="str">
        <f>Datos!B954</f>
        <v>Male</v>
      </c>
      <c r="C954" s="2" t="str">
        <f>Datos!C954</f>
        <v>PhD</v>
      </c>
      <c r="D954" s="2" t="str">
        <f>Datos!G954</f>
        <v>C</v>
      </c>
      <c r="E954" s="2">
        <f>Datos!I954</f>
        <v>3.1</v>
      </c>
      <c r="F954" s="2">
        <f>Datos!J954</f>
        <v>79.2</v>
      </c>
      <c r="G954" s="2">
        <f>Datos!L954</f>
        <v>61.3</v>
      </c>
      <c r="H954" s="2">
        <f>Datos!M954</f>
        <v>75.2</v>
      </c>
      <c r="I954" s="2" t="b">
        <f t="shared" si="70"/>
        <v>1</v>
      </c>
      <c r="J954" s="2">
        <f t="shared" si="71"/>
        <v>75.2</v>
      </c>
      <c r="K954" s="2">
        <f t="shared" si="72"/>
        <v>3.1</v>
      </c>
      <c r="L954" s="2">
        <f t="shared" si="73"/>
        <v>61.3</v>
      </c>
      <c r="M954" s="2">
        <f t="shared" si="74"/>
        <v>79.2</v>
      </c>
    </row>
    <row r="955" spans="1:13" x14ac:dyDescent="0.3">
      <c r="A955" s="2">
        <f>Datos!A955</f>
        <v>164</v>
      </c>
      <c r="B955" s="2" t="str">
        <f>Datos!B955</f>
        <v>Female</v>
      </c>
      <c r="C955" s="2" t="str">
        <f>Datos!C955</f>
        <v>PhD</v>
      </c>
      <c r="D955" s="2" t="str">
        <f>Datos!G955</f>
        <v>D</v>
      </c>
      <c r="E955" s="2">
        <f>Datos!I955</f>
        <v>1.7</v>
      </c>
      <c r="F955" s="2">
        <f>Datos!J955</f>
        <v>68.8</v>
      </c>
      <c r="G955" s="2">
        <f>Datos!L955</f>
        <v>94.7</v>
      </c>
      <c r="H955" s="2">
        <f>Datos!M955</f>
        <v>63.5</v>
      </c>
      <c r="I955" s="2" t="b">
        <f t="shared" si="70"/>
        <v>1</v>
      </c>
      <c r="J955" s="2">
        <f t="shared" si="71"/>
        <v>63.5</v>
      </c>
      <c r="K955" s="2">
        <f t="shared" si="72"/>
        <v>1.7</v>
      </c>
      <c r="L955" s="2">
        <f t="shared" si="73"/>
        <v>94.7</v>
      </c>
      <c r="M955" s="2">
        <f t="shared" si="74"/>
        <v>68.8</v>
      </c>
    </row>
    <row r="956" spans="1:13" x14ac:dyDescent="0.3">
      <c r="A956" s="2">
        <f>Datos!A956</f>
        <v>726</v>
      </c>
      <c r="B956" s="2" t="str">
        <f>Datos!B956</f>
        <v>Male</v>
      </c>
      <c r="C956" s="2" t="str">
        <f>Datos!C956</f>
        <v>PhD</v>
      </c>
      <c r="D956" s="2" t="str">
        <f>Datos!G956</f>
        <v>B</v>
      </c>
      <c r="E956" s="2">
        <f>Datos!I956</f>
        <v>3.9</v>
      </c>
      <c r="F956" s="2">
        <f>Datos!J956</f>
        <v>74.099999999999994</v>
      </c>
      <c r="G956" s="2">
        <f>Datos!L956</f>
        <v>51.8</v>
      </c>
      <c r="H956" s="2">
        <f>Datos!M956</f>
        <v>83.1</v>
      </c>
      <c r="I956" s="2" t="b">
        <f t="shared" si="70"/>
        <v>1</v>
      </c>
      <c r="J956" s="2">
        <f t="shared" si="71"/>
        <v>83.1</v>
      </c>
      <c r="K956" s="2">
        <f t="shared" si="72"/>
        <v>3.9</v>
      </c>
      <c r="L956" s="2">
        <f t="shared" si="73"/>
        <v>51.8</v>
      </c>
      <c r="M956" s="2">
        <f t="shared" si="74"/>
        <v>74.099999999999994</v>
      </c>
    </row>
    <row r="957" spans="1:13" x14ac:dyDescent="0.3">
      <c r="A957" s="2">
        <f>Datos!A957</f>
        <v>608</v>
      </c>
      <c r="B957" s="2" t="str">
        <f>Datos!B957</f>
        <v>Male</v>
      </c>
      <c r="C957" s="2">
        <f>Datos!C957</f>
        <v>0</v>
      </c>
      <c r="D957" s="2" t="str">
        <f>Datos!G957</f>
        <v>F</v>
      </c>
      <c r="E957" s="2">
        <f>Datos!I957</f>
        <v>1.9</v>
      </c>
      <c r="F957" s="2">
        <f>Datos!J957</f>
        <v>80.8</v>
      </c>
      <c r="G957" s="2">
        <f>Datos!L957</f>
        <v>56</v>
      </c>
      <c r="H957" s="2">
        <f>Datos!M957</f>
        <v>50.5</v>
      </c>
      <c r="I957" s="2" t="b">
        <f t="shared" si="70"/>
        <v>1</v>
      </c>
      <c r="J957" s="2">
        <f t="shared" si="71"/>
        <v>50.5</v>
      </c>
      <c r="K957" s="2">
        <f t="shared" si="72"/>
        <v>1.9</v>
      </c>
      <c r="L957" s="2">
        <f t="shared" si="73"/>
        <v>56</v>
      </c>
      <c r="M957" s="2">
        <f t="shared" si="74"/>
        <v>80.8</v>
      </c>
    </row>
    <row r="958" spans="1:13" x14ac:dyDescent="0.3">
      <c r="A958" s="2">
        <f>Datos!A958</f>
        <v>545</v>
      </c>
      <c r="B958" s="2" t="str">
        <f>Datos!B958</f>
        <v>Female</v>
      </c>
      <c r="C958" s="2">
        <f>Datos!C958</f>
        <v>0</v>
      </c>
      <c r="D958" s="2" t="str">
        <f>Datos!G958</f>
        <v>C</v>
      </c>
      <c r="E958" s="2">
        <f>Datos!I958</f>
        <v>4.9000000000000004</v>
      </c>
      <c r="F958" s="2">
        <f>Datos!J958</f>
        <v>82.2</v>
      </c>
      <c r="G958" s="2">
        <f>Datos!L958</f>
        <v>54.4</v>
      </c>
      <c r="H958" s="2">
        <f>Datos!M958</f>
        <v>70.5</v>
      </c>
      <c r="I958" s="2" t="b">
        <f t="shared" si="70"/>
        <v>1</v>
      </c>
      <c r="J958" s="2">
        <f t="shared" si="71"/>
        <v>70.5</v>
      </c>
      <c r="K958" s="2">
        <f t="shared" si="72"/>
        <v>4.9000000000000004</v>
      </c>
      <c r="L958" s="2">
        <f t="shared" si="73"/>
        <v>54.4</v>
      </c>
      <c r="M958" s="2">
        <f t="shared" si="74"/>
        <v>82.2</v>
      </c>
    </row>
    <row r="959" spans="1:13" x14ac:dyDescent="0.3">
      <c r="A959" s="2">
        <f>Datos!A959</f>
        <v>893</v>
      </c>
      <c r="B959" s="2" t="str">
        <f>Datos!B959</f>
        <v>Female</v>
      </c>
      <c r="C959" s="2" t="str">
        <f>Datos!C959</f>
        <v>Bachelors</v>
      </c>
      <c r="D959" s="2" t="str">
        <f>Datos!G959</f>
        <v>B</v>
      </c>
      <c r="E959" s="2">
        <f>Datos!I959</f>
        <v>6.9</v>
      </c>
      <c r="F959" s="2">
        <f>Datos!J959</f>
        <v>84.2</v>
      </c>
      <c r="G959" s="2">
        <f>Datos!L959</f>
        <v>77.2</v>
      </c>
      <c r="H959" s="2">
        <f>Datos!M959</f>
        <v>87.5</v>
      </c>
      <c r="I959" s="2" t="b">
        <f t="shared" si="70"/>
        <v>1</v>
      </c>
      <c r="J959" s="2">
        <f t="shared" si="71"/>
        <v>87.5</v>
      </c>
      <c r="K959" s="2">
        <f t="shared" si="72"/>
        <v>6.9</v>
      </c>
      <c r="L959" s="2">
        <f t="shared" si="73"/>
        <v>77.2</v>
      </c>
      <c r="M959" s="2">
        <f t="shared" si="74"/>
        <v>84.2</v>
      </c>
    </row>
    <row r="960" spans="1:13" x14ac:dyDescent="0.3">
      <c r="A960" s="2">
        <f>Datos!A960</f>
        <v>644</v>
      </c>
      <c r="B960" s="2" t="str">
        <f>Datos!B960</f>
        <v>Female</v>
      </c>
      <c r="C960" s="2" t="str">
        <f>Datos!C960</f>
        <v>Bachelors</v>
      </c>
      <c r="D960" s="2" t="str">
        <f>Datos!G960</f>
        <v>C</v>
      </c>
      <c r="E960" s="2">
        <f>Datos!I960</f>
        <v>5.4</v>
      </c>
      <c r="F960" s="2">
        <f>Datos!J960</f>
        <v>84.8</v>
      </c>
      <c r="G960" s="2">
        <f>Datos!L960</f>
        <v>38.799999999999997</v>
      </c>
      <c r="H960" s="2">
        <f>Datos!M960</f>
        <v>72.2</v>
      </c>
      <c r="I960" s="2" t="b">
        <f t="shared" si="70"/>
        <v>1</v>
      </c>
      <c r="J960" s="2">
        <f t="shared" si="71"/>
        <v>72.2</v>
      </c>
      <c r="K960" s="2">
        <f t="shared" si="72"/>
        <v>5.4</v>
      </c>
      <c r="L960" s="2">
        <f t="shared" si="73"/>
        <v>38.799999999999997</v>
      </c>
      <c r="M960" s="2">
        <f t="shared" si="74"/>
        <v>84.8</v>
      </c>
    </row>
    <row r="961" spans="1:13" x14ac:dyDescent="0.3">
      <c r="A961" s="2">
        <f>Datos!A961</f>
        <v>415</v>
      </c>
      <c r="B961" s="2" t="str">
        <f>Datos!B961</f>
        <v>Female</v>
      </c>
      <c r="C961" s="2">
        <f>Datos!C961</f>
        <v>0</v>
      </c>
      <c r="D961" s="2" t="str">
        <f>Datos!G961</f>
        <v>B</v>
      </c>
      <c r="E961" s="2">
        <f>Datos!I961</f>
        <v>6.8</v>
      </c>
      <c r="F961" s="2">
        <f>Datos!J961</f>
        <v>73.900000000000006</v>
      </c>
      <c r="G961" s="2">
        <f>Datos!L961</f>
        <v>46.3</v>
      </c>
      <c r="H961" s="2">
        <f>Datos!M961</f>
        <v>82.6</v>
      </c>
      <c r="I961" s="2" t="b">
        <f t="shared" si="70"/>
        <v>1</v>
      </c>
      <c r="J961" s="2">
        <f t="shared" si="71"/>
        <v>82.6</v>
      </c>
      <c r="K961" s="2">
        <f t="shared" si="72"/>
        <v>6.8</v>
      </c>
      <c r="L961" s="2">
        <f t="shared" si="73"/>
        <v>46.3</v>
      </c>
      <c r="M961" s="2">
        <f t="shared" si="74"/>
        <v>73.900000000000006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zoomScaleNormal="100" workbookViewId="0"/>
  </sheetViews>
  <sheetFormatPr baseColWidth="10" defaultColWidth="8.6640625" defaultRowHeight="14.4" x14ac:dyDescent="0.3"/>
  <cols>
    <col min="1" max="1" width="34" customWidth="1"/>
    <col min="2" max="2" width="14" customWidth="1"/>
  </cols>
  <sheetData>
    <row r="1" spans="1:2" x14ac:dyDescent="0.3">
      <c r="A1" s="3" t="s">
        <v>61</v>
      </c>
    </row>
    <row r="2" spans="1:2" x14ac:dyDescent="0.3">
      <c r="A2" s="2" t="s">
        <v>62</v>
      </c>
      <c r="B2" s="8">
        <f>COUNT(Calidad!$J$2:$J$961)</f>
        <v>956</v>
      </c>
    </row>
    <row r="3" spans="1:2" x14ac:dyDescent="0.3">
      <c r="A3" s="2" t="s">
        <v>63</v>
      </c>
      <c r="B3" s="8">
        <f>AVERAGE(Calidad!$J$2:$J$961)</f>
        <v>73.578556485355563</v>
      </c>
    </row>
    <row r="4" spans="1:2" x14ac:dyDescent="0.3">
      <c r="A4" s="2" t="s">
        <v>64</v>
      </c>
      <c r="B4" s="8">
        <f>MIN(Calidad!$J$2:$J$961)</f>
        <v>42.8</v>
      </c>
    </row>
    <row r="5" spans="1:2" x14ac:dyDescent="0.3">
      <c r="A5" s="2" t="s">
        <v>65</v>
      </c>
      <c r="B5" s="8">
        <f>MAX(Calidad!$J$2:$J$961)</f>
        <v>100</v>
      </c>
    </row>
    <row r="6" spans="1:2" x14ac:dyDescent="0.3">
      <c r="A6" s="2" t="s">
        <v>66</v>
      </c>
      <c r="B6" s="8">
        <f>STDEV(Calidad!$J$2:$J$961)</f>
        <v>12.022846071222625</v>
      </c>
    </row>
    <row r="7" spans="1:2" x14ac:dyDescent="0.3">
      <c r="A7" s="2" t="s">
        <v>67</v>
      </c>
      <c r="B7" s="8">
        <f>QUARTILE(Calidad!$J$2:$J$961,1)</f>
        <v>65</v>
      </c>
    </row>
    <row r="8" spans="1:2" x14ac:dyDescent="0.3">
      <c r="A8" s="2" t="s">
        <v>68</v>
      </c>
      <c r="B8" s="8">
        <f>MEDIAN(Calidad!$J$2:$J$961)</f>
        <v>73.7</v>
      </c>
    </row>
    <row r="9" spans="1:2" x14ac:dyDescent="0.3">
      <c r="A9" s="2" t="s">
        <v>69</v>
      </c>
      <c r="B9" s="8">
        <f>QUARTILE(Calidad!$J$2:$J$961,3)</f>
        <v>81.900000000000006</v>
      </c>
    </row>
    <row r="10" spans="1:2" x14ac:dyDescent="0.3">
      <c r="A10" s="2" t="s">
        <v>70</v>
      </c>
      <c r="B10" s="8">
        <f>B7-1.5*(B9-B7)</f>
        <v>39.649999999999991</v>
      </c>
    </row>
    <row r="11" spans="1:2" x14ac:dyDescent="0.3">
      <c r="A11" s="2" t="s">
        <v>71</v>
      </c>
      <c r="B11" s="8">
        <f>B9+1.5*(B9-B7)</f>
        <v>107.25000000000001</v>
      </c>
    </row>
    <row r="13" spans="1:2" x14ac:dyDescent="0.3">
      <c r="A13" s="3" t="s">
        <v>72</v>
      </c>
      <c r="B13" s="3" t="s">
        <v>73</v>
      </c>
    </row>
    <row r="14" spans="1:2" x14ac:dyDescent="0.3">
      <c r="A14" s="2" t="s">
        <v>38</v>
      </c>
      <c r="B14" s="2">
        <f>COUNTIF(Calidad!$D$2:$D$961,A14)</f>
        <v>98</v>
      </c>
    </row>
    <row r="15" spans="1:2" x14ac:dyDescent="0.3">
      <c r="A15" s="2" t="s">
        <v>47</v>
      </c>
      <c r="B15" s="2">
        <f>COUNTIF(Calidad!$D$2:$D$961,A15)</f>
        <v>207</v>
      </c>
    </row>
    <row r="16" spans="1:2" x14ac:dyDescent="0.3">
      <c r="A16" s="2" t="s">
        <v>43</v>
      </c>
      <c r="B16" s="2">
        <f>COUNTIF(Calidad!$D$2:$D$961,A16)</f>
        <v>292</v>
      </c>
    </row>
    <row r="17" spans="1:2" x14ac:dyDescent="0.3">
      <c r="A17" s="2" t="s">
        <v>46</v>
      </c>
      <c r="B17" s="2">
        <f>COUNTIF(Calidad!$D$2:$D$961,A17)</f>
        <v>233</v>
      </c>
    </row>
    <row r="18" spans="1:2" x14ac:dyDescent="0.3">
      <c r="A18" s="2" t="s">
        <v>41</v>
      </c>
      <c r="B18" s="2">
        <f>COUNTIF(Calidad!$D$2:$D$961,A18)</f>
        <v>130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zoomScaleNormal="100" workbookViewId="0">
      <selection activeCell="O26" sqref="O26"/>
    </sheetView>
  </sheetViews>
  <sheetFormatPr baseColWidth="10" defaultColWidth="8.6640625" defaultRowHeight="14.4" x14ac:dyDescent="0.3"/>
  <cols>
    <col min="1" max="1" width="16" customWidth="1"/>
    <col min="2" max="2" width="14" customWidth="1"/>
  </cols>
  <sheetData>
    <row r="1" spans="1:2" x14ac:dyDescent="0.3">
      <c r="A1" s="3" t="s">
        <v>74</v>
      </c>
    </row>
    <row r="2" spans="1:2" x14ac:dyDescent="0.3">
      <c r="A2" s="3" t="s">
        <v>75</v>
      </c>
      <c r="B2" s="3" t="s">
        <v>76</v>
      </c>
    </row>
    <row r="3" spans="1:2" x14ac:dyDescent="0.3">
      <c r="A3" s="2" t="s">
        <v>45</v>
      </c>
      <c r="B3" s="9">
        <f>IFERROR(AVERAGEIF(Calidad!$C$2:$C$961,A3,Calidad!$J$2:$J$961),"")</f>
        <v>73.850450450450467</v>
      </c>
    </row>
    <row r="4" spans="1:2" x14ac:dyDescent="0.3">
      <c r="A4" s="2" t="s">
        <v>42</v>
      </c>
      <c r="B4" s="9">
        <f>IFERROR(AVERAGEIF(Calidad!$C$2:$C$961,A4,Calidad!$J$2:$J$961),"")</f>
        <v>72.812931034482816</v>
      </c>
    </row>
    <row r="5" spans="1:2" x14ac:dyDescent="0.3">
      <c r="A5" s="2" t="s">
        <v>36</v>
      </c>
      <c r="B5" s="9">
        <f>IFERROR(AVERAGEIF(Calidad!$C$2:$C$961,A5,Calidad!$J$2:$J$961),"")</f>
        <v>74.19032258064523</v>
      </c>
    </row>
    <row r="6" spans="1:2" x14ac:dyDescent="0.3">
      <c r="A6" s="2" t="s">
        <v>39</v>
      </c>
      <c r="B6" s="9">
        <f>IFERROR(AVERAGEIF(Calidad!$C$2:$C$961,A6,Calidad!$J$2:$J$961),"")</f>
        <v>74.470949720670433</v>
      </c>
    </row>
    <row r="7" spans="1:2" x14ac:dyDescent="0.3">
      <c r="A7" s="10" t="s">
        <v>77</v>
      </c>
    </row>
    <row r="9" spans="1:2" x14ac:dyDescent="0.3">
      <c r="A9" s="3" t="s">
        <v>78</v>
      </c>
    </row>
    <row r="10" spans="1:2" x14ac:dyDescent="0.3">
      <c r="A10" s="3" t="s">
        <v>79</v>
      </c>
      <c r="B10" s="3" t="s">
        <v>76</v>
      </c>
    </row>
    <row r="11" spans="1:2" x14ac:dyDescent="0.3">
      <c r="A11" s="2" t="s">
        <v>35</v>
      </c>
      <c r="B11" s="9">
        <f>AVERAGEIF(Calidad!$B$2:$B$961,A11,Calidad!$J$2:$J$961)</f>
        <v>73.259354838709683</v>
      </c>
    </row>
    <row r="12" spans="1:2" x14ac:dyDescent="0.3">
      <c r="A12" s="2" t="s">
        <v>44</v>
      </c>
      <c r="B12" s="9">
        <f>AVERAGEIF(Calidad!$B$2:$B$961,A12,Calidad!$J$2:$J$961)</f>
        <v>73.880855397148679</v>
      </c>
    </row>
    <row r="15" spans="1:2" x14ac:dyDescent="0.3">
      <c r="A15" s="3" t="s">
        <v>80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zoomScaleNormal="100" workbookViewId="0"/>
  </sheetViews>
  <sheetFormatPr baseColWidth="10" defaultColWidth="8.6640625" defaultRowHeight="14.4" x14ac:dyDescent="0.3"/>
  <cols>
    <col min="1" max="1" width="30" customWidth="1"/>
    <col min="2" max="2" width="22" customWidth="1"/>
  </cols>
  <sheetData>
    <row r="1" spans="1:2" x14ac:dyDescent="0.3">
      <c r="A1" s="3" t="s">
        <v>81</v>
      </c>
    </row>
    <row r="2" spans="1:2" x14ac:dyDescent="0.3">
      <c r="A2" s="3" t="s">
        <v>82</v>
      </c>
      <c r="B2" s="3" t="s">
        <v>83</v>
      </c>
    </row>
    <row r="3" spans="1:2" x14ac:dyDescent="0.3">
      <c r="A3" s="2" t="s">
        <v>84</v>
      </c>
      <c r="B3" s="11">
        <f>CORREL(Calidad!$K$2:$K$961,Calidad!$J$2:$J$961)</f>
        <v>0.62842192577613365</v>
      </c>
    </row>
    <row r="4" spans="1:2" x14ac:dyDescent="0.3">
      <c r="A4" s="2" t="s">
        <v>85</v>
      </c>
      <c r="B4" s="11">
        <f>CORREL(Calidad!$L$2:$L$961,Calidad!$J$2:$J$961)</f>
        <v>0.41504694988458068</v>
      </c>
    </row>
    <row r="5" spans="1:2" x14ac:dyDescent="0.3">
      <c r="A5" s="2" t="s">
        <v>86</v>
      </c>
      <c r="B5" s="11">
        <f>CORREL(Calidad!$M$2:$M$961,Calidad!$J$2:$J$961)</f>
        <v>0.20511003978784481</v>
      </c>
    </row>
    <row r="7" spans="1:2" x14ac:dyDescent="0.3">
      <c r="A7" s="3" t="s">
        <v>87</v>
      </c>
      <c r="B7" s="2" t="str">
        <f>IF(ABS(B3)&gt;=0.7,"Correlación fuerte",IF(ABS(B3)&gt;=0.3,"Correlación moderada","Correlación débil"))&amp;IF(B3&gt;=0," positiva."," negativa.")</f>
        <v>Correlación moderada positiva.</v>
      </c>
    </row>
    <row r="9" spans="1:2" x14ac:dyDescent="0.3">
      <c r="A9" s="7" t="s">
        <v>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tabSelected="1" zoomScaleNormal="100" workbookViewId="0"/>
  </sheetViews>
  <sheetFormatPr baseColWidth="10" defaultColWidth="8.6640625" defaultRowHeight="14.4" x14ac:dyDescent="0.3"/>
  <cols>
    <col min="1" max="1" width="22" customWidth="1"/>
    <col min="2" max="2" width="90" customWidth="1"/>
  </cols>
  <sheetData>
    <row r="1" spans="1:2" ht="17.399999999999999" x14ac:dyDescent="0.3">
      <c r="A1" s="1" t="s">
        <v>13</v>
      </c>
    </row>
    <row r="2" spans="1:2" x14ac:dyDescent="0.3">
      <c r="A2" s="2" t="s">
        <v>89</v>
      </c>
    </row>
    <row r="4" spans="1:2" ht="45" customHeight="1" x14ac:dyDescent="0.3">
      <c r="A4" s="3" t="s">
        <v>90</v>
      </c>
      <c r="B4" s="12" t="s">
        <v>91</v>
      </c>
    </row>
    <row r="5" spans="1:2" ht="45" customHeight="1" x14ac:dyDescent="0.3">
      <c r="A5" s="3" t="s">
        <v>92</v>
      </c>
      <c r="B5" s="12" t="s">
        <v>93</v>
      </c>
    </row>
    <row r="6" spans="1:2" ht="45" customHeight="1" x14ac:dyDescent="0.3">
      <c r="A6" s="3" t="s">
        <v>94</v>
      </c>
      <c r="B6" s="12" t="s">
        <v>95</v>
      </c>
    </row>
    <row r="7" spans="1:2" ht="45" customHeight="1" x14ac:dyDescent="0.3">
      <c r="A7" s="3" t="s">
        <v>96</v>
      </c>
      <c r="B7" s="12" t="s">
        <v>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Inicio</vt:lpstr>
      <vt:lpstr>Datos</vt:lpstr>
      <vt:lpstr>Calidad</vt:lpstr>
      <vt:lpstr>Univariado</vt:lpstr>
      <vt:lpstr>Bivariado</vt:lpstr>
      <vt:lpstr>Correlacion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Jessica Alejandra Gil Tellez</cp:lastModifiedBy>
  <cp:revision>1</cp:revision>
  <dcterms:created xsi:type="dcterms:W3CDTF">2026-08-10T04:08:19Z</dcterms:created>
  <dcterms:modified xsi:type="dcterms:W3CDTF">2026-08-10T04:13:36Z</dcterms:modified>
  <dc:language>en-US</dc:language>
</cp:coreProperties>
</file>