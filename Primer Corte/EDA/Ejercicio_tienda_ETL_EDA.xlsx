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icio" sheetId="1" state="visible" r:id="rId3"/>
    <sheet name="Inventario" sheetId="2" state="visible" r:id="rId4"/>
    <sheet name="Ventas" sheetId="3" state="visible" r:id="rId5"/>
    <sheet name="Compras" sheetId="4" state="visible" r:id="rId6"/>
    <sheet name="ETL" sheetId="5" state="visible" r:id="rId7"/>
    <sheet name="EDA" sheetId="6" state="visible" r:id="rId8"/>
    <sheet name="Conclus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<sst xmlns="http://schemas.openxmlformats.org/spreadsheetml/2006/main" count="128" uniqueCount="86">
  <si>
    <t xml:space="preserve">Ejercicio tienda — ETL y EDA</t>
  </si>
  <si>
    <t xml:space="preserve">Base de ventas y compras completada a 10 registros, limpiada y analizada.</t>
  </si>
  <si>
    <t xml:space="preserve">Mapa del libro</t>
  </si>
  <si>
    <t xml:space="preserve">Inventario</t>
  </si>
  <si>
    <t xml:space="preserve">Productos, presupuesto y balance de la tienda.</t>
  </si>
  <si>
    <t xml:space="preserve">Ventas</t>
  </si>
  <si>
    <t xml:space="preserve">10 registros de ventas (5 originales + 5 nuevos con errores).</t>
  </si>
  <si>
    <t xml:space="preserve">Compras</t>
  </si>
  <si>
    <t xml:space="preserve">10 registros de compras (5 originales + 5 nuevos con errores).</t>
  </si>
  <si>
    <t xml:space="preserve">ETL</t>
  </si>
  <si>
    <t xml:space="preserve">Tablas de ventas y compras ya limpias.</t>
  </si>
  <si>
    <t xml:space="preserve">EDA</t>
  </si>
  <si>
    <t xml:space="preserve">Resumen, ganancia por producto y gasto por producto.</t>
  </si>
  <si>
    <t xml:space="preserve">Conclusiones</t>
  </si>
  <si>
    <t xml:space="preserve">Hallazgos del ejercicio.</t>
  </si>
  <si>
    <t xml:space="preserve">Leyenda de colores</t>
  </si>
  <si>
    <t xml:space="preserve">Texto azul</t>
  </si>
  <si>
    <t xml:space="preserve">Dato de entrada (base cruda).</t>
  </si>
  <si>
    <t xml:space="preserve">Texto negro</t>
  </si>
  <si>
    <t xml:space="preserve">Resultado calculado con fórmula.</t>
  </si>
  <si>
    <t xml:space="preserve">Celda amarilla</t>
  </si>
  <si>
    <t xml:space="preserve">Conclusión escrita por la estudiante.</t>
  </si>
  <si>
    <t xml:space="preserve">Producto</t>
  </si>
  <si>
    <t xml:space="preserve">inventario</t>
  </si>
  <si>
    <t xml:space="preserve">costo</t>
  </si>
  <si>
    <t xml:space="preserve">venta</t>
  </si>
  <si>
    <t xml:space="preserve">Inventario nuevo</t>
  </si>
  <si>
    <t xml:space="preserve">galletas chocolate</t>
  </si>
  <si>
    <t xml:space="preserve">galletas mms chocolate</t>
  </si>
  <si>
    <t xml:space="preserve">galleta red velvet chocolate</t>
  </si>
  <si>
    <t xml:space="preserve">cinamonroll</t>
  </si>
  <si>
    <t xml:space="preserve">tiramisu</t>
  </si>
  <si>
    <t xml:space="preserve">cheese cake arandanos</t>
  </si>
  <si>
    <t xml:space="preserve">cheese cake cereza</t>
  </si>
  <si>
    <t xml:space="preserve">Presupuesto inicial</t>
  </si>
  <si>
    <t xml:space="preserve">Total Ventas</t>
  </si>
  <si>
    <t xml:space="preserve">Total Compras</t>
  </si>
  <si>
    <t xml:space="preserve">Balance final</t>
  </si>
  <si>
    <t xml:space="preserve">id venta</t>
  </si>
  <si>
    <t xml:space="preserve">Cantidad</t>
  </si>
  <si>
    <t xml:space="preserve">Costo U</t>
  </si>
  <si>
    <t xml:space="preserve">Costo Total</t>
  </si>
  <si>
    <t xml:space="preserve">Precio U</t>
  </si>
  <si>
    <t xml:space="preserve">Precio total</t>
  </si>
  <si>
    <t xml:space="preserve">Ganancia</t>
  </si>
  <si>
    <t xml:space="preserve">galleta red</t>
  </si>
  <si>
    <t xml:space="preserve">galleta chocolate</t>
  </si>
  <si>
    <t xml:space="preserve">Tiramisu </t>
  </si>
  <si>
    <t xml:space="preserve">Compra</t>
  </si>
  <si>
    <t xml:space="preserve">Precio</t>
  </si>
  <si>
    <t xml:space="preserve">Maquillaje</t>
  </si>
  <si>
    <t xml:space="preserve">Uva</t>
  </si>
  <si>
    <t xml:space="preserve">gloss</t>
  </si>
  <si>
    <t xml:space="preserve">lapiz ojos</t>
  </si>
  <si>
    <t xml:space="preserve">limas</t>
  </si>
  <si>
    <t xml:space="preserve">harina</t>
  </si>
  <si>
    <t xml:space="preserve">huevos</t>
  </si>
  <si>
    <t xml:space="preserve">azucar</t>
  </si>
  <si>
    <t xml:space="preserve">5,5</t>
  </si>
  <si>
    <t xml:space="preserve">mantequilla</t>
  </si>
  <si>
    <t xml:space="preserve">ETL — Limpieza de datos</t>
  </si>
  <si>
    <t xml:space="preserve">Errores corregidos: 1 fila duplicada, 1 venta sin precio (se excluye), 1 precio con coma (azúcar) y 1 nombre con espacios/mayúsculas (Tiramisu).</t>
  </si>
  <si>
    <t xml:space="preserve">Ventas (limpia)</t>
  </si>
  <si>
    <t xml:space="preserve">Compras (limpia)</t>
  </si>
  <si>
    <t xml:space="preserve">EDA — Análisis exploratorio</t>
  </si>
  <si>
    <t xml:space="preserve">Ventas — resumen</t>
  </si>
  <si>
    <t xml:space="preserve">Unidades vendidas</t>
  </si>
  <si>
    <t xml:space="preserve">Ingreso total (precio)</t>
  </si>
  <si>
    <t xml:space="preserve">Costo total</t>
  </si>
  <si>
    <t xml:space="preserve">Ganancia total</t>
  </si>
  <si>
    <t xml:space="preserve">Ganancia promedio por venta</t>
  </si>
  <si>
    <t xml:space="preserve">Ganancia por producto</t>
  </si>
  <si>
    <t xml:space="preserve">Compras — resumen</t>
  </si>
  <si>
    <t xml:space="preserve">Gasto total</t>
  </si>
  <si>
    <t xml:space="preserve">Gasto por producto</t>
  </si>
  <si>
    <t xml:space="preserve">Gasto</t>
  </si>
  <si>
    <t xml:space="preserve">maquillaje</t>
  </si>
  <si>
    <t xml:space="preserve">uva</t>
  </si>
  <si>
    <t xml:space="preserve">Hallazgo 1</t>
  </si>
  <si>
    <t xml:space="preserve">El producto que más ganancia deja es el tiramisú (12 en total), seguido de la galleta red (6). Las galletas de chocolate son las que menos aportan.</t>
  </si>
  <si>
    <t xml:space="preserve">Hallazgo 2</t>
  </si>
  <si>
    <t xml:space="preserve">La ganancia total de ventas (30) es menor que el gasto en compras (62). Además, varias compras (maquillaje, gloss, lápiz de ojos) no son de la tienda.</t>
  </si>
  <si>
    <t xml:space="preserve">Calidad de datos</t>
  </si>
  <si>
    <t xml:space="preserve">En los registros nuevos había una venta duplicada, una venta sin precio, un precio con coma (azúcar) y un nombre mal escrito (Tiramisu). Se corrigieron en la hoja ETL.</t>
  </si>
  <si>
    <t xml:space="preserve">Hipótesis a validar</t>
  </si>
  <si>
    <t xml:space="preserve">Si la tienda se concentra en tiramisú y deja de comprar cosas que no son del negocio, el balance debería mejorar.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</si>
</sst>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Aptos Narrow"/>
      <family val="2"/>
    </font>
    <font>
      <sz val="10"/>
      <color rgb="FF000000"/>
      <name val="Aptos Narrow"/>
      <family val="2"/>
    </font>
    <font>
      <b val="true"/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156082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B8B8B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Ganancia por producto (ventas)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EDA!B11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EDA!$A$12:$A$17</c:f>
              <c:strCache>
                <c:ptCount val="6"/>
                <c:pt idx="0">
                  <c:v>tiramisu</c:v>
                </c:pt>
                <c:pt idx="1">
                  <c:v>galleta red</c:v>
                </c:pt>
                <c:pt idx="2">
                  <c:v>galleta chocolate</c:v>
                </c:pt>
                <c:pt idx="3">
                  <c:v>galletas chocolate</c:v>
                </c:pt>
                <c:pt idx="4">
                  <c:v>cinamonroll</c:v>
                </c:pt>
                <c:pt idx="5">
                  <c:v>cheese cake cereza</c:v>
                </c:pt>
              </c:strCache>
            </c:strRef>
          </c:cat>
          <c:val>
            <c:numRef>
              <c:f>EDA!$B$12:$B$17</c:f>
              <c:numCache>
                <c:formatCode>General</c:formatCode>
                <c:ptCount val="6"/>
                <c:pt idx="0">
                  <c:v>12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gapWidth val="150"/>
        <c:overlap val="0"/>
        <c:axId val="28461225"/>
        <c:axId val="43140718"/>
      </c:barChart>
      <c:catAx>
        <c:axId val="28461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3140718"/>
        <c:crosses val="autoZero"/>
        <c:auto val="1"/>
        <c:lblAlgn val="ctr"/>
        <c:lblOffset val="100"/>
        <c:noMultiLvlLbl val="0"/>
      </c:catAx>
      <c:valAx>
        <c:axId val="4314071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Ganancia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84612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Gasto por producto (compras)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EDA!B23</c:f>
              <c:strCache>
                <c:ptCount val="1"/>
                <c:pt idx="0">
                  <c:v>Gasto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EDA!$A$24:$A$32</c:f>
              <c:strCache>
                <c:ptCount val="9"/>
                <c:pt idx="0">
                  <c:v>maquillaje</c:v>
                </c:pt>
                <c:pt idx="1">
                  <c:v>uva</c:v>
                </c:pt>
                <c:pt idx="2">
                  <c:v>gloss</c:v>
                </c:pt>
                <c:pt idx="3">
                  <c:v>lapiz ojos</c:v>
                </c:pt>
                <c:pt idx="4">
                  <c:v>limas</c:v>
                </c:pt>
                <c:pt idx="5">
                  <c:v>harina</c:v>
                </c:pt>
                <c:pt idx="6">
                  <c:v>huevos</c:v>
                </c:pt>
                <c:pt idx="7">
                  <c:v>azucar</c:v>
                </c:pt>
                <c:pt idx="8">
                  <c:v>mantequilla</c:v>
                </c:pt>
              </c:strCache>
            </c:strRef>
          </c:cat>
          <c:val>
            <c:numRef>
              <c:f>EDA!$B$24:$B$32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6</c:v>
                </c:pt>
                <c:pt idx="3">
                  <c:v>5.5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5.5</c:v>
                </c:pt>
                <c:pt idx="8">
                  <c:v>7</c:v>
                </c:pt>
              </c:numCache>
            </c:numRef>
          </c:val>
        </c:ser>
        <c:gapWidth val="150"/>
        <c:overlap val="0"/>
        <c:axId val="3190522"/>
        <c:axId val="17891971"/>
      </c:barChart>
      <c:catAx>
        <c:axId val="3190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7891971"/>
        <c:crosses val="autoZero"/>
        <c:auto val="1"/>
        <c:lblAlgn val="ctr"/>
        <c:lblOffset val="100"/>
        <c:noMultiLvlLbl val="0"/>
      </c:catAx>
      <c:valAx>
        <c:axId val="1789197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ptos Narrow"/>
                  </a:rPr>
                  <a:t>Gasto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31905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9</xdr:col>
      <xdr:colOff>126720</xdr:colOff>
      <xdr:row>15</xdr:row>
      <xdr:rowOff>13320</xdr:rowOff>
    </xdr:to>
    <xdr:graphicFrame>
      <xdr:nvGraphicFramePr>
        <xdr:cNvPr id="0" name="Chart 1"/>
        <xdr:cNvGraphicFramePr/>
      </xdr:nvGraphicFramePr>
      <xdr:xfrm>
        <a:off x="4137120" y="38088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160560</xdr:rowOff>
    </xdr:from>
    <xdr:to>
      <xdr:col>9</xdr:col>
      <xdr:colOff>126720</xdr:colOff>
      <xdr:row>31</xdr:row>
      <xdr:rowOff>13320</xdr:rowOff>
    </xdr:to>
    <xdr:graphicFrame>
      <xdr:nvGraphicFramePr>
        <xdr:cNvPr id="1" name="Chart 2"/>
        <xdr:cNvGraphicFramePr/>
      </xdr:nvGraphicFramePr>
      <xdr:xfrm>
        <a:off x="4137120" y="342900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  <c r="B5" s="2" t="s">
        <v>4</v>
      </c>
    </row>
    <row r="6" customFormat="false" ht="15" hidden="false" customHeight="false" outlineLevel="0" collapsed="false">
      <c r="A6" s="3" t="s">
        <v>5</v>
      </c>
      <c r="B6" s="2" t="s">
        <v>6</v>
      </c>
    </row>
    <row r="7" customFormat="false" ht="15" hidden="false" customHeight="false" outlineLevel="0" collapsed="false">
      <c r="A7" s="3" t="s">
        <v>7</v>
      </c>
      <c r="B7" s="2" t="s">
        <v>8</v>
      </c>
    </row>
    <row r="8" customFormat="false" ht="15" hidden="false" customHeight="false" outlineLevel="0" collapsed="false">
      <c r="A8" s="3" t="s">
        <v>9</v>
      </c>
      <c r="B8" s="2" t="s">
        <v>10</v>
      </c>
    </row>
    <row r="9" customFormat="false" ht="15" hidden="false" customHeight="false" outlineLevel="0" collapsed="false">
      <c r="A9" s="3" t="s">
        <v>11</v>
      </c>
      <c r="B9" s="2" t="s">
        <v>12</v>
      </c>
    </row>
    <row r="10" customFormat="false" ht="15" hidden="false" customHeight="false" outlineLevel="0" collapsed="false">
      <c r="A10" s="3" t="s">
        <v>13</v>
      </c>
      <c r="B10" s="2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3" t="s">
        <v>16</v>
      </c>
      <c r="B13" s="2" t="s">
        <v>17</v>
      </c>
    </row>
    <row r="14" customFormat="false" ht="15" hidden="false" customHeight="false" outlineLevel="0" collapsed="false">
      <c r="A14" s="3" t="s">
        <v>18</v>
      </c>
      <c r="B14" s="2" t="s">
        <v>19</v>
      </c>
    </row>
    <row r="15" customFormat="false" ht="15" hidden="false" customHeight="false" outlineLevel="0" collapsed="false">
      <c r="A15" s="3" t="s">
        <v>20</v>
      </c>
      <c r="B15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19.89"/>
  </cols>
  <sheetData>
    <row r="1" customFormat="false" ht="14.25" hidden="false" customHeight="false" outlineLevel="0" collapsed="false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</row>
    <row r="2" customFormat="false" ht="14.25" hidden="false" customHeight="false" outlineLevel="0" collapsed="false">
      <c r="A2" s="0" t="s">
        <v>27</v>
      </c>
      <c r="B2" s="0" t="n">
        <v>7</v>
      </c>
      <c r="C2" s="0" t="n">
        <v>1.5</v>
      </c>
      <c r="D2" s="0" t="n">
        <f aca="false">C2*2</f>
        <v>3</v>
      </c>
      <c r="E2" s="0" t="n">
        <f aca="false">B2-Ventas!C4</f>
        <v>5</v>
      </c>
    </row>
    <row r="3" customFormat="false" ht="14.25" hidden="false" customHeight="false" outlineLevel="0" collapsed="false">
      <c r="A3" s="0" t="s">
        <v>28</v>
      </c>
      <c r="B3" s="0" t="n">
        <v>7</v>
      </c>
      <c r="C3" s="0" t="n">
        <v>2</v>
      </c>
      <c r="D3" s="0" t="n">
        <f aca="false">C3*2</f>
        <v>4</v>
      </c>
    </row>
    <row r="4" customFormat="false" ht="14.25" hidden="false" customHeight="false" outlineLevel="0" collapsed="false">
      <c r="A4" s="0" t="s">
        <v>29</v>
      </c>
      <c r="B4" s="0" t="n">
        <v>7</v>
      </c>
      <c r="C4" s="0" t="n">
        <v>2</v>
      </c>
      <c r="D4" s="0" t="n">
        <f aca="false">C4*2</f>
        <v>4</v>
      </c>
      <c r="E4" s="0" t="n">
        <f aca="false">B4-Ventas!C3</f>
        <v>6</v>
      </c>
    </row>
    <row r="5" customFormat="false" ht="14.25" hidden="false" customHeight="false" outlineLevel="0" collapsed="false">
      <c r="A5" s="0" t="s">
        <v>30</v>
      </c>
      <c r="B5" s="0" t="n">
        <v>2</v>
      </c>
      <c r="C5" s="0" t="n">
        <v>4</v>
      </c>
      <c r="D5" s="0" t="n">
        <f aca="false">C5*2</f>
        <v>8</v>
      </c>
    </row>
    <row r="6" customFormat="false" ht="14.25" hidden="false" customHeight="false" outlineLevel="0" collapsed="false">
      <c r="A6" s="0" t="s">
        <v>31</v>
      </c>
      <c r="B6" s="0" t="n">
        <v>2</v>
      </c>
      <c r="C6" s="0" t="n">
        <v>4</v>
      </c>
      <c r="D6" s="0" t="n">
        <f aca="false">C6*2</f>
        <v>8</v>
      </c>
      <c r="E6" s="0" t="n">
        <f aca="false">B6-Ventas!C2</f>
        <v>0</v>
      </c>
    </row>
    <row r="7" customFormat="false" ht="14.25" hidden="false" customHeight="false" outlineLevel="0" collapsed="false">
      <c r="A7" s="0" t="s">
        <v>32</v>
      </c>
      <c r="B7" s="0" t="n">
        <v>2</v>
      </c>
      <c r="C7" s="0" t="n">
        <v>4</v>
      </c>
      <c r="D7" s="0" t="n">
        <f aca="false">C7*2</f>
        <v>8</v>
      </c>
    </row>
    <row r="8" customFormat="false" ht="14.25" hidden="false" customHeight="false" outlineLevel="0" collapsed="false">
      <c r="A8" s="0" t="s">
        <v>33</v>
      </c>
      <c r="B8" s="0" t="n">
        <v>2</v>
      </c>
      <c r="C8" s="0" t="n">
        <v>4</v>
      </c>
      <c r="D8" s="0" t="n">
        <f aca="false">C8*2</f>
        <v>8</v>
      </c>
    </row>
    <row r="10" customFormat="false" ht="14.25" hidden="false" customHeight="false" outlineLevel="0" collapsed="false">
      <c r="B10" s="0" t="n">
        <f aca="false">SUM(Ventas!G2:G11)</f>
        <v>70</v>
      </c>
    </row>
    <row r="11" customFormat="false" ht="14.25" hidden="false" customHeight="false" outlineLevel="0" collapsed="false">
      <c r="A11" s="0" t="s">
        <v>34</v>
      </c>
      <c r="B11" s="0" t="n">
        <f aca="false">SUM(Compras!E2:E11)</f>
        <v>68</v>
      </c>
    </row>
    <row r="12" customFormat="false" ht="14.25" hidden="false" customHeight="false" outlineLevel="0" collapsed="false">
      <c r="A12" s="0" t="s">
        <v>35</v>
      </c>
      <c r="B12" s="0" t="n">
        <f aca="false">B9+B10-B11</f>
        <v>2</v>
      </c>
    </row>
    <row r="13" customFormat="false" ht="14.25" hidden="false" customHeight="false" outlineLevel="0" collapsed="false">
      <c r="A13" s="0" t="s">
        <v>36</v>
      </c>
      <c r="B13" s="0" t="n">
        <f aca="false">SUM(Compras!E2:E6)</f>
        <v>35.5</v>
      </c>
    </row>
    <row r="14" customFormat="false" ht="14.25" hidden="false" customHeight="false" outlineLevel="0" collapsed="false">
      <c r="A14" s="0" t="s">
        <v>37</v>
      </c>
      <c r="B14" s="0" t="n">
        <f aca="false">B11+B12-B13</f>
        <v>34.5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0.5390625" defaultRowHeight="14.25" zeroHeight="false" outlineLevelRow="0" outlineLevelCol="0"/>
  <sheetData>
    <row r="1" customFormat="false" ht="14.25" hidden="false" customHeight="false" outlineLevel="0" collapsed="false">
      <c r="A1" s="0" t="s">
        <v>38</v>
      </c>
      <c r="B1" s="0" t="s">
        <v>22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</row>
    <row r="2" customFormat="false" ht="14.25" hidden="false" customHeight="false" outlineLevel="0" collapsed="false">
      <c r="A2" s="0" t="n">
        <v>1</v>
      </c>
      <c r="B2" s="0" t="s">
        <v>31</v>
      </c>
      <c r="C2" s="0" t="n">
        <v>2</v>
      </c>
      <c r="D2" s="0" t="n">
        <f aca="false">E2/2</f>
        <v>4</v>
      </c>
      <c r="E2" s="0" t="n">
        <v>8</v>
      </c>
      <c r="F2" s="0" t="n">
        <f aca="false">G2/2</f>
        <v>8</v>
      </c>
      <c r="G2" s="0" t="n">
        <v>16</v>
      </c>
      <c r="H2" s="0" t="n">
        <f aca="false">G2-E2</f>
        <v>8</v>
      </c>
    </row>
    <row r="3" customFormat="false" ht="14.25" hidden="false" customHeight="false" outlineLevel="0" collapsed="false">
      <c r="A3" s="0" t="n">
        <v>2</v>
      </c>
      <c r="B3" s="0" t="s">
        <v>45</v>
      </c>
      <c r="C3" s="0" t="n">
        <v>1</v>
      </c>
      <c r="D3" s="0" t="n">
        <f aca="false">E3/2</f>
        <v>1</v>
      </c>
      <c r="E3" s="0" t="n">
        <v>2</v>
      </c>
      <c r="F3" s="0" t="n">
        <f aca="false">G3/2</f>
        <v>2</v>
      </c>
      <c r="G3" s="0" t="n">
        <v>4</v>
      </c>
      <c r="H3" s="0" t="n">
        <f aca="false">G3-E3</f>
        <v>2</v>
      </c>
    </row>
    <row r="4" customFormat="false" ht="14.25" hidden="false" customHeight="false" outlineLevel="0" collapsed="false">
      <c r="A4" s="0" t="n">
        <v>3</v>
      </c>
      <c r="B4" s="0" t="s">
        <v>46</v>
      </c>
      <c r="C4" s="0" t="n">
        <v>2</v>
      </c>
      <c r="D4" s="0" t="n">
        <f aca="false">E4/2</f>
        <v>1.5</v>
      </c>
      <c r="E4" s="0" t="n">
        <v>3</v>
      </c>
      <c r="F4" s="0" t="n">
        <f aca="false">G4/2</f>
        <v>2.5</v>
      </c>
      <c r="G4" s="0" t="n">
        <v>5</v>
      </c>
      <c r="H4" s="0" t="n">
        <f aca="false">G4-E4</f>
        <v>2</v>
      </c>
    </row>
    <row r="5" customFormat="false" ht="14.25" hidden="false" customHeight="false" outlineLevel="0" collapsed="false">
      <c r="A5" s="0" t="n">
        <v>4</v>
      </c>
      <c r="B5" s="0" t="s">
        <v>45</v>
      </c>
      <c r="C5" s="0" t="n">
        <v>2</v>
      </c>
      <c r="D5" s="0" t="n">
        <f aca="false">E5/2</f>
        <v>2</v>
      </c>
      <c r="E5" s="0" t="n">
        <v>4</v>
      </c>
      <c r="F5" s="0" t="n">
        <f aca="false">G5/2</f>
        <v>4</v>
      </c>
      <c r="G5" s="0" t="n">
        <v>8</v>
      </c>
      <c r="H5" s="0" t="n">
        <f aca="false">G5-E5</f>
        <v>4</v>
      </c>
    </row>
    <row r="6" customFormat="false" ht="14.25" hidden="false" customHeight="false" outlineLevel="0" collapsed="false">
      <c r="A6" s="0" t="n">
        <v>5</v>
      </c>
      <c r="B6" s="0" t="s">
        <v>27</v>
      </c>
      <c r="C6" s="0" t="n">
        <v>2</v>
      </c>
      <c r="D6" s="0" t="n">
        <f aca="false">E6/2</f>
        <v>1.5</v>
      </c>
      <c r="E6" s="0" t="n">
        <v>3</v>
      </c>
      <c r="F6" s="0" t="n">
        <f aca="false">G6/2</f>
        <v>2.5</v>
      </c>
      <c r="G6" s="0" t="n">
        <v>5</v>
      </c>
      <c r="H6" s="0" t="n">
        <f aca="false">G6-E6</f>
        <v>2</v>
      </c>
    </row>
    <row r="7" customFormat="false" ht="14.25" hidden="false" customHeight="false" outlineLevel="0" collapsed="false">
      <c r="A7" s="2" t="n">
        <v>6</v>
      </c>
      <c r="B7" s="2" t="s">
        <v>30</v>
      </c>
      <c r="C7" s="2" t="n">
        <v>1</v>
      </c>
      <c r="D7" s="2" t="n">
        <f aca="false">E7/2</f>
        <v>2</v>
      </c>
      <c r="E7" s="2" t="n">
        <v>4</v>
      </c>
      <c r="F7" s="2" t="n">
        <f aca="false">G7/2</f>
        <v>4</v>
      </c>
      <c r="G7" s="2" t="n">
        <v>8</v>
      </c>
      <c r="H7" s="2" t="n">
        <f aca="false">G7-E7</f>
        <v>4</v>
      </c>
    </row>
    <row r="8" customFormat="false" ht="14.25" hidden="false" customHeight="false" outlineLevel="0" collapsed="false">
      <c r="A8" s="2" t="n">
        <v>7</v>
      </c>
      <c r="B8" s="2" t="s">
        <v>33</v>
      </c>
      <c r="C8" s="2" t="n">
        <v>1</v>
      </c>
      <c r="D8" s="2" t="n">
        <f aca="false">E8/2</f>
        <v>2</v>
      </c>
      <c r="E8" s="2" t="n">
        <v>4</v>
      </c>
      <c r="F8" s="2" t="n">
        <f aca="false">G8/2</f>
        <v>4</v>
      </c>
      <c r="G8" s="2" t="n">
        <v>8</v>
      </c>
      <c r="H8" s="2" t="n">
        <f aca="false">G8-E8</f>
        <v>4</v>
      </c>
    </row>
    <row r="9" customFormat="false" ht="14.25" hidden="false" customHeight="false" outlineLevel="0" collapsed="false">
      <c r="A9" s="2" t="n">
        <v>8</v>
      </c>
      <c r="B9" s="2" t="s">
        <v>47</v>
      </c>
      <c r="C9" s="2" t="n">
        <v>1</v>
      </c>
      <c r="D9" s="2" t="n">
        <f aca="false">E9/2</f>
        <v>2</v>
      </c>
      <c r="E9" s="2" t="n">
        <v>4</v>
      </c>
      <c r="F9" s="2" t="n">
        <f aca="false">G9/2</f>
        <v>4</v>
      </c>
      <c r="G9" s="2" t="n">
        <v>8</v>
      </c>
      <c r="H9" s="2" t="n">
        <f aca="false">G9-E9</f>
        <v>4</v>
      </c>
    </row>
    <row r="10" customFormat="false" ht="14.25" hidden="false" customHeight="false" outlineLevel="0" collapsed="false">
      <c r="A10" s="2" t="n">
        <v>9</v>
      </c>
      <c r="B10" s="2" t="s">
        <v>28</v>
      </c>
      <c r="C10" s="2" t="n">
        <v>2</v>
      </c>
      <c r="D10" s="2" t="n">
        <f aca="false">E10/2</f>
        <v>2</v>
      </c>
      <c r="E10" s="2" t="n">
        <v>4</v>
      </c>
      <c r="F10" s="2" t="n">
        <f aca="false">G10/2</f>
        <v>0</v>
      </c>
      <c r="G10" s="2"/>
      <c r="H10" s="2" t="n">
        <f aca="false">G10-E10</f>
        <v>-4</v>
      </c>
    </row>
    <row r="11" customFormat="false" ht="14.25" hidden="false" customHeight="false" outlineLevel="0" collapsed="false">
      <c r="A11" s="2" t="n">
        <v>6</v>
      </c>
      <c r="B11" s="2" t="s">
        <v>30</v>
      </c>
      <c r="C11" s="2" t="n">
        <v>1</v>
      </c>
      <c r="D11" s="2" t="n">
        <f aca="false">E11/2</f>
        <v>2</v>
      </c>
      <c r="E11" s="2" t="n">
        <v>4</v>
      </c>
      <c r="F11" s="2" t="n">
        <f aca="false">G11/2</f>
        <v>4</v>
      </c>
      <c r="G11" s="2" t="n">
        <v>8</v>
      </c>
      <c r="H11" s="2" t="n">
        <f aca="false">G11-E11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390625" defaultRowHeight="14.25" zeroHeight="false" outlineLevelRow="0" outlineLevelCol="0"/>
  <sheetData>
    <row r="1" customFormat="false" ht="14.25" hidden="false" customHeight="false" outlineLevel="0" collapsed="false">
      <c r="A1" s="0" t="s">
        <v>48</v>
      </c>
      <c r="B1" s="0" t="s">
        <v>22</v>
      </c>
      <c r="C1" s="0" t="s">
        <v>39</v>
      </c>
      <c r="D1" s="0" t="s">
        <v>42</v>
      </c>
      <c r="E1" s="0" t="s">
        <v>49</v>
      </c>
    </row>
    <row r="2" customFormat="false" ht="14.25" hidden="false" customHeight="false" outlineLevel="0" collapsed="false">
      <c r="A2" s="0" t="n">
        <v>1</v>
      </c>
      <c r="B2" s="0" t="s">
        <v>50</v>
      </c>
      <c r="C2" s="0" t="n">
        <v>1</v>
      </c>
      <c r="D2" s="0" t="n">
        <v>10</v>
      </c>
      <c r="E2" s="0" t="n">
        <v>10</v>
      </c>
    </row>
    <row r="3" customFormat="false" ht="14.25" hidden="false" customHeight="false" outlineLevel="0" collapsed="false">
      <c r="A3" s="0" t="n">
        <v>2</v>
      </c>
      <c r="B3" s="0" t="s">
        <v>51</v>
      </c>
      <c r="C3" s="0" t="n">
        <v>1</v>
      </c>
      <c r="D3" s="0" t="n">
        <v>10</v>
      </c>
      <c r="E3" s="0" t="n">
        <v>10</v>
      </c>
    </row>
    <row r="4" customFormat="false" ht="14.25" hidden="false" customHeight="false" outlineLevel="0" collapsed="false">
      <c r="A4" s="0" t="n">
        <v>3</v>
      </c>
      <c r="B4" s="0" t="s">
        <v>52</v>
      </c>
      <c r="C4" s="0" t="n">
        <v>1</v>
      </c>
      <c r="D4" s="0" t="n">
        <v>6</v>
      </c>
      <c r="E4" s="0" t="n">
        <v>6</v>
      </c>
    </row>
    <row r="5" customFormat="false" ht="14.25" hidden="false" customHeight="false" outlineLevel="0" collapsed="false">
      <c r="A5" s="0" t="n">
        <v>4</v>
      </c>
      <c r="B5" s="0" t="s">
        <v>53</v>
      </c>
      <c r="C5" s="0" t="n">
        <v>1</v>
      </c>
      <c r="D5" s="0" t="n">
        <v>5.5</v>
      </c>
      <c r="E5" s="0" t="n">
        <v>5.5</v>
      </c>
    </row>
    <row r="6" customFormat="false" ht="14.25" hidden="false" customHeight="false" outlineLevel="0" collapsed="false">
      <c r="A6" s="0" t="n">
        <v>5</v>
      </c>
      <c r="B6" s="0" t="s">
        <v>54</v>
      </c>
      <c r="C6" s="0" t="n">
        <v>2</v>
      </c>
      <c r="D6" s="0" t="n">
        <v>2</v>
      </c>
      <c r="E6" s="0" t="n">
        <v>4</v>
      </c>
    </row>
    <row r="7" customFormat="false" ht="14.25" hidden="false" customHeight="false" outlineLevel="0" collapsed="false">
      <c r="A7" s="2" t="n">
        <v>6</v>
      </c>
      <c r="B7" s="2" t="s">
        <v>55</v>
      </c>
      <c r="C7" s="2" t="n">
        <v>2</v>
      </c>
      <c r="D7" s="2" t="n">
        <v>3</v>
      </c>
      <c r="E7" s="2" t="n">
        <v>6</v>
      </c>
    </row>
    <row r="8" customFormat="false" ht="14.25" hidden="false" customHeight="false" outlineLevel="0" collapsed="false">
      <c r="A8" s="2" t="n">
        <v>7</v>
      </c>
      <c r="B8" s="2" t="s">
        <v>56</v>
      </c>
      <c r="C8" s="2" t="n">
        <v>1</v>
      </c>
      <c r="D8" s="2" t="n">
        <v>8</v>
      </c>
      <c r="E8" s="2" t="n">
        <v>8</v>
      </c>
    </row>
    <row r="9" customFormat="false" ht="14.25" hidden="false" customHeight="false" outlineLevel="0" collapsed="false">
      <c r="A9" s="2" t="n">
        <v>8</v>
      </c>
      <c r="B9" s="2" t="s">
        <v>57</v>
      </c>
      <c r="C9" s="2" t="n">
        <v>1</v>
      </c>
      <c r="D9" s="2" t="s">
        <v>58</v>
      </c>
      <c r="E9" s="2" t="n">
        <v>5.5</v>
      </c>
    </row>
    <row r="10" customFormat="false" ht="14.25" hidden="false" customHeight="false" outlineLevel="0" collapsed="false">
      <c r="A10" s="2" t="n">
        <v>9</v>
      </c>
      <c r="B10" s="2" t="s">
        <v>59</v>
      </c>
      <c r="C10" s="2" t="n">
        <v>1</v>
      </c>
      <c r="D10" s="2" t="n">
        <v>7</v>
      </c>
      <c r="E10" s="2" t="n">
        <v>7</v>
      </c>
    </row>
    <row r="11" customFormat="false" ht="14.25" hidden="false" customHeight="false" outlineLevel="0" collapsed="false">
      <c r="A11" s="2" t="n">
        <v>6</v>
      </c>
      <c r="B11" s="2" t="s">
        <v>55</v>
      </c>
      <c r="C11" s="2" t="n">
        <v>2</v>
      </c>
      <c r="D11" s="2" t="n">
        <v>3</v>
      </c>
      <c r="E11" s="2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3" t="s">
        <v>62</v>
      </c>
    </row>
    <row r="5" customFormat="false" ht="15" hidden="false" customHeight="false" outlineLevel="0" collapsed="false">
      <c r="A5" s="4" t="s">
        <v>38</v>
      </c>
      <c r="B5" s="4" t="s">
        <v>22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</row>
    <row r="6" customFormat="false" ht="15" hidden="false" customHeight="false" outlineLevel="0" collapsed="false">
      <c r="A6" s="2" t="n">
        <f aca="false">Ventas!A2</f>
        <v>1</v>
      </c>
      <c r="B6" s="2" t="str">
        <f aca="false">LOWER(TRIM(Ventas!B2))</f>
        <v>tiramisu</v>
      </c>
      <c r="C6" s="2" t="n">
        <f aca="false">Ventas!C2</f>
        <v>2</v>
      </c>
      <c r="D6" s="2" t="n">
        <f aca="false">Ventas!D2</f>
        <v>4</v>
      </c>
      <c r="E6" s="2" t="n">
        <f aca="false">Ventas!E2</f>
        <v>8</v>
      </c>
      <c r="F6" s="2" t="n">
        <f aca="false">Ventas!F2</f>
        <v>8</v>
      </c>
      <c r="G6" s="2" t="n">
        <f aca="false">Ventas!G2</f>
        <v>16</v>
      </c>
      <c r="H6" s="2" t="n">
        <f aca="false">Ventas!H2</f>
        <v>8</v>
      </c>
    </row>
    <row r="7" customFormat="false" ht="15" hidden="false" customHeight="false" outlineLevel="0" collapsed="false">
      <c r="A7" s="2" t="n">
        <f aca="false">Ventas!A3</f>
        <v>2</v>
      </c>
      <c r="B7" s="2" t="str">
        <f aca="false">LOWER(TRIM(Ventas!B3))</f>
        <v>galleta red</v>
      </c>
      <c r="C7" s="2" t="n">
        <f aca="false">Ventas!C3</f>
        <v>1</v>
      </c>
      <c r="D7" s="2" t="n">
        <f aca="false">Ventas!D3</f>
        <v>1</v>
      </c>
      <c r="E7" s="2" t="n">
        <f aca="false">Ventas!E3</f>
        <v>2</v>
      </c>
      <c r="F7" s="2" t="n">
        <f aca="false">Ventas!F3</f>
        <v>2</v>
      </c>
      <c r="G7" s="2" t="n">
        <f aca="false">Ventas!G3</f>
        <v>4</v>
      </c>
      <c r="H7" s="2" t="n">
        <f aca="false">Ventas!H3</f>
        <v>2</v>
      </c>
    </row>
    <row r="8" customFormat="false" ht="15" hidden="false" customHeight="false" outlineLevel="0" collapsed="false">
      <c r="A8" s="2" t="n">
        <f aca="false">Ventas!A4</f>
        <v>3</v>
      </c>
      <c r="B8" s="2" t="str">
        <f aca="false">LOWER(TRIM(Ventas!B4))</f>
        <v>galleta chocolate</v>
      </c>
      <c r="C8" s="2" t="n">
        <f aca="false">Ventas!C4</f>
        <v>2</v>
      </c>
      <c r="D8" s="2" t="n">
        <f aca="false">Ventas!D4</f>
        <v>1.5</v>
      </c>
      <c r="E8" s="2" t="n">
        <f aca="false">Ventas!E4</f>
        <v>3</v>
      </c>
      <c r="F8" s="2" t="n">
        <f aca="false">Ventas!F4</f>
        <v>2.5</v>
      </c>
      <c r="G8" s="2" t="n">
        <f aca="false">Ventas!G4</f>
        <v>5</v>
      </c>
      <c r="H8" s="2" t="n">
        <f aca="false">Ventas!H4</f>
        <v>2</v>
      </c>
    </row>
    <row r="9" customFormat="false" ht="15" hidden="false" customHeight="false" outlineLevel="0" collapsed="false">
      <c r="A9" s="2" t="n">
        <f aca="false">Ventas!A5</f>
        <v>4</v>
      </c>
      <c r="B9" s="2" t="str">
        <f aca="false">LOWER(TRIM(Ventas!B5))</f>
        <v>galleta red</v>
      </c>
      <c r="C9" s="2" t="n">
        <f aca="false">Ventas!C5</f>
        <v>2</v>
      </c>
      <c r="D9" s="2" t="n">
        <f aca="false">Ventas!D5</f>
        <v>2</v>
      </c>
      <c r="E9" s="2" t="n">
        <f aca="false">Ventas!E5</f>
        <v>4</v>
      </c>
      <c r="F9" s="2" t="n">
        <f aca="false">Ventas!F5</f>
        <v>4</v>
      </c>
      <c r="G9" s="2" t="n">
        <f aca="false">Ventas!G5</f>
        <v>8</v>
      </c>
      <c r="H9" s="2" t="n">
        <f aca="false">Ventas!H5</f>
        <v>4</v>
      </c>
    </row>
    <row r="10" customFormat="false" ht="15" hidden="false" customHeight="false" outlineLevel="0" collapsed="false">
      <c r="A10" s="2" t="n">
        <f aca="false">Ventas!A6</f>
        <v>5</v>
      </c>
      <c r="B10" s="2" t="str">
        <f aca="false">LOWER(TRIM(Ventas!B6))</f>
        <v>galletas chocolate</v>
      </c>
      <c r="C10" s="2" t="n">
        <f aca="false">Ventas!C6</f>
        <v>2</v>
      </c>
      <c r="D10" s="2" t="n">
        <f aca="false">Ventas!D6</f>
        <v>1.5</v>
      </c>
      <c r="E10" s="2" t="n">
        <f aca="false">Ventas!E6</f>
        <v>3</v>
      </c>
      <c r="F10" s="2" t="n">
        <f aca="false">Ventas!F6</f>
        <v>2.5</v>
      </c>
      <c r="G10" s="2" t="n">
        <f aca="false">Ventas!G6</f>
        <v>5</v>
      </c>
      <c r="H10" s="2" t="n">
        <f aca="false">Ventas!H6</f>
        <v>2</v>
      </c>
    </row>
    <row r="11" customFormat="false" ht="15" hidden="false" customHeight="false" outlineLevel="0" collapsed="false">
      <c r="A11" s="2" t="n">
        <f aca="false">Ventas!A7</f>
        <v>6</v>
      </c>
      <c r="B11" s="2" t="str">
        <f aca="false">LOWER(TRIM(Ventas!B7))</f>
        <v>cinamonroll</v>
      </c>
      <c r="C11" s="2" t="n">
        <f aca="false">Ventas!C7</f>
        <v>1</v>
      </c>
      <c r="D11" s="2" t="n">
        <f aca="false">Ventas!D7</f>
        <v>2</v>
      </c>
      <c r="E11" s="2" t="n">
        <f aca="false">Ventas!E7</f>
        <v>4</v>
      </c>
      <c r="F11" s="2" t="n">
        <f aca="false">Ventas!F7</f>
        <v>4</v>
      </c>
      <c r="G11" s="2" t="n">
        <f aca="false">Ventas!G7</f>
        <v>8</v>
      </c>
      <c r="H11" s="2" t="n">
        <f aca="false">Ventas!H7</f>
        <v>4</v>
      </c>
    </row>
    <row r="12" customFormat="false" ht="15" hidden="false" customHeight="false" outlineLevel="0" collapsed="false">
      <c r="A12" s="2" t="n">
        <f aca="false">Ventas!A8</f>
        <v>7</v>
      </c>
      <c r="B12" s="2" t="str">
        <f aca="false">LOWER(TRIM(Ventas!B8))</f>
        <v>cheese cake cereza</v>
      </c>
      <c r="C12" s="2" t="n">
        <f aca="false">Ventas!C8</f>
        <v>1</v>
      </c>
      <c r="D12" s="2" t="n">
        <f aca="false">Ventas!D8</f>
        <v>2</v>
      </c>
      <c r="E12" s="2" t="n">
        <f aca="false">Ventas!E8</f>
        <v>4</v>
      </c>
      <c r="F12" s="2" t="n">
        <f aca="false">Ventas!F8</f>
        <v>4</v>
      </c>
      <c r="G12" s="2" t="n">
        <f aca="false">Ventas!G8</f>
        <v>8</v>
      </c>
      <c r="H12" s="2" t="n">
        <f aca="false">Ventas!H8</f>
        <v>4</v>
      </c>
    </row>
    <row r="13" customFormat="false" ht="15" hidden="false" customHeight="false" outlineLevel="0" collapsed="false">
      <c r="A13" s="2" t="n">
        <f aca="false">Ventas!A9</f>
        <v>8</v>
      </c>
      <c r="B13" s="2" t="str">
        <f aca="false">LOWER(TRIM(Ventas!B9))</f>
        <v>tiramisu</v>
      </c>
      <c r="C13" s="2" t="n">
        <f aca="false">Ventas!C9</f>
        <v>1</v>
      </c>
      <c r="D13" s="2" t="n">
        <f aca="false">Ventas!D9</f>
        <v>2</v>
      </c>
      <c r="E13" s="2" t="n">
        <f aca="false">Ventas!E9</f>
        <v>4</v>
      </c>
      <c r="F13" s="2" t="n">
        <f aca="false">Ventas!F9</f>
        <v>4</v>
      </c>
      <c r="G13" s="2" t="n">
        <f aca="false">Ventas!G9</f>
        <v>8</v>
      </c>
      <c r="H13" s="2" t="n">
        <f aca="false">Ventas!H9</f>
        <v>4</v>
      </c>
    </row>
    <row r="15" customFormat="false" ht="15" hidden="false" customHeight="false" outlineLevel="0" collapsed="false">
      <c r="A15" s="3" t="s">
        <v>63</v>
      </c>
    </row>
    <row r="16" customFormat="false" ht="15" hidden="false" customHeight="false" outlineLevel="0" collapsed="false">
      <c r="A16" s="4" t="s">
        <v>48</v>
      </c>
      <c r="B16" s="4" t="s">
        <v>22</v>
      </c>
      <c r="C16" s="4" t="s">
        <v>39</v>
      </c>
      <c r="D16" s="4" t="s">
        <v>42</v>
      </c>
      <c r="E16" s="4" t="s">
        <v>49</v>
      </c>
    </row>
    <row r="17" customFormat="false" ht="15" hidden="false" customHeight="false" outlineLevel="0" collapsed="false">
      <c r="A17" s="2" t="n">
        <f aca="false">Compras!A2</f>
        <v>1</v>
      </c>
      <c r="B17" s="2" t="str">
        <f aca="false">LOWER(TRIM(Compras!B2))</f>
        <v>maquillaje</v>
      </c>
      <c r="C17" s="2" t="n">
        <f aca="false">Compras!C2</f>
        <v>1</v>
      </c>
      <c r="D17" s="2" t="n">
        <f aca="false">IFERROR(VALUE(SUBSTITUTE(Compras!D2,",",".")),Compras!D2)</f>
        <v>10</v>
      </c>
      <c r="E17" s="2" t="n">
        <f aca="false">Compras!E2</f>
        <v>10</v>
      </c>
    </row>
    <row r="18" customFormat="false" ht="15" hidden="false" customHeight="false" outlineLevel="0" collapsed="false">
      <c r="A18" s="2" t="n">
        <f aca="false">Compras!A3</f>
        <v>2</v>
      </c>
      <c r="B18" s="2" t="str">
        <f aca="false">LOWER(TRIM(Compras!B3))</f>
        <v>uva</v>
      </c>
      <c r="C18" s="2" t="n">
        <f aca="false">Compras!C3</f>
        <v>1</v>
      </c>
      <c r="D18" s="2" t="n">
        <f aca="false">IFERROR(VALUE(SUBSTITUTE(Compras!D3,",",".")),Compras!D3)</f>
        <v>10</v>
      </c>
      <c r="E18" s="2" t="n">
        <f aca="false">Compras!E3</f>
        <v>10</v>
      </c>
    </row>
    <row r="19" customFormat="false" ht="15" hidden="false" customHeight="false" outlineLevel="0" collapsed="false">
      <c r="A19" s="2" t="n">
        <f aca="false">Compras!A4</f>
        <v>3</v>
      </c>
      <c r="B19" s="2" t="str">
        <f aca="false">LOWER(TRIM(Compras!B4))</f>
        <v>gloss</v>
      </c>
      <c r="C19" s="2" t="n">
        <f aca="false">Compras!C4</f>
        <v>1</v>
      </c>
      <c r="D19" s="2" t="n">
        <f aca="false">IFERROR(VALUE(SUBSTITUTE(Compras!D4,",",".")),Compras!D4)</f>
        <v>6</v>
      </c>
      <c r="E19" s="2" t="n">
        <f aca="false">Compras!E4</f>
        <v>6</v>
      </c>
    </row>
    <row r="20" customFormat="false" ht="15" hidden="false" customHeight="false" outlineLevel="0" collapsed="false">
      <c r="A20" s="2" t="n">
        <f aca="false">Compras!A5</f>
        <v>4</v>
      </c>
      <c r="B20" s="2" t="str">
        <f aca="false">LOWER(TRIM(Compras!B5))</f>
        <v>lapiz ojos</v>
      </c>
      <c r="C20" s="2" t="n">
        <f aca="false">Compras!C5</f>
        <v>1</v>
      </c>
      <c r="D20" s="2" t="n">
        <f aca="false">IFERROR(VALUE(SUBSTITUTE(Compras!D5,",",".")),Compras!D5)</f>
        <v>5.5</v>
      </c>
      <c r="E20" s="2" t="n">
        <f aca="false">Compras!E5</f>
        <v>5.5</v>
      </c>
    </row>
    <row r="21" customFormat="false" ht="15" hidden="false" customHeight="false" outlineLevel="0" collapsed="false">
      <c r="A21" s="2" t="n">
        <f aca="false">Compras!A6</f>
        <v>5</v>
      </c>
      <c r="B21" s="2" t="str">
        <f aca="false">LOWER(TRIM(Compras!B6))</f>
        <v>limas</v>
      </c>
      <c r="C21" s="2" t="n">
        <f aca="false">Compras!C6</f>
        <v>2</v>
      </c>
      <c r="D21" s="2" t="n">
        <f aca="false">IFERROR(VALUE(SUBSTITUTE(Compras!D6,",",".")),Compras!D6)</f>
        <v>2</v>
      </c>
      <c r="E21" s="2" t="n">
        <f aca="false">Compras!E6</f>
        <v>4</v>
      </c>
    </row>
    <row r="22" customFormat="false" ht="15" hidden="false" customHeight="false" outlineLevel="0" collapsed="false">
      <c r="A22" s="2" t="n">
        <f aca="false">Compras!A7</f>
        <v>6</v>
      </c>
      <c r="B22" s="2" t="str">
        <f aca="false">LOWER(TRIM(Compras!B7))</f>
        <v>harina</v>
      </c>
      <c r="C22" s="2" t="n">
        <f aca="false">Compras!C7</f>
        <v>2</v>
      </c>
      <c r="D22" s="2" t="n">
        <f aca="false">IFERROR(VALUE(SUBSTITUTE(Compras!D7,",",".")),Compras!D7)</f>
        <v>3</v>
      </c>
      <c r="E22" s="2" t="n">
        <f aca="false">Compras!E7</f>
        <v>6</v>
      </c>
    </row>
    <row r="23" customFormat="false" ht="15" hidden="false" customHeight="false" outlineLevel="0" collapsed="false">
      <c r="A23" s="2" t="n">
        <f aca="false">Compras!A8</f>
        <v>7</v>
      </c>
      <c r="B23" s="2" t="str">
        <f aca="false">LOWER(TRIM(Compras!B8))</f>
        <v>huevos</v>
      </c>
      <c r="C23" s="2" t="n">
        <f aca="false">Compras!C8</f>
        <v>1</v>
      </c>
      <c r="D23" s="2" t="n">
        <f aca="false">IFERROR(VALUE(SUBSTITUTE(Compras!D8,",",".")),Compras!D8)</f>
        <v>8</v>
      </c>
      <c r="E23" s="2" t="n">
        <f aca="false">Compras!E8</f>
        <v>8</v>
      </c>
    </row>
    <row r="24" customFormat="false" ht="15" hidden="false" customHeight="false" outlineLevel="0" collapsed="false">
      <c r="A24" s="2" t="n">
        <f aca="false">Compras!A9</f>
        <v>8</v>
      </c>
      <c r="B24" s="2" t="str">
        <f aca="false">LOWER(TRIM(Compras!B9))</f>
        <v>azucar</v>
      </c>
      <c r="C24" s="2" t="n">
        <f aca="false">Compras!C9</f>
        <v>1</v>
      </c>
      <c r="D24" s="2" t="n">
        <f aca="false">IFERROR(VALUE(SUBSTITUTE(Compras!D9,",",".")),Compras!D9)</f>
        <v>5.5</v>
      </c>
      <c r="E24" s="2" t="n">
        <f aca="false">Compras!E9</f>
        <v>5.5</v>
      </c>
    </row>
    <row r="25" customFormat="false" ht="15" hidden="false" customHeight="false" outlineLevel="0" collapsed="false">
      <c r="A25" s="2" t="n">
        <f aca="false">Compras!A10</f>
        <v>9</v>
      </c>
      <c r="B25" s="2" t="str">
        <f aca="false">LOWER(TRIM(Compras!B10))</f>
        <v>mantequilla</v>
      </c>
      <c r="C25" s="2" t="n">
        <f aca="false">Compras!C10</f>
        <v>1</v>
      </c>
      <c r="D25" s="2" t="n">
        <f aca="false">IFERROR(VALUE(SUBSTITUTE(Compras!D10,",",".")),Compras!D10)</f>
        <v>7</v>
      </c>
      <c r="E25" s="2" t="n">
        <f aca="false">Compras!E10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3" t="s">
        <v>65</v>
      </c>
    </row>
    <row r="4" customFormat="false" ht="15" hidden="false" customHeight="false" outlineLevel="0" collapsed="false">
      <c r="A4" s="2" t="s">
        <v>66</v>
      </c>
      <c r="B4" s="2" t="n">
        <f aca="false">SUM(ETL!C6:C13)</f>
        <v>12</v>
      </c>
    </row>
    <row r="5" customFormat="false" ht="15" hidden="false" customHeight="false" outlineLevel="0" collapsed="false">
      <c r="A5" s="2" t="s">
        <v>67</v>
      </c>
      <c r="B5" s="2" t="n">
        <f aca="false">SUM(ETL!G6:G13)</f>
        <v>62</v>
      </c>
    </row>
    <row r="6" customFormat="false" ht="15" hidden="false" customHeight="false" outlineLevel="0" collapsed="false">
      <c r="A6" s="2" t="s">
        <v>68</v>
      </c>
      <c r="B6" s="2" t="n">
        <f aca="false">SUM(ETL!E6:E13)</f>
        <v>32</v>
      </c>
    </row>
    <row r="7" customFormat="false" ht="15" hidden="false" customHeight="false" outlineLevel="0" collapsed="false">
      <c r="A7" s="2" t="s">
        <v>69</v>
      </c>
      <c r="B7" s="2" t="n">
        <f aca="false">SUM(ETL!H6:H13)</f>
        <v>30</v>
      </c>
    </row>
    <row r="8" customFormat="false" ht="15" hidden="false" customHeight="false" outlineLevel="0" collapsed="false">
      <c r="A8" s="2" t="s">
        <v>70</v>
      </c>
      <c r="B8" s="2" t="n">
        <f aca="false">AVERAGE(ETL!H6:H13)</f>
        <v>3.75</v>
      </c>
    </row>
    <row r="10" customFormat="false" ht="15" hidden="false" customHeight="false" outlineLevel="0" collapsed="false">
      <c r="A10" s="3" t="s">
        <v>71</v>
      </c>
    </row>
    <row r="11" customFormat="false" ht="15" hidden="false" customHeight="false" outlineLevel="0" collapsed="false">
      <c r="A11" s="3" t="s">
        <v>22</v>
      </c>
      <c r="B11" s="3" t="s">
        <v>44</v>
      </c>
    </row>
    <row r="12" customFormat="false" ht="15" hidden="false" customHeight="false" outlineLevel="0" collapsed="false">
      <c r="A12" s="2" t="s">
        <v>31</v>
      </c>
      <c r="B12" s="2" t="n">
        <f aca="false">SUMIF(ETL!$B$6:$B$13,A12,ETL!$H$6:$H$13)</f>
        <v>12</v>
      </c>
    </row>
    <row r="13" customFormat="false" ht="15" hidden="false" customHeight="false" outlineLevel="0" collapsed="false">
      <c r="A13" s="2" t="s">
        <v>45</v>
      </c>
      <c r="B13" s="2" t="n">
        <f aca="false">SUMIF(ETL!$B$6:$B$13,A13,ETL!$H$6:$H$13)</f>
        <v>6</v>
      </c>
    </row>
    <row r="14" customFormat="false" ht="15" hidden="false" customHeight="false" outlineLevel="0" collapsed="false">
      <c r="A14" s="2" t="s">
        <v>46</v>
      </c>
      <c r="B14" s="2" t="n">
        <f aca="false">SUMIF(ETL!$B$6:$B$13,A14,ETL!$H$6:$H$13)</f>
        <v>2</v>
      </c>
    </row>
    <row r="15" customFormat="false" ht="15" hidden="false" customHeight="false" outlineLevel="0" collapsed="false">
      <c r="A15" s="2" t="s">
        <v>27</v>
      </c>
      <c r="B15" s="2" t="n">
        <f aca="false">SUMIF(ETL!$B$6:$B$13,A15,ETL!$H$6:$H$13)</f>
        <v>2</v>
      </c>
    </row>
    <row r="16" customFormat="false" ht="15" hidden="false" customHeight="false" outlineLevel="0" collapsed="false">
      <c r="A16" s="2" t="s">
        <v>30</v>
      </c>
      <c r="B16" s="2" t="n">
        <f aca="false">SUMIF(ETL!$B$6:$B$13,A16,ETL!$H$6:$H$13)</f>
        <v>4</v>
      </c>
    </row>
    <row r="17" customFormat="false" ht="15" hidden="false" customHeight="false" outlineLevel="0" collapsed="false">
      <c r="A17" s="2" t="s">
        <v>33</v>
      </c>
      <c r="B17" s="2" t="n">
        <f aca="false">SUMIF(ETL!$B$6:$B$13,A17,ETL!$H$6:$H$13)</f>
        <v>4</v>
      </c>
    </row>
    <row r="19" customFormat="false" ht="15" hidden="false" customHeight="false" outlineLevel="0" collapsed="false">
      <c r="A19" s="3" t="s">
        <v>72</v>
      </c>
    </row>
    <row r="20" customFormat="false" ht="15" hidden="false" customHeight="false" outlineLevel="0" collapsed="false">
      <c r="A20" s="2" t="s">
        <v>73</v>
      </c>
      <c r="B20" s="2" t="n">
        <f aca="false">SUM(ETL!E17:E25)</f>
        <v>62</v>
      </c>
    </row>
    <row r="22" customFormat="false" ht="15" hidden="false" customHeight="false" outlineLevel="0" collapsed="false">
      <c r="A22" s="3" t="s">
        <v>74</v>
      </c>
    </row>
    <row r="23" customFormat="false" ht="15" hidden="false" customHeight="false" outlineLevel="0" collapsed="false">
      <c r="A23" s="3" t="s">
        <v>22</v>
      </c>
      <c r="B23" s="3" t="s">
        <v>75</v>
      </c>
    </row>
    <row r="24" customFormat="false" ht="15" hidden="false" customHeight="false" outlineLevel="0" collapsed="false">
      <c r="A24" s="2" t="s">
        <v>76</v>
      </c>
      <c r="B24" s="2" t="n">
        <f aca="false">SUMIF(ETL!$B$17:$B$25,A24,ETL!$E$17:$E$25)</f>
        <v>10</v>
      </c>
    </row>
    <row r="25" customFormat="false" ht="15" hidden="false" customHeight="false" outlineLevel="0" collapsed="false">
      <c r="A25" s="2" t="s">
        <v>77</v>
      </c>
      <c r="B25" s="2" t="n">
        <f aca="false">SUMIF(ETL!$B$17:$B$25,A25,ETL!$E$17:$E$25)</f>
        <v>10</v>
      </c>
    </row>
    <row r="26" customFormat="false" ht="15" hidden="false" customHeight="false" outlineLevel="0" collapsed="false">
      <c r="A26" s="2" t="s">
        <v>52</v>
      </c>
      <c r="B26" s="2" t="n">
        <f aca="false">SUMIF(ETL!$B$17:$B$25,A26,ETL!$E$17:$E$25)</f>
        <v>6</v>
      </c>
    </row>
    <row r="27" customFormat="false" ht="15" hidden="false" customHeight="false" outlineLevel="0" collapsed="false">
      <c r="A27" s="2" t="s">
        <v>53</v>
      </c>
      <c r="B27" s="2" t="n">
        <f aca="false">SUMIF(ETL!$B$17:$B$25,A27,ETL!$E$17:$E$25)</f>
        <v>5.5</v>
      </c>
    </row>
    <row r="28" customFormat="false" ht="15" hidden="false" customHeight="false" outlineLevel="0" collapsed="false">
      <c r="A28" s="2" t="s">
        <v>54</v>
      </c>
      <c r="B28" s="2" t="n">
        <f aca="false">SUMIF(ETL!$B$17:$B$25,A28,ETL!$E$17:$E$25)</f>
        <v>4</v>
      </c>
    </row>
    <row r="29" customFormat="false" ht="15" hidden="false" customHeight="false" outlineLevel="0" collapsed="false">
      <c r="A29" s="2" t="s">
        <v>55</v>
      </c>
      <c r="B29" s="2" t="n">
        <f aca="false">SUMIF(ETL!$B$17:$B$25,A29,ETL!$E$17:$E$25)</f>
        <v>6</v>
      </c>
    </row>
    <row r="30" customFormat="false" ht="15" hidden="false" customHeight="false" outlineLevel="0" collapsed="false">
      <c r="A30" s="2" t="s">
        <v>56</v>
      </c>
      <c r="B30" s="2" t="n">
        <f aca="false">SUMIF(ETL!$B$17:$B$25,A30,ETL!$E$17:$E$25)</f>
        <v>8</v>
      </c>
    </row>
    <row r="31" customFormat="false" ht="15" hidden="false" customHeight="false" outlineLevel="0" collapsed="false">
      <c r="A31" s="2" t="s">
        <v>57</v>
      </c>
      <c r="B31" s="2" t="n">
        <f aca="false">SUMIF(ETL!$B$17:$B$25,A31,ETL!$E$17:$E$25)</f>
        <v>5.5</v>
      </c>
    </row>
    <row r="32" customFormat="false" ht="15" hidden="false" customHeight="false" outlineLevel="0" collapsed="false">
      <c r="A32" s="2" t="s">
        <v>59</v>
      </c>
      <c r="B32" s="2" t="n">
        <f aca="false">SUMIF(ETL!$B$17:$B$25,A32,ETL!$E$17:$E$25)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13</v>
      </c>
    </row>
    <row r="3" customFormat="false" ht="42" hidden="false" customHeight="true" outlineLevel="0" collapsed="false">
      <c r="A3" s="3" t="s">
        <v>78</v>
      </c>
      <c r="B3" s="5" t="s">
        <v>79</v>
      </c>
    </row>
    <row r="4" customFormat="false" ht="42" hidden="false" customHeight="true" outlineLevel="0" collapsed="false">
      <c r="A4" s="3" t="s">
        <v>80</v>
      </c>
      <c r="B4" s="5" t="s">
        <v>81</v>
      </c>
    </row>
    <row r="5" customFormat="false" ht="42" hidden="false" customHeight="true" outlineLevel="0" collapsed="false">
      <c r="A5" s="3" t="s">
        <v>82</v>
      </c>
      <c r="B5" s="5" t="s">
        <v>83</v>
      </c>
    </row>
    <row r="6" customFormat="false" ht="42" hidden="false" customHeight="true" outlineLevel="0" collapsed="false">
      <c r="A6" s="3" t="s">
        <v>84</v>
      </c>
      <c r="B6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2026-08-05T18:15:17Z</dcterms:created>
  <dc:creator>Jessica Alejandra Gil Tellez</dc:creator>
  <dc:description/>
  <dc:language>en-US</dc:language>
  <cp:lastModifiedBy/>
  <dcterms:modified xsi:type="dcterms:W3CDTF">2026-08-10T04:25:38Z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0x010100B6518C1C5123D34CB9B8A900751C44A2</vt:lpwstr>
  </property>
</Properties>
</file>