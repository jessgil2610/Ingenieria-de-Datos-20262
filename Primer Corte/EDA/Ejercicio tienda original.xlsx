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Documents\GitHub\Ingenieria-de-Datos-20262\Primer Corte\EDA\"/>
    </mc:Choice>
  </mc:AlternateContent>
  <xr:revisionPtr revIDLastSave="0" documentId="8_{3A79DD44-4F41-41B0-9FDD-8FE1327B7156}" xr6:coauthVersionLast="47" xr6:coauthVersionMax="47" xr10:uidLastSave="{00000000-0000-0000-0000-000000000000}"/>
  <bookViews>
    <workbookView xWindow="-108" yWindow="-108" windowWidth="23256" windowHeight="13896" activeTab="2" xr2:uid="{F7837AB1-EACF-4372-80F7-2F3AE25F355A}"/>
  </bookViews>
  <sheets>
    <sheet name="Inventario" sheetId="1" r:id="rId1"/>
    <sheet name="Ventas" sheetId="3" r:id="rId2"/>
    <sheet name="Compr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2" i="3"/>
  <c r="B13" i="1"/>
  <c r="B12" i="1"/>
  <c r="B14" i="1" s="1"/>
  <c r="D3" i="3"/>
  <c r="D4" i="3"/>
  <c r="D5" i="3"/>
  <c r="D6" i="3"/>
  <c r="D2" i="3"/>
  <c r="H6" i="3"/>
  <c r="H5" i="3"/>
  <c r="H4" i="3"/>
  <c r="H3" i="3"/>
  <c r="H2" i="3"/>
  <c r="E4" i="1"/>
  <c r="E6" i="1"/>
  <c r="E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<sst xmlns="http://schemas.openxmlformats.org/spreadsheetml/2006/main" count="39" uniqueCount="32">
  <si>
    <t>id venta</t>
  </si>
  <si>
    <t>galletas chocolate</t>
  </si>
  <si>
    <t>galletas mms chocolate</t>
  </si>
  <si>
    <t>galleta red velvet chocolate</t>
  </si>
  <si>
    <t>costo</t>
  </si>
  <si>
    <t>venta</t>
  </si>
  <si>
    <t>inventario</t>
  </si>
  <si>
    <t>tiramisu</t>
  </si>
  <si>
    <t>cinamonroll</t>
  </si>
  <si>
    <t>cheese cake arandanos</t>
  </si>
  <si>
    <t>cheese cake cereza</t>
  </si>
  <si>
    <t>Producto</t>
  </si>
  <si>
    <t>Inventario nuevo</t>
  </si>
  <si>
    <t>galleta red</t>
  </si>
  <si>
    <t>galleta chocolate</t>
  </si>
  <si>
    <t>Ganancia</t>
  </si>
  <si>
    <t>Compra</t>
  </si>
  <si>
    <t>Maquillaje</t>
  </si>
  <si>
    <t>Uva</t>
  </si>
  <si>
    <t>gloss</t>
  </si>
  <si>
    <t>lapiz ojos</t>
  </si>
  <si>
    <t>Cantidad</t>
  </si>
  <si>
    <t>Precio</t>
  </si>
  <si>
    <t>limas</t>
  </si>
  <si>
    <t>Precio U</t>
  </si>
  <si>
    <t>Costo U</t>
  </si>
  <si>
    <t>Costo Total</t>
  </si>
  <si>
    <t>Presupuesto inicial</t>
  </si>
  <si>
    <t>Total Ventas</t>
  </si>
  <si>
    <t>Total Compras</t>
  </si>
  <si>
    <t>Balance final</t>
  </si>
  <si>
    <t>Precio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</si>
</sst>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EBB5-E449-4CEB-B82E-82F44C50FC5F}">
  <dimension ref="A1:E14"/>
  <sheetViews>
    <sheetView workbookViewId="0">
      <selection activeCell="B17" sqref="B17"/>
    </sheetView>
  </sheetViews>
  <sheetFormatPr baseColWidth="10" defaultRowHeight="14.4" x14ac:dyDescent="0.3"/>
  <cols>
    <col min="1" max="1" width="19.88671875" customWidth="1"/>
  </cols>
  <sheetData>
    <row r="1" spans="1:5" x14ac:dyDescent="0.3">
      <c r="A1" t="s">
        <v>11</v>
      </c>
      <c r="B1" t="s">
        <v>6</v>
      </c>
      <c r="C1" t="s">
        <v>4</v>
      </c>
      <c r="D1" t="s">
        <v>5</v>
      </c>
      <c r="E1" t="s">
        <v>12</v>
      </c>
    </row>
    <row r="2" spans="1:5" x14ac:dyDescent="0.3">
      <c r="A2" t="s">
        <v>1</v>
      </c>
      <c r="B2">
        <v>7</v>
      </c>
      <c r="C2">
        <v>1.5</v>
      </c>
      <c r="D2">
        <f>C2*2</f>
        <v>3</v>
      </c>
      <c r="E2">
        <f>B2-Ventas!C4</f>
        <v>5</v>
      </c>
    </row>
    <row r="3" spans="1:5" x14ac:dyDescent="0.3">
      <c r="A3" t="s">
        <v>2</v>
      </c>
      <c r="B3">
        <v>7</v>
      </c>
      <c r="C3">
        <v>2</v>
      </c>
      <c r="D3">
        <f t="shared" ref="D3:D8" si="0">C3*2</f>
        <v>4</v>
      </c>
    </row>
    <row r="4" spans="1:5" x14ac:dyDescent="0.3">
      <c r="A4" t="s">
        <v>3</v>
      </c>
      <c r="B4">
        <v>7</v>
      </c>
      <c r="C4">
        <v>2</v>
      </c>
      <c r="D4">
        <f t="shared" si="0"/>
        <v>4</v>
      </c>
      <c r="E4">
        <f>B4-Ventas!C3</f>
        <v>6</v>
      </c>
    </row>
    <row r="5" spans="1:5" x14ac:dyDescent="0.3">
      <c r="A5" t="s">
        <v>8</v>
      </c>
      <c r="B5">
        <v>2</v>
      </c>
      <c r="C5">
        <v>4</v>
      </c>
      <c r="D5">
        <f t="shared" si="0"/>
        <v>8</v>
      </c>
    </row>
    <row r="6" spans="1:5" x14ac:dyDescent="0.3">
      <c r="A6" t="s">
        <v>7</v>
      </c>
      <c r="B6">
        <v>2</v>
      </c>
      <c r="C6">
        <v>4</v>
      </c>
      <c r="D6">
        <f t="shared" si="0"/>
        <v>8</v>
      </c>
      <c r="E6">
        <f>B6-Ventas!C2</f>
        <v>0</v>
      </c>
    </row>
    <row r="7" spans="1:5" x14ac:dyDescent="0.3">
      <c r="A7" t="s">
        <v>9</v>
      </c>
      <c r="B7">
        <v>2</v>
      </c>
      <c r="C7">
        <v>4</v>
      </c>
      <c r="D7">
        <f t="shared" si="0"/>
        <v>8</v>
      </c>
    </row>
    <row r="8" spans="1:5" x14ac:dyDescent="0.3">
      <c r="A8" t="s">
        <v>10</v>
      </c>
      <c r="B8">
        <v>2</v>
      </c>
      <c r="C8">
        <v>4</v>
      </c>
      <c r="D8">
        <f t="shared" si="0"/>
        <v>8</v>
      </c>
    </row>
    <row r="11" spans="1:5" x14ac:dyDescent="0.3">
      <c r="A11" t="s">
        <v>27</v>
      </c>
      <c r="B11">
        <v>50</v>
      </c>
    </row>
    <row r="12" spans="1:5" x14ac:dyDescent="0.3">
      <c r="A12" t="s">
        <v>28</v>
      </c>
      <c r="B12">
        <f>SUM(Ventas!G2:G6)</f>
        <v>38</v>
      </c>
    </row>
    <row r="13" spans="1:5" x14ac:dyDescent="0.3">
      <c r="A13" t="s">
        <v>29</v>
      </c>
      <c r="B13">
        <f>SUM(Compras!E2:E6)</f>
        <v>35.5</v>
      </c>
    </row>
    <row r="14" spans="1:5" x14ac:dyDescent="0.3">
      <c r="A14" t="s">
        <v>30</v>
      </c>
      <c r="B14">
        <f>B11+B12-B13</f>
        <v>52.5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51D6-6CAD-4917-BD52-F98959902044}">
  <dimension ref="A1:H6"/>
  <sheetViews>
    <sheetView workbookViewId="0">
      <selection activeCell="G17" sqref="G17"/>
    </sheetView>
  </sheetViews>
  <sheetFormatPr baseColWidth="10" defaultRowHeight="14.4" x14ac:dyDescent="0.3"/>
  <sheetData>
    <row r="1" spans="1:8" x14ac:dyDescent="0.3">
      <c r="A1" t="s">
        <v>0</v>
      </c>
      <c r="B1" t="s">
        <v>11</v>
      </c>
      <c r="C1" t="s">
        <v>21</v>
      </c>
      <c r="D1" t="s">
        <v>25</v>
      </c>
      <c r="E1" t="s">
        <v>26</v>
      </c>
      <c r="F1" t="s">
        <v>24</v>
      </c>
      <c r="G1" t="s">
        <v>31</v>
      </c>
      <c r="H1" t="s">
        <v>15</v>
      </c>
    </row>
    <row r="2" spans="1:8" x14ac:dyDescent="0.3">
      <c r="A2">
        <v>1</v>
      </c>
      <c r="B2" t="s">
        <v>7</v>
      </c>
      <c r="C2">
        <v>2</v>
      </c>
      <c r="D2">
        <f>E2/2</f>
        <v>4</v>
      </c>
      <c r="E2">
        <v>8</v>
      </c>
      <c r="F2">
        <f>G2/2</f>
        <v>8</v>
      </c>
      <c r="G2">
        <v>16</v>
      </c>
      <c r="H2">
        <f>G2-E2</f>
        <v>8</v>
      </c>
    </row>
    <row r="3" spans="1:8" x14ac:dyDescent="0.3">
      <c r="A3">
        <v>2</v>
      </c>
      <c r="B3" t="s">
        <v>13</v>
      </c>
      <c r="C3">
        <v>1</v>
      </c>
      <c r="D3">
        <f t="shared" ref="D3:D6" si="0">E3/2</f>
        <v>1</v>
      </c>
      <c r="E3">
        <v>2</v>
      </c>
      <c r="F3">
        <f t="shared" ref="F3:F6" si="1">G3/2</f>
        <v>2</v>
      </c>
      <c r="G3">
        <v>4</v>
      </c>
      <c r="H3">
        <f>G3-E3</f>
        <v>2</v>
      </c>
    </row>
    <row r="4" spans="1:8" x14ac:dyDescent="0.3">
      <c r="A4">
        <v>3</v>
      </c>
      <c r="B4" t="s">
        <v>14</v>
      </c>
      <c r="C4">
        <v>2</v>
      </c>
      <c r="D4">
        <f t="shared" si="0"/>
        <v>1.5</v>
      </c>
      <c r="E4">
        <v>3</v>
      </c>
      <c r="F4">
        <f t="shared" si="1"/>
        <v>2.5</v>
      </c>
      <c r="G4">
        <v>5</v>
      </c>
      <c r="H4">
        <f>G4-E4</f>
        <v>2</v>
      </c>
    </row>
    <row r="5" spans="1:8" x14ac:dyDescent="0.3">
      <c r="A5">
        <v>4</v>
      </c>
      <c r="B5" t="s">
        <v>13</v>
      </c>
      <c r="C5">
        <v>2</v>
      </c>
      <c r="D5">
        <f t="shared" si="0"/>
        <v>2</v>
      </c>
      <c r="E5">
        <v>4</v>
      </c>
      <c r="F5">
        <f t="shared" si="1"/>
        <v>4</v>
      </c>
      <c r="G5">
        <v>8</v>
      </c>
      <c r="H5">
        <f>G5-E5</f>
        <v>4</v>
      </c>
    </row>
    <row r="6" spans="1:8" x14ac:dyDescent="0.3">
      <c r="A6">
        <v>5</v>
      </c>
      <c r="B6" t="s">
        <v>1</v>
      </c>
      <c r="C6">
        <v>2</v>
      </c>
      <c r="D6">
        <f t="shared" si="0"/>
        <v>1.5</v>
      </c>
      <c r="E6">
        <v>3</v>
      </c>
      <c r="F6">
        <f t="shared" si="1"/>
        <v>2.5</v>
      </c>
      <c r="G6">
        <v>5</v>
      </c>
      <c r="H6">
        <f>G6-E6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DF33-C157-4DCB-BB23-A55A97356C5D}">
  <dimension ref="A1:E6"/>
  <sheetViews>
    <sheetView tabSelected="1" workbookViewId="0">
      <selection activeCell="B2" sqref="B2"/>
    </sheetView>
  </sheetViews>
  <sheetFormatPr baseColWidth="10" defaultRowHeight="14.4" x14ac:dyDescent="0.3"/>
  <sheetData>
    <row r="1" spans="1:5" x14ac:dyDescent="0.3">
      <c r="A1" t="s">
        <v>16</v>
      </c>
      <c r="B1" t="s">
        <v>11</v>
      </c>
      <c r="C1" t="s">
        <v>21</v>
      </c>
      <c r="D1" t="s">
        <v>24</v>
      </c>
      <c r="E1" t="s">
        <v>22</v>
      </c>
    </row>
    <row r="2" spans="1:5" x14ac:dyDescent="0.3">
      <c r="A2">
        <v>1</v>
      </c>
      <c r="B2" t="s">
        <v>17</v>
      </c>
      <c r="C2">
        <v>1</v>
      </c>
      <c r="D2">
        <v>10</v>
      </c>
      <c r="E2">
        <v>10</v>
      </c>
    </row>
    <row r="3" spans="1:5" x14ac:dyDescent="0.3">
      <c r="A3">
        <v>2</v>
      </c>
      <c r="B3" t="s">
        <v>18</v>
      </c>
      <c r="C3">
        <v>1</v>
      </c>
      <c r="D3">
        <v>10</v>
      </c>
      <c r="E3">
        <v>10</v>
      </c>
    </row>
    <row r="4" spans="1:5" x14ac:dyDescent="0.3">
      <c r="A4">
        <v>3</v>
      </c>
      <c r="B4" t="s">
        <v>19</v>
      </c>
      <c r="C4">
        <v>1</v>
      </c>
      <c r="D4">
        <v>6</v>
      </c>
      <c r="E4">
        <v>6</v>
      </c>
    </row>
    <row r="5" spans="1:5" x14ac:dyDescent="0.3">
      <c r="A5">
        <v>4</v>
      </c>
      <c r="B5" t="s">
        <v>20</v>
      </c>
      <c r="C5">
        <v>1</v>
      </c>
      <c r="D5">
        <v>5.5</v>
      </c>
      <c r="E5">
        <v>5.5</v>
      </c>
    </row>
    <row r="6" spans="1:5" x14ac:dyDescent="0.3">
      <c r="A6">
        <v>5</v>
      </c>
      <c r="B6" t="s">
        <v>23</v>
      </c>
      <c r="C6">
        <v>2</v>
      </c>
      <c r="D6">
        <v>2</v>
      </c>
      <c r="E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18C1C5123D34CB9B8A900751C44A2" ma:contentTypeVersion="18" ma:contentTypeDescription="Crear nuevo documento." ma:contentTypeScope="" ma:versionID="751987aa5dc6f90fba2e1d74c230ff68">
  <xsd:schema xmlns:xsd="http://www.w3.org/2001/XMLSchema" xmlns:xs="http://www.w3.org/2001/XMLSchema" xmlns:p="http://schemas.microsoft.com/office/2006/metadata/properties" xmlns:ns3="750127f5-f282-4e55-863e-d3f52e34e841" xmlns:ns4="ec296f56-463a-466f-b755-f9451d71c028" targetNamespace="http://schemas.microsoft.com/office/2006/metadata/properties" ma:root="true" ma:fieldsID="6aa7965795f9e9238ebed5e9e4685fa9" ns3:_="" ns4:_="">
    <xsd:import namespace="750127f5-f282-4e55-863e-d3f52e34e841"/>
    <xsd:import namespace="ec296f56-463a-466f-b755-f9451d71c0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127f5-f282-4e55-863e-d3f52e34e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96f56-463a-466f-b755-f9451d71c028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0127f5-f282-4e55-863e-d3f52e34e841" xsi:nil="true"/>
  </documentManagement>
</p:properties>
</file>

<file path=customXml/itemProps1.xml><?xml version="1.0" encoding="utf-8"?>
<ds:datastoreItem xmlns:ds="http://schemas.openxmlformats.org/officeDocument/2006/customXml" ds:itemID="{61CDD844-EF1F-4F43-B6ED-C6679C048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0127f5-f282-4e55-863e-d3f52e34e841"/>
    <ds:schemaRef ds:uri="ec296f56-463a-466f-b755-f9451d71c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D5B44C-C1A7-4E08-BFB0-536AEAB682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BB9F57-5673-4B3D-BD67-F4E6693A65D3}">
  <ds:schemaRefs>
    <ds:schemaRef ds:uri="750127f5-f282-4e55-863e-d3f52e34e841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c296f56-463a-466f-b755-f9451d71c02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Ventas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Alejandra Gil Tellez</dc:creator>
  <cp:lastModifiedBy>Jessica Alejandra Gil Tellez</cp:lastModifiedBy>
  <dcterms:created xsi:type="dcterms:W3CDTF">2026-08-05T18:15:17Z</dcterms:created>
  <dcterms:modified xsi:type="dcterms:W3CDTF">2026-08-05T19:25:02Z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0x010100B6518C1C5123D34CB9B8A900751C44A2</vt:lpwstr>
  </property>
</Properties>
</file>